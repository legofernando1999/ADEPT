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jsis\Documents\Github\ENNOVA\ADEPT\vb\"/>
    </mc:Choice>
  </mc:AlternateContent>
  <xr:revisionPtr revIDLastSave="0" documentId="13_ncr:1_{F2653B77-93A6-4FD5-9DE7-1F98AE050BDF}" xr6:coauthVersionLast="47" xr6:coauthVersionMax="47" xr10:uidLastSave="{00000000-0000-0000-0000-000000000000}"/>
  <bookViews>
    <workbookView xWindow="-98" yWindow="-98" windowWidth="23236" windowHeight="13875" activeTab="1" xr2:uid="{A9B0D7BD-57E5-44B5-9C59-5F67A38D3F64}"/>
  </bookViews>
  <sheets>
    <sheet name="FPp_main" sheetId="3" r:id="rId1"/>
    <sheet name="FPc_Depo" sheetId="2" r:id="rId2"/>
    <sheet name="Fluid-LUT" sheetId="4" r:id="rId3"/>
  </sheets>
  <functionGroups builtInGroupCount="19"/>
  <definedNames>
    <definedName name="ADEPT_Input" localSheetId="1">FPc_Depo!$AP$9:$AP$46</definedName>
    <definedName name="ADEPT_RateParam" localSheetId="1">FPc_Depo!$CB$5:$CB$10</definedName>
    <definedName name="Algo_Settings" localSheetId="0">FPp_main!$E$88:$E$104</definedName>
    <definedName name="APE_T" localSheetId="1">FPc_Depo!$K$5:$K$12</definedName>
    <definedName name="Asp_ADEPT" localSheetId="1">FPc_Depo!$S$23:$U$26</definedName>
    <definedName name="Asp_ADEPT_SR" localSheetId="1">FPc_Depo!$S$29:$U$31</definedName>
    <definedName name="Asp_APE" localSheetId="1">FPc_Depo!$K$5:$N$12</definedName>
    <definedName name="Asp_beta" localSheetId="1">FPc_Depo!$BW$59:$BY$558</definedName>
    <definedName name="Asp_Ceq" localSheetId="1">FPc_Depo!$BT$59:$BT$558</definedName>
    <definedName name="Asp_dens" localSheetId="1">FPc_Depo!$BZ$59:$CC$558</definedName>
    <definedName name="Asp_Depo_SoakEff" localSheetId="1">FPc_Depo!$CG$42</definedName>
    <definedName name="Asp_Depo_Summary_dP" localSheetId="1">FPc_Depo!$BU$37:$BX$40</definedName>
    <definedName name="Asp_Depo_Summary_dP0" localSheetId="1">FPc_Depo!$BE$37:$BH$40</definedName>
    <definedName name="Asp_Depo_Summary_Sep" localSheetId="1">FPc_Depo!$BU$43:$BW$49</definedName>
    <definedName name="Asp_Depo_Summary_Sep0" localSheetId="1">FPc_Depo!$BE$43:$BG$49</definedName>
    <definedName name="Asp_DepoInputs" localSheetId="1">FPc_Depo!$BL$57:$CN$558</definedName>
    <definedName name="Asp_DepoModel" localSheetId="1">FPc_Depo!$CO$57:$CV$558</definedName>
    <definedName name="Asp_DepoModel_All" localSheetId="1">FPc_Depo!$C$56:$BH$558</definedName>
    <definedName name="Asp_DepoModel0" localSheetId="1">FPc_Depo!$C$57:$Q$558</definedName>
    <definedName name="Asp_ErrMsg" localSheetId="1">FPc_Depo!$E$40</definedName>
    <definedName name="Asp_Fluid" localSheetId="1">FPc_Depo!$B$19:$D$21</definedName>
    <definedName name="Asp_FluidProps" localSheetId="1">FPc_Depo!$BT$57:$CK$558</definedName>
    <definedName name="Asp_FluidProps_Val" localSheetId="1">FPc_Depo!$BT$59:$CK$558</definedName>
    <definedName name="Asp_fracBlock" localSheetId="1">FPc_Depo!$BR$57:$BS$558</definedName>
    <definedName name="Asp_fracBlock_Out" localSheetId="1">FPc_Depo!$CS$57:$CT$558</definedName>
    <definedName name="Asp_kAgCoeff" localSheetId="1">FPc_Depo!$U$38:$AB$38</definedName>
    <definedName name="Asp_P" localSheetId="1">FPc_Depo!$BN$59:$BN$558</definedName>
    <definedName name="Asp_ProfileType" localSheetId="1">FPc_Depo!$L$31</definedName>
    <definedName name="Asp_Rate" localSheetId="1">FPc_Depo!$CL$57:$CN$558</definedName>
    <definedName name="Asp_RateParam" localSheetId="1">FPc_Depo!$CL$59:$CN$558</definedName>
    <definedName name="Asp_SP" localSheetId="1">FPc_Depo!$CD$59:$CG$558</definedName>
    <definedName name="Asp_T" localSheetId="1">FPc_Depo!$BO$59:$BO$558</definedName>
    <definedName name="Asp_Thermo" localSheetId="1">FPc_Depo!$A$57:$A$558</definedName>
    <definedName name="Asp_TP" localSheetId="1">FPc_Depo!$K$27:$M$31</definedName>
    <definedName name="Asp_visco" localSheetId="1">FPc_Depo!$CH$59:$CK$558</definedName>
    <definedName name="Asp_Well" localSheetId="1">FPc_Depo!$AC$22:$AE$26</definedName>
    <definedName name="Asp_x0" localSheetId="1">FPc_Depo!$BR$59:$BS$558</definedName>
    <definedName name="Asp_xf" localSheetId="1">FPc_Depo!$CS$59:$CT$558</definedName>
    <definedName name="Asp_yAsp" localSheetId="1">FPc_Depo!$BU$59:$BV$558</definedName>
    <definedName name="Asp_zPTx" localSheetId="1">FPc_Depo!$BL$57:$BQ$558</definedName>
    <definedName name="BIP" localSheetId="0">FPp_main!$C$52:$AF$81</definedName>
    <definedName name="BIP_T" localSheetId="0">FPp_main!$AI$52:$BL$81</definedName>
    <definedName name="Calc_Settings" localSheetId="0">FPp_main!$C$3:$C$8</definedName>
    <definedName name="ChgEv" localSheetId="0">FPp_main!$T$48</definedName>
    <definedName name="comp" localSheetId="0">FPp_main!$C$17:$L$46</definedName>
    <definedName name="comp_Blend" localSheetId="1">FPc_Depo!$E$5:$E$8</definedName>
    <definedName name="Comp_Class" localSheetId="0">FPp_main!$R$17:$R$46</definedName>
    <definedName name="comp_Inj" localSheetId="0">FPp_main!$F$17:$L$46</definedName>
    <definedName name="Comp_Name" localSheetId="1">FPc_Depo!$B$5:$B$8</definedName>
    <definedName name="Comp_Name" localSheetId="0">FPp_main!$Q$17:$Q$46</definedName>
    <definedName name="comp_Res" localSheetId="0">FPp_main!$C$17:$C$46</definedName>
    <definedName name="comp_STG" localSheetId="0">FPp_main!$E$17:$E$46</definedName>
    <definedName name="comp_STL" localSheetId="0">FPp_main!$D$17:$D$46</definedName>
    <definedName name="config">FPp_main!$E$88</definedName>
    <definedName name="DB_Compo" localSheetId="0">FPp_main!$C$15:$L$46</definedName>
    <definedName name="DB_Param" localSheetId="0">FPp_main!$N$17:$GV$46</definedName>
    <definedName name="Depo_Solver" localSheetId="1">FPc_Depo!$AP$44:$AP$46</definedName>
    <definedName name="EOS" localSheetId="0">FPp_main!$C$3</definedName>
    <definedName name="kAg_coeffs" localSheetId="1">FPc_Depo!$S$36:$AB$38</definedName>
    <definedName name="MW" localSheetId="0">FPp_main!$S$17:$S$46</definedName>
    <definedName name="nComp_Max" localSheetId="0">FPp_main!$P$47</definedName>
    <definedName name="nSteps" localSheetId="1">FPc_Depo!$M$42</definedName>
    <definedName name="ON_Dep" localSheetId="1">FPc_Depo!$E$55</definedName>
    <definedName name="PT_trace" localSheetId="1">FPc_Depo!$L$27:$M$30</definedName>
    <definedName name="sht_P" localSheetId="1">FPc_Depo!$E$16</definedName>
    <definedName name="Units" localSheetId="0">FPp_main!$F$5:$Q$8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7" i="2" l="1"/>
  <c r="AP12" i="2"/>
  <c r="AP28" i="2"/>
  <c r="BG49" i="2"/>
  <c r="BG48" i="2"/>
  <c r="BG47" i="2"/>
  <c r="BG46" i="2"/>
  <c r="BG45" i="2"/>
  <c r="AP10" i="2"/>
  <c r="AJ82" i="3"/>
  <c r="D82" i="3"/>
  <c r="AH52" i="3" a="1"/>
  <c r="AH69" i="3" s="1"/>
  <c r="B52" i="3" a="1"/>
  <c r="B68" i="3" s="1"/>
  <c r="T47" i="3"/>
  <c r="P47" i="3"/>
  <c r="L47" i="3"/>
  <c r="K47" i="3"/>
  <c r="J47" i="3"/>
  <c r="I47" i="3"/>
  <c r="H47" i="3"/>
  <c r="G47" i="3"/>
  <c r="F47" i="3"/>
  <c r="E47" i="3"/>
  <c r="D47" i="3"/>
  <c r="C47" i="3"/>
  <c r="B17" i="3" a="1"/>
  <c r="B17" i="3" s="1"/>
  <c r="AP11" i="2"/>
  <c r="AP9" i="2"/>
  <c r="AX56" i="2"/>
  <c r="AU56" i="2"/>
  <c r="AR56" i="2"/>
  <c r="AO56" i="2"/>
  <c r="AL56" i="2"/>
  <c r="AI56" i="2"/>
  <c r="AF56" i="2"/>
  <c r="AC56" i="2"/>
  <c r="Z56" i="2"/>
  <c r="W56" i="2"/>
  <c r="BG44" i="2"/>
  <c r="BG43" i="2"/>
  <c r="BF44" i="2"/>
  <c r="BF43" i="2"/>
  <c r="L41" i="2" a="1"/>
  <c r="M41" i="2" s="1"/>
  <c r="U40" i="2" a="1"/>
  <c r="L40" i="2" a="1"/>
  <c r="E39" i="2"/>
  <c r="F39" i="2" s="1"/>
  <c r="G39" i="2" s="1"/>
  <c r="E38" i="2"/>
  <c r="F38" i="2" s="1"/>
  <c r="G38" i="2" s="1"/>
  <c r="BF37" i="2"/>
  <c r="E37" i="2"/>
  <c r="F37" i="2" s="1"/>
  <c r="G37" i="2" s="1"/>
  <c r="L36" i="2" a="1"/>
  <c r="M39" i="2" s="1"/>
  <c r="AP32" i="2"/>
  <c r="W29" i="2" a="1"/>
  <c r="W29" i="2" s="1"/>
  <c r="W23" i="2" a="1"/>
  <c r="W25" i="2" s="1"/>
  <c r="C59" i="2" a="1"/>
  <c r="C59" i="2" l="1"/>
  <c r="S59" i="2"/>
  <c r="AI59" i="2"/>
  <c r="AY59" i="2"/>
  <c r="I60" i="2"/>
  <c r="Y60" i="2"/>
  <c r="AO60" i="2"/>
  <c r="BE60" i="2"/>
  <c r="O61" i="2"/>
  <c r="AE61" i="2"/>
  <c r="AU61" i="2"/>
  <c r="E62" i="2"/>
  <c r="U62" i="2"/>
  <c r="AK62" i="2"/>
  <c r="BA62" i="2"/>
  <c r="K63" i="2"/>
  <c r="AA63" i="2"/>
  <c r="AQ63" i="2"/>
  <c r="BG63" i="2"/>
  <c r="Q64" i="2"/>
  <c r="AG64" i="2"/>
  <c r="AW64" i="2"/>
  <c r="G65" i="2"/>
  <c r="W65" i="2"/>
  <c r="AM65" i="2"/>
  <c r="BC65" i="2"/>
  <c r="M66" i="2"/>
  <c r="AC66" i="2"/>
  <c r="AS66" i="2"/>
  <c r="C67" i="2"/>
  <c r="S67" i="2"/>
  <c r="AI67" i="2"/>
  <c r="AY67" i="2"/>
  <c r="I68" i="2"/>
  <c r="Y68" i="2"/>
  <c r="AO68" i="2"/>
  <c r="BE68" i="2"/>
  <c r="O69" i="2"/>
  <c r="AE69" i="2"/>
  <c r="AU69" i="2"/>
  <c r="E70" i="2"/>
  <c r="U70" i="2"/>
  <c r="AK70" i="2"/>
  <c r="BA70" i="2"/>
  <c r="K71" i="2"/>
  <c r="AA71" i="2"/>
  <c r="AQ71" i="2"/>
  <c r="BG71" i="2"/>
  <c r="Q72" i="2"/>
  <c r="AG72" i="2"/>
  <c r="AW72" i="2"/>
  <c r="G73" i="2"/>
  <c r="W73" i="2"/>
  <c r="AM73" i="2"/>
  <c r="BC73" i="2"/>
  <c r="M74" i="2"/>
  <c r="AC74" i="2"/>
  <c r="AS74" i="2"/>
  <c r="D59" i="2"/>
  <c r="T59" i="2"/>
  <c r="AJ59" i="2"/>
  <c r="E59" i="2"/>
  <c r="U59" i="2"/>
  <c r="AK59" i="2"/>
  <c r="BA59" i="2"/>
  <c r="K60" i="2"/>
  <c r="AA60" i="2"/>
  <c r="AQ60" i="2"/>
  <c r="BG60" i="2"/>
  <c r="Q61" i="2"/>
  <c r="AG61" i="2"/>
  <c r="AW61" i="2"/>
  <c r="G62" i="2"/>
  <c r="W62" i="2"/>
  <c r="AM62" i="2"/>
  <c r="BC62" i="2"/>
  <c r="M63" i="2"/>
  <c r="AC63" i="2"/>
  <c r="AS63" i="2"/>
  <c r="C64" i="2"/>
  <c r="S64" i="2"/>
  <c r="AI64" i="2"/>
  <c r="AY64" i="2"/>
  <c r="I65" i="2"/>
  <c r="Y65" i="2"/>
  <c r="AO65" i="2"/>
  <c r="BE65" i="2"/>
  <c r="O66" i="2"/>
  <c r="AE66" i="2"/>
  <c r="AU66" i="2"/>
  <c r="E67" i="2"/>
  <c r="U67" i="2"/>
  <c r="AK67" i="2"/>
  <c r="BA67" i="2"/>
  <c r="K68" i="2"/>
  <c r="AA68" i="2"/>
  <c r="AQ68" i="2"/>
  <c r="BG68" i="2"/>
  <c r="Q69" i="2"/>
  <c r="AG69" i="2"/>
  <c r="AW69" i="2"/>
  <c r="G70" i="2"/>
  <c r="W70" i="2"/>
  <c r="AM70" i="2"/>
  <c r="BC70" i="2"/>
  <c r="M71" i="2"/>
  <c r="AC71" i="2"/>
  <c r="AS71" i="2"/>
  <c r="C72" i="2"/>
  <c r="S72" i="2"/>
  <c r="AI72" i="2"/>
  <c r="AY72" i="2"/>
  <c r="I73" i="2"/>
  <c r="Y73" i="2"/>
  <c r="AO73" i="2"/>
  <c r="BE73" i="2"/>
  <c r="O74" i="2"/>
  <c r="AE74" i="2"/>
  <c r="AU74" i="2"/>
  <c r="E75" i="2"/>
  <c r="U75" i="2"/>
  <c r="AK75" i="2"/>
  <c r="BA75" i="2"/>
  <c r="K76" i="2"/>
  <c r="AA76" i="2"/>
  <c r="AQ76" i="2"/>
  <c r="BG76" i="2"/>
  <c r="Q77" i="2"/>
  <c r="AG77" i="2"/>
  <c r="AW77" i="2"/>
  <c r="G78" i="2"/>
  <c r="W78" i="2"/>
  <c r="AM78" i="2"/>
  <c r="BC78" i="2"/>
  <c r="M79" i="2"/>
  <c r="AC79" i="2"/>
  <c r="AS79" i="2"/>
  <c r="C80" i="2"/>
  <c r="S80" i="2"/>
  <c r="AI80" i="2"/>
  <c r="AY80" i="2"/>
  <c r="I81" i="2"/>
  <c r="Y81" i="2"/>
  <c r="AO81" i="2"/>
  <c r="BE81" i="2"/>
  <c r="O82" i="2"/>
  <c r="F59" i="2"/>
  <c r="V59" i="2"/>
  <c r="AL59" i="2"/>
  <c r="BB59" i="2"/>
  <c r="L60" i="2"/>
  <c r="AB60" i="2"/>
  <c r="AR60" i="2"/>
  <c r="BH60" i="2"/>
  <c r="R61" i="2"/>
  <c r="AH61" i="2"/>
  <c r="AX61" i="2"/>
  <c r="H62" i="2"/>
  <c r="X62" i="2"/>
  <c r="AN62" i="2"/>
  <c r="BD62" i="2"/>
  <c r="N63" i="2"/>
  <c r="AD63" i="2"/>
  <c r="AT63" i="2"/>
  <c r="D64" i="2"/>
  <c r="T64" i="2"/>
  <c r="AJ64" i="2"/>
  <c r="AZ64" i="2"/>
  <c r="J65" i="2"/>
  <c r="Z65" i="2"/>
  <c r="AP65" i="2"/>
  <c r="BF65" i="2"/>
  <c r="P66" i="2"/>
  <c r="AF66" i="2"/>
  <c r="AV66" i="2"/>
  <c r="F67" i="2"/>
  <c r="V67" i="2"/>
  <c r="AL67" i="2"/>
  <c r="BB67" i="2"/>
  <c r="L68" i="2"/>
  <c r="AB68" i="2"/>
  <c r="AR68" i="2"/>
  <c r="BH68" i="2"/>
  <c r="R69" i="2"/>
  <c r="AH69" i="2"/>
  <c r="AX69" i="2"/>
  <c r="H70" i="2"/>
  <c r="X70" i="2"/>
  <c r="AN70" i="2"/>
  <c r="BD70" i="2"/>
  <c r="N71" i="2"/>
  <c r="AD71" i="2"/>
  <c r="AT71" i="2"/>
  <c r="D72" i="2"/>
  <c r="T72" i="2"/>
  <c r="AJ72" i="2"/>
  <c r="AZ72" i="2"/>
  <c r="J73" i="2"/>
  <c r="Z73" i="2"/>
  <c r="AP73" i="2"/>
  <c r="BF73" i="2"/>
  <c r="P74" i="2"/>
  <c r="AF74" i="2"/>
  <c r="AV74" i="2"/>
  <c r="F75" i="2"/>
  <c r="V75" i="2"/>
  <c r="AL75" i="2"/>
  <c r="BB75" i="2"/>
  <c r="L76" i="2"/>
  <c r="AB76" i="2"/>
  <c r="AR76" i="2"/>
  <c r="BH76" i="2"/>
  <c r="R77" i="2"/>
  <c r="AH77" i="2"/>
  <c r="AX77" i="2"/>
  <c r="H78" i="2"/>
  <c r="X78" i="2"/>
  <c r="AN78" i="2"/>
  <c r="BD78" i="2"/>
  <c r="N79" i="2"/>
  <c r="AD79" i="2"/>
  <c r="AT79" i="2"/>
  <c r="D80" i="2"/>
  <c r="T80" i="2"/>
  <c r="AJ80" i="2"/>
  <c r="AZ80" i="2"/>
  <c r="J81" i="2"/>
  <c r="Z81" i="2"/>
  <c r="AP81" i="2"/>
  <c r="BF81" i="2"/>
  <c r="P82" i="2"/>
  <c r="G59" i="2"/>
  <c r="W59" i="2"/>
  <c r="AM59" i="2"/>
  <c r="BC59" i="2"/>
  <c r="M60" i="2"/>
  <c r="AC60" i="2"/>
  <c r="AS60" i="2"/>
  <c r="C61" i="2"/>
  <c r="S61" i="2"/>
  <c r="AI61" i="2"/>
  <c r="AY61" i="2"/>
  <c r="I62" i="2"/>
  <c r="Y62" i="2"/>
  <c r="AO62" i="2"/>
  <c r="BE62" i="2"/>
  <c r="O63" i="2"/>
  <c r="AE63" i="2"/>
  <c r="AU63" i="2"/>
  <c r="E64" i="2"/>
  <c r="U64" i="2"/>
  <c r="AK64" i="2"/>
  <c r="BA64" i="2"/>
  <c r="K65" i="2"/>
  <c r="AA65" i="2"/>
  <c r="AQ65" i="2"/>
  <c r="BG65" i="2"/>
  <c r="Q66" i="2"/>
  <c r="AG66" i="2"/>
  <c r="AW66" i="2"/>
  <c r="G67" i="2"/>
  <c r="W67" i="2"/>
  <c r="AM67" i="2"/>
  <c r="BC67" i="2"/>
  <c r="M68" i="2"/>
  <c r="AC68" i="2"/>
  <c r="AS68" i="2"/>
  <c r="C69" i="2"/>
  <c r="S69" i="2"/>
  <c r="AI69" i="2"/>
  <c r="AY69" i="2"/>
  <c r="I70" i="2"/>
  <c r="Y70" i="2"/>
  <c r="AO70" i="2"/>
  <c r="BE70" i="2"/>
  <c r="O71" i="2"/>
  <c r="AE71" i="2"/>
  <c r="AU71" i="2"/>
  <c r="E72" i="2"/>
  <c r="U72" i="2"/>
  <c r="AK72" i="2"/>
  <c r="BA72" i="2"/>
  <c r="K73" i="2"/>
  <c r="AA73" i="2"/>
  <c r="H59" i="2"/>
  <c r="I59" i="2"/>
  <c r="Y59" i="2"/>
  <c r="AO59" i="2"/>
  <c r="BE59" i="2"/>
  <c r="O60" i="2"/>
  <c r="AE60" i="2"/>
  <c r="AU60" i="2"/>
  <c r="E61" i="2"/>
  <c r="U61" i="2"/>
  <c r="AK61" i="2"/>
  <c r="BA61" i="2"/>
  <c r="K62" i="2"/>
  <c r="AA62" i="2"/>
  <c r="AQ62" i="2"/>
  <c r="BG62" i="2"/>
  <c r="Q63" i="2"/>
  <c r="AG63" i="2"/>
  <c r="AW63" i="2"/>
  <c r="G64" i="2"/>
  <c r="W64" i="2"/>
  <c r="AM64" i="2"/>
  <c r="BC64" i="2"/>
  <c r="M65" i="2"/>
  <c r="AC65" i="2"/>
  <c r="AS65" i="2"/>
  <c r="C66" i="2"/>
  <c r="S66" i="2"/>
  <c r="AI66" i="2"/>
  <c r="AY66" i="2"/>
  <c r="I67" i="2"/>
  <c r="Y67" i="2"/>
  <c r="AO67" i="2"/>
  <c r="BE67" i="2"/>
  <c r="O68" i="2"/>
  <c r="AE68" i="2"/>
  <c r="AU68" i="2"/>
  <c r="E69" i="2"/>
  <c r="U69" i="2"/>
  <c r="AK69" i="2"/>
  <c r="BA69" i="2"/>
  <c r="K70" i="2"/>
  <c r="AA70" i="2"/>
  <c r="AQ70" i="2"/>
  <c r="BG70" i="2"/>
  <c r="Q71" i="2"/>
  <c r="AG71" i="2"/>
  <c r="AW71" i="2"/>
  <c r="G72" i="2"/>
  <c r="W72" i="2"/>
  <c r="AM72" i="2"/>
  <c r="BC72" i="2"/>
  <c r="M73" i="2"/>
  <c r="AC73" i="2"/>
  <c r="AS73" i="2"/>
  <c r="C74" i="2"/>
  <c r="S74" i="2"/>
  <c r="AI74" i="2"/>
  <c r="AY74" i="2"/>
  <c r="I75" i="2"/>
  <c r="Y75" i="2"/>
  <c r="AO75" i="2"/>
  <c r="BE75" i="2"/>
  <c r="O76" i="2"/>
  <c r="AE76" i="2"/>
  <c r="AU76" i="2"/>
  <c r="E77" i="2"/>
  <c r="U77" i="2"/>
  <c r="AK77" i="2"/>
  <c r="BA77" i="2"/>
  <c r="K78" i="2"/>
  <c r="AA78" i="2"/>
  <c r="AQ78" i="2"/>
  <c r="BG78" i="2"/>
  <c r="Q79" i="2"/>
  <c r="AG79" i="2"/>
  <c r="AW79" i="2"/>
  <c r="G80" i="2"/>
  <c r="W80" i="2"/>
  <c r="AM80" i="2"/>
  <c r="BC80" i="2"/>
  <c r="M81" i="2"/>
  <c r="AC81" i="2"/>
  <c r="AS81" i="2"/>
  <c r="C82" i="2"/>
  <c r="S82" i="2"/>
  <c r="J59" i="2"/>
  <c r="L59" i="2"/>
  <c r="M59" i="2"/>
  <c r="N59" i="2"/>
  <c r="O59" i="2"/>
  <c r="K59" i="2"/>
  <c r="AQ59" i="2"/>
  <c r="F60" i="2"/>
  <c r="AF60" i="2"/>
  <c r="BA60" i="2"/>
  <c r="T61" i="2"/>
  <c r="AP61" i="2"/>
  <c r="F62" i="2"/>
  <c r="AE62" i="2"/>
  <c r="AZ62" i="2"/>
  <c r="T63" i="2"/>
  <c r="AO63" i="2"/>
  <c r="I64" i="2"/>
  <c r="AD64" i="2"/>
  <c r="BD64" i="2"/>
  <c r="S65" i="2"/>
  <c r="AR65" i="2"/>
  <c r="H66" i="2"/>
  <c r="AD66" i="2"/>
  <c r="BC66" i="2"/>
  <c r="R67" i="2"/>
  <c r="AR67" i="2"/>
  <c r="G68" i="2"/>
  <c r="AG68" i="2"/>
  <c r="BB68" i="2"/>
  <c r="V69" i="2"/>
  <c r="AQ69" i="2"/>
  <c r="J70" i="2"/>
  <c r="AF70" i="2"/>
  <c r="BB70" i="2"/>
  <c r="U71" i="2"/>
  <c r="AP71" i="2"/>
  <c r="J72" i="2"/>
  <c r="AE72" i="2"/>
  <c r="BE72" i="2"/>
  <c r="T73" i="2"/>
  <c r="AR73" i="2"/>
  <c r="G74" i="2"/>
  <c r="AA74" i="2"/>
  <c r="AX74" i="2"/>
  <c r="L75" i="2"/>
  <c r="AE75" i="2"/>
  <c r="AX75" i="2"/>
  <c r="M76" i="2"/>
  <c r="AG76" i="2"/>
  <c r="AZ76" i="2"/>
  <c r="M77" i="2"/>
  <c r="AF77" i="2"/>
  <c r="BB77" i="2"/>
  <c r="O78" i="2"/>
  <c r="AH78" i="2"/>
  <c r="BA78" i="2"/>
  <c r="P79" i="2"/>
  <c r="AJ79" i="2"/>
  <c r="BC79" i="2"/>
  <c r="P80" i="2"/>
  <c r="AK80" i="2"/>
  <c r="BE80" i="2"/>
  <c r="R81" i="2"/>
  <c r="AK81" i="2"/>
  <c r="BD81" i="2"/>
  <c r="T82" i="2"/>
  <c r="AJ82" i="2"/>
  <c r="AZ82" i="2"/>
  <c r="J83" i="2"/>
  <c r="Z83" i="2"/>
  <c r="AP83" i="2"/>
  <c r="BF83" i="2"/>
  <c r="P84" i="2"/>
  <c r="AF84" i="2"/>
  <c r="AV84" i="2"/>
  <c r="F85" i="2"/>
  <c r="V85" i="2"/>
  <c r="AL85" i="2"/>
  <c r="BB85" i="2"/>
  <c r="L86" i="2"/>
  <c r="P59" i="2"/>
  <c r="AR59" i="2"/>
  <c r="G60" i="2"/>
  <c r="AG60" i="2"/>
  <c r="BB60" i="2"/>
  <c r="V61" i="2"/>
  <c r="AQ61" i="2"/>
  <c r="J62" i="2"/>
  <c r="AF62" i="2"/>
  <c r="BB62" i="2"/>
  <c r="U63" i="2"/>
  <c r="AP63" i="2"/>
  <c r="J64" i="2"/>
  <c r="AE64" i="2"/>
  <c r="BE64" i="2"/>
  <c r="T65" i="2"/>
  <c r="AT65" i="2"/>
  <c r="I66" i="2"/>
  <c r="AH66" i="2"/>
  <c r="BD66" i="2"/>
  <c r="T67" i="2"/>
  <c r="AS67" i="2"/>
  <c r="H68" i="2"/>
  <c r="AH68" i="2"/>
  <c r="BC68" i="2"/>
  <c r="W69" i="2"/>
  <c r="AR69" i="2"/>
  <c r="L70" i="2"/>
  <c r="AG70" i="2"/>
  <c r="BF70" i="2"/>
  <c r="V71" i="2"/>
  <c r="AR71" i="2"/>
  <c r="K72" i="2"/>
  <c r="AF72" i="2"/>
  <c r="BF72" i="2"/>
  <c r="U73" i="2"/>
  <c r="AT73" i="2"/>
  <c r="H74" i="2"/>
  <c r="AB74" i="2"/>
  <c r="AZ74" i="2"/>
  <c r="M75" i="2"/>
  <c r="AF75" i="2"/>
  <c r="AY75" i="2"/>
  <c r="N76" i="2"/>
  <c r="AH76" i="2"/>
  <c r="BA76" i="2"/>
  <c r="N77" i="2"/>
  <c r="AI77" i="2"/>
  <c r="BC77" i="2"/>
  <c r="P78" i="2"/>
  <c r="AI78" i="2"/>
  <c r="BB78" i="2"/>
  <c r="R79" i="2"/>
  <c r="AK79" i="2"/>
  <c r="BD79" i="2"/>
  <c r="Q80" i="2"/>
  <c r="AL80" i="2"/>
  <c r="BF80" i="2"/>
  <c r="S81" i="2"/>
  <c r="AL81" i="2"/>
  <c r="BG81" i="2"/>
  <c r="U82" i="2"/>
  <c r="AK82" i="2"/>
  <c r="BA82" i="2"/>
  <c r="K83" i="2"/>
  <c r="AA83" i="2"/>
  <c r="AQ83" i="2"/>
  <c r="BG83" i="2"/>
  <c r="Q84" i="2"/>
  <c r="AG84" i="2"/>
  <c r="AW84" i="2"/>
  <c r="G85" i="2"/>
  <c r="W85" i="2"/>
  <c r="AM85" i="2"/>
  <c r="BC85" i="2"/>
  <c r="M86" i="2"/>
  <c r="AC86" i="2"/>
  <c r="AS86" i="2"/>
  <c r="C87" i="2"/>
  <c r="S87" i="2"/>
  <c r="AI87" i="2"/>
  <c r="AY87" i="2"/>
  <c r="I88" i="2"/>
  <c r="Y88" i="2"/>
  <c r="AO88" i="2"/>
  <c r="Q59" i="2"/>
  <c r="AS59" i="2"/>
  <c r="H60" i="2"/>
  <c r="AH60" i="2"/>
  <c r="BC60" i="2"/>
  <c r="W61" i="2"/>
  <c r="AR61" i="2"/>
  <c r="L62" i="2"/>
  <c r="AG62" i="2"/>
  <c r="BF62" i="2"/>
  <c r="V63" i="2"/>
  <c r="AR63" i="2"/>
  <c r="K64" i="2"/>
  <c r="AF64" i="2"/>
  <c r="BF64" i="2"/>
  <c r="U65" i="2"/>
  <c r="AU65" i="2"/>
  <c r="J66" i="2"/>
  <c r="AJ66" i="2"/>
  <c r="BE66" i="2"/>
  <c r="X67" i="2"/>
  <c r="AT67" i="2"/>
  <c r="J68" i="2"/>
  <c r="AI68" i="2"/>
  <c r="BD68" i="2"/>
  <c r="X69" i="2"/>
  <c r="AS69" i="2"/>
  <c r="M70" i="2"/>
  <c r="AH70" i="2"/>
  <c r="BH70" i="2"/>
  <c r="W71" i="2"/>
  <c r="AV71" i="2"/>
  <c r="L72" i="2"/>
  <c r="AH72" i="2"/>
  <c r="BG72" i="2"/>
  <c r="V73" i="2"/>
  <c r="AU73" i="2"/>
  <c r="I74" i="2"/>
  <c r="AD74" i="2"/>
  <c r="BA74" i="2"/>
  <c r="N75" i="2"/>
  <c r="AG75" i="2"/>
  <c r="AZ75" i="2"/>
  <c r="P76" i="2"/>
  <c r="AI76" i="2"/>
  <c r="BB76" i="2"/>
  <c r="O77" i="2"/>
  <c r="AJ77" i="2"/>
  <c r="BD77" i="2"/>
  <c r="Q78" i="2"/>
  <c r="AJ78" i="2"/>
  <c r="BE78" i="2"/>
  <c r="S79" i="2"/>
  <c r="AL79" i="2"/>
  <c r="BE79" i="2"/>
  <c r="R80" i="2"/>
  <c r="AN80" i="2"/>
  <c r="BG80" i="2"/>
  <c r="T81" i="2"/>
  <c r="AM81" i="2"/>
  <c r="BH81" i="2"/>
  <c r="V82" i="2"/>
  <c r="AL82" i="2"/>
  <c r="BB82" i="2"/>
  <c r="L83" i="2"/>
  <c r="AB83" i="2"/>
  <c r="AR83" i="2"/>
  <c r="BH83" i="2"/>
  <c r="R84" i="2"/>
  <c r="AH84" i="2"/>
  <c r="AX84" i="2"/>
  <c r="H85" i="2"/>
  <c r="X85" i="2"/>
  <c r="AN85" i="2"/>
  <c r="BD85" i="2"/>
  <c r="X59" i="2"/>
  <c r="AU59" i="2"/>
  <c r="N60" i="2"/>
  <c r="AJ60" i="2"/>
  <c r="BF60" i="2"/>
  <c r="Y61" i="2"/>
  <c r="AT61" i="2"/>
  <c r="N62" i="2"/>
  <c r="AI62" i="2"/>
  <c r="C63" i="2"/>
  <c r="X63" i="2"/>
  <c r="AX63" i="2"/>
  <c r="M64" i="2"/>
  <c r="AL64" i="2"/>
  <c r="BH64" i="2"/>
  <c r="X65" i="2"/>
  <c r="AW65" i="2"/>
  <c r="L66" i="2"/>
  <c r="AL66" i="2"/>
  <c r="BG66" i="2"/>
  <c r="AA67" i="2"/>
  <c r="AV67" i="2"/>
  <c r="P68" i="2"/>
  <c r="AK68" i="2"/>
  <c r="D69" i="2"/>
  <c r="Z69" i="2"/>
  <c r="AV69" i="2"/>
  <c r="O70" i="2"/>
  <c r="AJ70" i="2"/>
  <c r="R59" i="2"/>
  <c r="AZ59" i="2"/>
  <c r="W60" i="2"/>
  <c r="BD60" i="2"/>
  <c r="AC61" i="2"/>
  <c r="BG61" i="2"/>
  <c r="AH62" i="2"/>
  <c r="G63" i="2"/>
  <c r="AK63" i="2"/>
  <c r="L64" i="2"/>
  <c r="AQ64" i="2"/>
  <c r="O65" i="2"/>
  <c r="AV65" i="2"/>
  <c r="U66" i="2"/>
  <c r="AX66" i="2"/>
  <c r="Z67" i="2"/>
  <c r="BD67" i="2"/>
  <c r="X68" i="2"/>
  <c r="BF68" i="2"/>
  <c r="AD69" i="2"/>
  <c r="BH69" i="2"/>
  <c r="AI70" i="2"/>
  <c r="G71" i="2"/>
  <c r="AJ71" i="2"/>
  <c r="F72" i="2"/>
  <c r="AL72" i="2"/>
  <c r="E73" i="2"/>
  <c r="AH73" i="2"/>
  <c r="BH73" i="2"/>
  <c r="Z74" i="2"/>
  <c r="BD74" i="2"/>
  <c r="T75" i="2"/>
  <c r="AS75" i="2"/>
  <c r="I76" i="2"/>
  <c r="AK76" i="2"/>
  <c r="C77" i="2"/>
  <c r="Z77" i="2"/>
  <c r="AV77" i="2"/>
  <c r="R78" i="2"/>
  <c r="AP78" i="2"/>
  <c r="G79" i="2"/>
  <c r="AE79" i="2"/>
  <c r="BB79" i="2"/>
  <c r="X80" i="2"/>
  <c r="AT80" i="2"/>
  <c r="L81" i="2"/>
  <c r="AI81" i="2"/>
  <c r="E82" i="2"/>
  <c r="AA82" i="2"/>
  <c r="AT82" i="2"/>
  <c r="G83" i="2"/>
  <c r="AC83" i="2"/>
  <c r="AV83" i="2"/>
  <c r="I84" i="2"/>
  <c r="AB84" i="2"/>
  <c r="AU84" i="2"/>
  <c r="K85" i="2"/>
  <c r="AD85" i="2"/>
  <c r="AW85" i="2"/>
  <c r="J86" i="2"/>
  <c r="AB86" i="2"/>
  <c r="AT86" i="2"/>
  <c r="E87" i="2"/>
  <c r="V87" i="2"/>
  <c r="AM87" i="2"/>
  <c r="BD87" i="2"/>
  <c r="O88" i="2"/>
  <c r="AF88" i="2"/>
  <c r="AW88" i="2"/>
  <c r="G89" i="2"/>
  <c r="W89" i="2"/>
  <c r="AM89" i="2"/>
  <c r="BC89" i="2"/>
  <c r="M90" i="2"/>
  <c r="AC90" i="2"/>
  <c r="AS90" i="2"/>
  <c r="C91" i="2"/>
  <c r="S91" i="2"/>
  <c r="AI91" i="2"/>
  <c r="AY91" i="2"/>
  <c r="I92" i="2"/>
  <c r="Y92" i="2"/>
  <c r="AO92" i="2"/>
  <c r="BE92" i="2"/>
  <c r="O93" i="2"/>
  <c r="Z59" i="2"/>
  <c r="BD59" i="2"/>
  <c r="X60" i="2"/>
  <c r="D61" i="2"/>
  <c r="AD61" i="2"/>
  <c r="BH61" i="2"/>
  <c r="AJ62" i="2"/>
  <c r="H63" i="2"/>
  <c r="AL63" i="2"/>
  <c r="N64" i="2"/>
  <c r="AR64" i="2"/>
  <c r="P65" i="2"/>
  <c r="AX65" i="2"/>
  <c r="V66" i="2"/>
  <c r="AZ66" i="2"/>
  <c r="AB67" i="2"/>
  <c r="BF67" i="2"/>
  <c r="Z68" i="2"/>
  <c r="F69" i="2"/>
  <c r="AF69" i="2"/>
  <c r="C70" i="2"/>
  <c r="AL70" i="2"/>
  <c r="H71" i="2"/>
  <c r="AK71" i="2"/>
  <c r="H72" i="2"/>
  <c r="AN72" i="2"/>
  <c r="F73" i="2"/>
  <c r="AI73" i="2"/>
  <c r="D74" i="2"/>
  <c r="AG74" i="2"/>
  <c r="BE74" i="2"/>
  <c r="W75" i="2"/>
  <c r="AT75" i="2"/>
  <c r="J76" i="2"/>
  <c r="AL76" i="2"/>
  <c r="D77" i="2"/>
  <c r="AA77" i="2"/>
  <c r="AY77" i="2"/>
  <c r="S78" i="2"/>
  <c r="AR78" i="2"/>
  <c r="H79" i="2"/>
  <c r="AF79" i="2"/>
  <c r="BF79" i="2"/>
  <c r="Y80" i="2"/>
  <c r="AU80" i="2"/>
  <c r="N81" i="2"/>
  <c r="AJ81" i="2"/>
  <c r="F82" i="2"/>
  <c r="AB82" i="2"/>
  <c r="AU82" i="2"/>
  <c r="H83" i="2"/>
  <c r="AD83" i="2"/>
  <c r="AW83" i="2"/>
  <c r="J84" i="2"/>
  <c r="AC84" i="2"/>
  <c r="AY84" i="2"/>
  <c r="L85" i="2"/>
  <c r="AE85" i="2"/>
  <c r="AX85" i="2"/>
  <c r="K86" i="2"/>
  <c r="AD86" i="2"/>
  <c r="AU86" i="2"/>
  <c r="F87" i="2"/>
  <c r="W87" i="2"/>
  <c r="AN87" i="2"/>
  <c r="BE87" i="2"/>
  <c r="P88" i="2"/>
  <c r="AG88" i="2"/>
  <c r="AX88" i="2"/>
  <c r="H89" i="2"/>
  <c r="X89" i="2"/>
  <c r="AN89" i="2"/>
  <c r="BD89" i="2"/>
  <c r="N90" i="2"/>
  <c r="AD90" i="2"/>
  <c r="AT90" i="2"/>
  <c r="D91" i="2"/>
  <c r="T91" i="2"/>
  <c r="AJ91" i="2"/>
  <c r="AZ91" i="2"/>
  <c r="J92" i="2"/>
  <c r="Z92" i="2"/>
  <c r="AP92" i="2"/>
  <c r="AA59" i="2"/>
  <c r="BF59" i="2"/>
  <c r="Z60" i="2"/>
  <c r="F61" i="2"/>
  <c r="AF61" i="2"/>
  <c r="C62" i="2"/>
  <c r="AL62" i="2"/>
  <c r="I63" i="2"/>
  <c r="AM63" i="2"/>
  <c r="O64" i="2"/>
  <c r="AS64" i="2"/>
  <c r="Q65" i="2"/>
  <c r="AY65" i="2"/>
  <c r="W66" i="2"/>
  <c r="BA66" i="2"/>
  <c r="AC67" i="2"/>
  <c r="BG67" i="2"/>
  <c r="AD68" i="2"/>
  <c r="G69" i="2"/>
  <c r="AJ69" i="2"/>
  <c r="D70" i="2"/>
  <c r="AP70" i="2"/>
  <c r="I71" i="2"/>
  <c r="AL71" i="2"/>
  <c r="I72" i="2"/>
  <c r="AO72" i="2"/>
  <c r="H73" i="2"/>
  <c r="AJ73" i="2"/>
  <c r="E74" i="2"/>
  <c r="AH74" i="2"/>
  <c r="BF74" i="2"/>
  <c r="X75" i="2"/>
  <c r="AU75" i="2"/>
  <c r="Q76" i="2"/>
  <c r="AM76" i="2"/>
  <c r="F77" i="2"/>
  <c r="AB77" i="2"/>
  <c r="AZ77" i="2"/>
  <c r="T78" i="2"/>
  <c r="AS78" i="2"/>
  <c r="I79" i="2"/>
  <c r="AH79" i="2"/>
  <c r="BG79" i="2"/>
  <c r="Z80" i="2"/>
  <c r="AV80" i="2"/>
  <c r="O81" i="2"/>
  <c r="AN81" i="2"/>
  <c r="G82" i="2"/>
  <c r="AC82" i="2"/>
  <c r="AV82" i="2"/>
  <c r="I83" i="2"/>
  <c r="AE83" i="2"/>
  <c r="AX83" i="2"/>
  <c r="K84" i="2"/>
  <c r="AD84" i="2"/>
  <c r="AZ84" i="2"/>
  <c r="M85" i="2"/>
  <c r="AF85" i="2"/>
  <c r="AY85" i="2"/>
  <c r="N86" i="2"/>
  <c r="AE86" i="2"/>
  <c r="AV86" i="2"/>
  <c r="G87" i="2"/>
  <c r="X87" i="2"/>
  <c r="AO87" i="2"/>
  <c r="BF87" i="2"/>
  <c r="Q88" i="2"/>
  <c r="AH88" i="2"/>
  <c r="AY88" i="2"/>
  <c r="I89" i="2"/>
  <c r="Y89" i="2"/>
  <c r="AO89" i="2"/>
  <c r="BE89" i="2"/>
  <c r="AC59" i="2"/>
  <c r="AD59" i="2"/>
  <c r="AB59" i="2"/>
  <c r="J60" i="2"/>
  <c r="AV60" i="2"/>
  <c r="AA61" i="2"/>
  <c r="M62" i="2"/>
  <c r="AU62" i="2"/>
  <c r="Z63" i="2"/>
  <c r="BH63" i="2"/>
  <c r="AT64" i="2"/>
  <c r="AD65" i="2"/>
  <c r="E66" i="2"/>
  <c r="AP66" i="2"/>
  <c r="Q67" i="2"/>
  <c r="D68" i="2"/>
  <c r="AP68" i="2"/>
  <c r="T69" i="2"/>
  <c r="BF69" i="2"/>
  <c r="AS70" i="2"/>
  <c r="S71" i="2"/>
  <c r="BB71" i="2"/>
  <c r="AB72" i="2"/>
  <c r="L73" i="2"/>
  <c r="AQ73" i="2"/>
  <c r="R74" i="2"/>
  <c r="AT74" i="2"/>
  <c r="S75" i="2"/>
  <c r="BC75" i="2"/>
  <c r="W76" i="2"/>
  <c r="AY76" i="2"/>
  <c r="X77" i="2"/>
  <c r="BF77" i="2"/>
  <c r="AB78" i="2"/>
  <c r="BF78" i="2"/>
  <c r="Z79" i="2"/>
  <c r="BH79" i="2"/>
  <c r="AD80" i="2"/>
  <c r="C81" i="2"/>
  <c r="AE81" i="2"/>
  <c r="D82" i="2"/>
  <c r="AF82" i="2"/>
  <c r="BE82" i="2"/>
  <c r="U83" i="2"/>
  <c r="AT83" i="2"/>
  <c r="M84" i="2"/>
  <c r="AL84" i="2"/>
  <c r="BH84" i="2"/>
  <c r="AA85" i="2"/>
  <c r="AZ85" i="2"/>
  <c r="R86" i="2"/>
  <c r="AL86" i="2"/>
  <c r="BF86" i="2"/>
  <c r="U87" i="2"/>
  <c r="AR87" i="2"/>
  <c r="F88" i="2"/>
  <c r="AA88" i="2"/>
  <c r="AU88" i="2"/>
  <c r="K89" i="2"/>
  <c r="AD89" i="2"/>
  <c r="AW89" i="2"/>
  <c r="J90" i="2"/>
  <c r="AB90" i="2"/>
  <c r="AV90" i="2"/>
  <c r="H91" i="2"/>
  <c r="Z91" i="2"/>
  <c r="AR91" i="2"/>
  <c r="D92" i="2"/>
  <c r="V92" i="2"/>
  <c r="AN92" i="2"/>
  <c r="BG92" i="2"/>
  <c r="R93" i="2"/>
  <c r="AH93" i="2"/>
  <c r="AX93" i="2"/>
  <c r="H94" i="2"/>
  <c r="X94" i="2"/>
  <c r="AN94" i="2"/>
  <c r="BD94" i="2"/>
  <c r="N95" i="2"/>
  <c r="AD95" i="2"/>
  <c r="AT95" i="2"/>
  <c r="D96" i="2"/>
  <c r="T96" i="2"/>
  <c r="AJ96" i="2"/>
  <c r="AZ96" i="2"/>
  <c r="J97" i="2"/>
  <c r="Z97" i="2"/>
  <c r="AP97" i="2"/>
  <c r="BF97" i="2"/>
  <c r="P98" i="2"/>
  <c r="AF98" i="2"/>
  <c r="AV98" i="2"/>
  <c r="F99" i="2"/>
  <c r="V99" i="2"/>
  <c r="AL99" i="2"/>
  <c r="BB99" i="2"/>
  <c r="L100" i="2"/>
  <c r="AB100" i="2"/>
  <c r="AR100" i="2"/>
  <c r="BH100" i="2"/>
  <c r="R101" i="2"/>
  <c r="AH101" i="2"/>
  <c r="AX101" i="2"/>
  <c r="H102" i="2"/>
  <c r="X102" i="2"/>
  <c r="AN102" i="2"/>
  <c r="BD102" i="2"/>
  <c r="N103" i="2"/>
  <c r="AD103" i="2"/>
  <c r="AT103" i="2"/>
  <c r="D104" i="2"/>
  <c r="T104" i="2"/>
  <c r="AJ104" i="2"/>
  <c r="AZ104" i="2"/>
  <c r="J105" i="2"/>
  <c r="Z105" i="2"/>
  <c r="AP105" i="2"/>
  <c r="BF105" i="2"/>
  <c r="P106" i="2"/>
  <c r="AF106" i="2"/>
  <c r="AV106" i="2"/>
  <c r="F107" i="2"/>
  <c r="V107" i="2"/>
  <c r="AL107" i="2"/>
  <c r="BB107" i="2"/>
  <c r="L108" i="2"/>
  <c r="AB108" i="2"/>
  <c r="AR108" i="2"/>
  <c r="BH108" i="2"/>
  <c r="R109" i="2"/>
  <c r="AH109" i="2"/>
  <c r="AX109" i="2"/>
  <c r="H110" i="2"/>
  <c r="X110" i="2"/>
  <c r="AN110" i="2"/>
  <c r="BD110" i="2"/>
  <c r="N111" i="2"/>
  <c r="AD111" i="2"/>
  <c r="AE59" i="2"/>
  <c r="P60" i="2"/>
  <c r="AW60" i="2"/>
  <c r="AB61" i="2"/>
  <c r="O62" i="2"/>
  <c r="AV62" i="2"/>
  <c r="AB63" i="2"/>
  <c r="F64" i="2"/>
  <c r="AU64" i="2"/>
  <c r="AE65" i="2"/>
  <c r="F66" i="2"/>
  <c r="AQ66" i="2"/>
  <c r="AD67" i="2"/>
  <c r="E68" i="2"/>
  <c r="AT68" i="2"/>
  <c r="Y69" i="2"/>
  <c r="BG69" i="2"/>
  <c r="AT70" i="2"/>
  <c r="T71" i="2"/>
  <c r="BC71" i="2"/>
  <c r="AC72" i="2"/>
  <c r="N73" i="2"/>
  <c r="AV73" i="2"/>
  <c r="T74" i="2"/>
  <c r="AW74" i="2"/>
  <c r="Z75" i="2"/>
  <c r="BD75" i="2"/>
  <c r="X76" i="2"/>
  <c r="BC76" i="2"/>
  <c r="Y77" i="2"/>
  <c r="BG77" i="2"/>
  <c r="AC78" i="2"/>
  <c r="BH78" i="2"/>
  <c r="AA79" i="2"/>
  <c r="E80" i="2"/>
  <c r="AE80" i="2"/>
  <c r="D81" i="2"/>
  <c r="AF81" i="2"/>
  <c r="H82" i="2"/>
  <c r="AG82" i="2"/>
  <c r="BF82" i="2"/>
  <c r="V83" i="2"/>
  <c r="AU83" i="2"/>
  <c r="N84" i="2"/>
  <c r="AM84" i="2"/>
  <c r="C85" i="2"/>
  <c r="AB85" i="2"/>
  <c r="BA85" i="2"/>
  <c r="S86" i="2"/>
  <c r="AM86" i="2"/>
  <c r="BG86" i="2"/>
  <c r="Y87" i="2"/>
  <c r="AS87" i="2"/>
  <c r="G88" i="2"/>
  <c r="AB88" i="2"/>
  <c r="AV88" i="2"/>
  <c r="L89" i="2"/>
  <c r="AE89" i="2"/>
  <c r="AX89" i="2"/>
  <c r="K90" i="2"/>
  <c r="AE90" i="2"/>
  <c r="AW90" i="2"/>
  <c r="I91" i="2"/>
  <c r="AA91" i="2"/>
  <c r="AS91" i="2"/>
  <c r="E92" i="2"/>
  <c r="W92" i="2"/>
  <c r="AQ92" i="2"/>
  <c r="BH92" i="2"/>
  <c r="S93" i="2"/>
  <c r="AI93" i="2"/>
  <c r="AY93" i="2"/>
  <c r="I94" i="2"/>
  <c r="Y94" i="2"/>
  <c r="AO94" i="2"/>
  <c r="BE94" i="2"/>
  <c r="O95" i="2"/>
  <c r="AE95" i="2"/>
  <c r="AU95" i="2"/>
  <c r="E96" i="2"/>
  <c r="U96" i="2"/>
  <c r="AK96" i="2"/>
  <c r="BA96" i="2"/>
  <c r="K97" i="2"/>
  <c r="AA97" i="2"/>
  <c r="AQ97" i="2"/>
  <c r="BG97" i="2"/>
  <c r="Q98" i="2"/>
  <c r="AG98" i="2"/>
  <c r="AW98" i="2"/>
  <c r="G99" i="2"/>
  <c r="W99" i="2"/>
  <c r="AM99" i="2"/>
  <c r="BC99" i="2"/>
  <c r="M100" i="2"/>
  <c r="AC100" i="2"/>
  <c r="AS100" i="2"/>
  <c r="C101" i="2"/>
  <c r="S101" i="2"/>
  <c r="AI101" i="2"/>
  <c r="AY101" i="2"/>
  <c r="I102" i="2"/>
  <c r="Y102" i="2"/>
  <c r="AO102" i="2"/>
  <c r="BE102" i="2"/>
  <c r="O103" i="2"/>
  <c r="AE103" i="2"/>
  <c r="AU103" i="2"/>
  <c r="E104" i="2"/>
  <c r="U104" i="2"/>
  <c r="AK104" i="2"/>
  <c r="BA104" i="2"/>
  <c r="K105" i="2"/>
  <c r="AA105" i="2"/>
  <c r="AQ105" i="2"/>
  <c r="BG105" i="2"/>
  <c r="Q106" i="2"/>
  <c r="AG106" i="2"/>
  <c r="AW106" i="2"/>
  <c r="G107" i="2"/>
  <c r="W107" i="2"/>
  <c r="AM107" i="2"/>
  <c r="BC107" i="2"/>
  <c r="M108" i="2"/>
  <c r="AC108" i="2"/>
  <c r="AS108" i="2"/>
  <c r="C109" i="2"/>
  <c r="S109" i="2"/>
  <c r="AI109" i="2"/>
  <c r="AY109" i="2"/>
  <c r="I110" i="2"/>
  <c r="Y110" i="2"/>
  <c r="AO110" i="2"/>
  <c r="BE110" i="2"/>
  <c r="O111" i="2"/>
  <c r="AE111" i="2"/>
  <c r="AU111" i="2"/>
  <c r="E112" i="2"/>
  <c r="U112" i="2"/>
  <c r="AF59" i="2"/>
  <c r="Q60" i="2"/>
  <c r="AX60" i="2"/>
  <c r="AJ61" i="2"/>
  <c r="P62" i="2"/>
  <c r="AW62" i="2"/>
  <c r="AF63" i="2"/>
  <c r="H64" i="2"/>
  <c r="AV64" i="2"/>
  <c r="AF65" i="2"/>
  <c r="G66" i="2"/>
  <c r="AR66" i="2"/>
  <c r="AE67" i="2"/>
  <c r="F68" i="2"/>
  <c r="AV68" i="2"/>
  <c r="AA69" i="2"/>
  <c r="F70" i="2"/>
  <c r="AU70" i="2"/>
  <c r="X71" i="2"/>
  <c r="BD71" i="2"/>
  <c r="AD72" i="2"/>
  <c r="O73" i="2"/>
  <c r="AW73" i="2"/>
  <c r="U74" i="2"/>
  <c r="BB74" i="2"/>
  <c r="AA75" i="2"/>
  <c r="BF75" i="2"/>
  <c r="Y76" i="2"/>
  <c r="BD76" i="2"/>
  <c r="AC77" i="2"/>
  <c r="BH77" i="2"/>
  <c r="AD78" i="2"/>
  <c r="C79" i="2"/>
  <c r="AB79" i="2"/>
  <c r="F80" i="2"/>
  <c r="AF80" i="2"/>
  <c r="E81" i="2"/>
  <c r="AG81" i="2"/>
  <c r="I82" i="2"/>
  <c r="AH82" i="2"/>
  <c r="BG82" i="2"/>
  <c r="W83" i="2"/>
  <c r="AY83" i="2"/>
  <c r="O84" i="2"/>
  <c r="AN84" i="2"/>
  <c r="D85" i="2"/>
  <c r="AC85" i="2"/>
  <c r="BE85" i="2"/>
  <c r="T86" i="2"/>
  <c r="AN86" i="2"/>
  <c r="BH86" i="2"/>
  <c r="Z87" i="2"/>
  <c r="AT87" i="2"/>
  <c r="H88" i="2"/>
  <c r="AC88" i="2"/>
  <c r="AZ88" i="2"/>
  <c r="M89" i="2"/>
  <c r="AF89" i="2"/>
  <c r="AY89" i="2"/>
  <c r="L90" i="2"/>
  <c r="AF90" i="2"/>
  <c r="AX90" i="2"/>
  <c r="J91" i="2"/>
  <c r="AB91" i="2"/>
  <c r="AT91" i="2"/>
  <c r="F92" i="2"/>
  <c r="X92" i="2"/>
  <c r="AR92" i="2"/>
  <c r="C93" i="2"/>
  <c r="T93" i="2"/>
  <c r="AJ93" i="2"/>
  <c r="AZ93" i="2"/>
  <c r="J94" i="2"/>
  <c r="Z94" i="2"/>
  <c r="AP94" i="2"/>
  <c r="BF94" i="2"/>
  <c r="P95" i="2"/>
  <c r="AF95" i="2"/>
  <c r="AV95" i="2"/>
  <c r="F96" i="2"/>
  <c r="V96" i="2"/>
  <c r="AL96" i="2"/>
  <c r="BB96" i="2"/>
  <c r="L97" i="2"/>
  <c r="AB97" i="2"/>
  <c r="AG59" i="2"/>
  <c r="R60" i="2"/>
  <c r="AY60" i="2"/>
  <c r="AL61" i="2"/>
  <c r="Q62" i="2"/>
  <c r="AX62" i="2"/>
  <c r="AH63" i="2"/>
  <c r="P64" i="2"/>
  <c r="AX64" i="2"/>
  <c r="AG65" i="2"/>
  <c r="K66" i="2"/>
  <c r="AT66" i="2"/>
  <c r="AF67" i="2"/>
  <c r="AH59" i="2"/>
  <c r="S60" i="2"/>
  <c r="AZ60" i="2"/>
  <c r="AM61" i="2"/>
  <c r="R62" i="2"/>
  <c r="AY62" i="2"/>
  <c r="AI63" i="2"/>
  <c r="R64" i="2"/>
  <c r="BB64" i="2"/>
  <c r="AH65" i="2"/>
  <c r="N66" i="2"/>
  <c r="BB66" i="2"/>
  <c r="AG67" i="2"/>
  <c r="Q68" i="2"/>
  <c r="AX68" i="2"/>
  <c r="AC69" i="2"/>
  <c r="P70" i="2"/>
  <c r="AW70" i="2"/>
  <c r="Z71" i="2"/>
  <c r="BF71" i="2"/>
  <c r="AQ72" i="2"/>
  <c r="Q73" i="2"/>
  <c r="AY73" i="2"/>
  <c r="W74" i="2"/>
  <c r="BG74" i="2"/>
  <c r="AC75" i="2"/>
  <c r="BH75" i="2"/>
  <c r="AC76" i="2"/>
  <c r="BF76" i="2"/>
  <c r="AE77" i="2"/>
  <c r="D78" i="2"/>
  <c r="AF78" i="2"/>
  <c r="E79" i="2"/>
  <c r="AM79" i="2"/>
  <c r="I80" i="2"/>
  <c r="AH80" i="2"/>
  <c r="G81" i="2"/>
  <c r="AQ81" i="2"/>
  <c r="K82" i="2"/>
  <c r="AM82" i="2"/>
  <c r="C83" i="2"/>
  <c r="Y83" i="2"/>
  <c r="BA83" i="2"/>
  <c r="T84" i="2"/>
  <c r="AP84" i="2"/>
  <c r="I85" i="2"/>
  <c r="AH85" i="2"/>
  <c r="BG85" i="2"/>
  <c r="V86" i="2"/>
  <c r="AP86" i="2"/>
  <c r="H87" i="2"/>
  <c r="AB87" i="2"/>
  <c r="AV87" i="2"/>
  <c r="K88" i="2"/>
  <c r="AE88" i="2"/>
  <c r="BB88" i="2"/>
  <c r="O89" i="2"/>
  <c r="AH89" i="2"/>
  <c r="BA89" i="2"/>
  <c r="P90" i="2"/>
  <c r="AH90" i="2"/>
  <c r="AZ90" i="2"/>
  <c r="L91" i="2"/>
  <c r="AD91" i="2"/>
  <c r="AV91" i="2"/>
  <c r="H92" i="2"/>
  <c r="AB92" i="2"/>
  <c r="AT92" i="2"/>
  <c r="E93" i="2"/>
  <c r="V93" i="2"/>
  <c r="AL93" i="2"/>
  <c r="BB93" i="2"/>
  <c r="L94" i="2"/>
  <c r="AB94" i="2"/>
  <c r="AR94" i="2"/>
  <c r="BH94" i="2"/>
  <c r="R95" i="2"/>
  <c r="AH95" i="2"/>
  <c r="AX95" i="2"/>
  <c r="H96" i="2"/>
  <c r="X96" i="2"/>
  <c r="AN96" i="2"/>
  <c r="BD96" i="2"/>
  <c r="N97" i="2"/>
  <c r="AD97" i="2"/>
  <c r="AT97" i="2"/>
  <c r="AN59" i="2"/>
  <c r="T60" i="2"/>
  <c r="G61" i="2"/>
  <c r="AN61" i="2"/>
  <c r="S62" i="2"/>
  <c r="BH62" i="2"/>
  <c r="AJ63" i="2"/>
  <c r="V64" i="2"/>
  <c r="BG64" i="2"/>
  <c r="AI65" i="2"/>
  <c r="R66" i="2"/>
  <c r="BF66" i="2"/>
  <c r="AH67" i="2"/>
  <c r="R68" i="2"/>
  <c r="AY68" i="2"/>
  <c r="AL69" i="2"/>
  <c r="Q70" i="2"/>
  <c r="AX70" i="2"/>
  <c r="AB71" i="2"/>
  <c r="BH71" i="2"/>
  <c r="AR72" i="2"/>
  <c r="R73" i="2"/>
  <c r="AZ73" i="2"/>
  <c r="X74" i="2"/>
  <c r="BH74" i="2"/>
  <c r="AD75" i="2"/>
  <c r="C76" i="2"/>
  <c r="AD76" i="2"/>
  <c r="G77" i="2"/>
  <c r="AL77" i="2"/>
  <c r="E78" i="2"/>
  <c r="AG78" i="2"/>
  <c r="F79" i="2"/>
  <c r="AN79" i="2"/>
  <c r="J80" i="2"/>
  <c r="AO80" i="2"/>
  <c r="H81" i="2"/>
  <c r="AR81" i="2"/>
  <c r="L82" i="2"/>
  <c r="AN82" i="2"/>
  <c r="D83" i="2"/>
  <c r="AF83" i="2"/>
  <c r="BB83" i="2"/>
  <c r="U84" i="2"/>
  <c r="AQ84" i="2"/>
  <c r="J85" i="2"/>
  <c r="AI85" i="2"/>
  <c r="BH85" i="2"/>
  <c r="W86" i="2"/>
  <c r="AQ86" i="2"/>
  <c r="I87" i="2"/>
  <c r="AC87" i="2"/>
  <c r="AW87" i="2"/>
  <c r="L88" i="2"/>
  <c r="AI88" i="2"/>
  <c r="BC88" i="2"/>
  <c r="P89" i="2"/>
  <c r="AI89" i="2"/>
  <c r="BB89" i="2"/>
  <c r="Q90" i="2"/>
  <c r="AI90" i="2"/>
  <c r="BA90" i="2"/>
  <c r="M91" i="2"/>
  <c r="AE91" i="2"/>
  <c r="AW91" i="2"/>
  <c r="K92" i="2"/>
  <c r="AC92" i="2"/>
  <c r="AU92" i="2"/>
  <c r="F93" i="2"/>
  <c r="W93" i="2"/>
  <c r="AM93" i="2"/>
  <c r="BC93" i="2"/>
  <c r="M94" i="2"/>
  <c r="AC94" i="2"/>
  <c r="AS94" i="2"/>
  <c r="AP59" i="2"/>
  <c r="U60" i="2"/>
  <c r="H61" i="2"/>
  <c r="AO61" i="2"/>
  <c r="T62" i="2"/>
  <c r="D63" i="2"/>
  <c r="AN63" i="2"/>
  <c r="X64" i="2"/>
  <c r="C65" i="2"/>
  <c r="AJ65" i="2"/>
  <c r="T66" i="2"/>
  <c r="BH66" i="2"/>
  <c r="AJ67" i="2"/>
  <c r="S68" i="2"/>
  <c r="AZ68" i="2"/>
  <c r="AM69" i="2"/>
  <c r="R70" i="2"/>
  <c r="AY70" i="2"/>
  <c r="AF71" i="2"/>
  <c r="M72" i="2"/>
  <c r="AS72" i="2"/>
  <c r="S73" i="2"/>
  <c r="BA73" i="2"/>
  <c r="Y74" i="2"/>
  <c r="C75" i="2"/>
  <c r="AH75" i="2"/>
  <c r="D76" i="2"/>
  <c r="AF76" i="2"/>
  <c r="H77" i="2"/>
  <c r="AM77" i="2"/>
  <c r="F78" i="2"/>
  <c r="AK78" i="2"/>
  <c r="J79" i="2"/>
  <c r="AO79" i="2"/>
  <c r="K80" i="2"/>
  <c r="AP80" i="2"/>
  <c r="K81" i="2"/>
  <c r="AT81" i="2"/>
  <c r="M82" i="2"/>
  <c r="AO82" i="2"/>
  <c r="E83" i="2"/>
  <c r="AG83" i="2"/>
  <c r="BC83" i="2"/>
  <c r="V84" i="2"/>
  <c r="AR84" i="2"/>
  <c r="N85" i="2"/>
  <c r="AJ85" i="2"/>
  <c r="C86" i="2"/>
  <c r="X86" i="2"/>
  <c r="AR86" i="2"/>
  <c r="J87" i="2"/>
  <c r="AD87" i="2"/>
  <c r="AX87" i="2"/>
  <c r="M88" i="2"/>
  <c r="AJ88" i="2"/>
  <c r="BD88" i="2"/>
  <c r="Q89" i="2"/>
  <c r="AJ89" i="2"/>
  <c r="BF89" i="2"/>
  <c r="R90" i="2"/>
  <c r="AJ90" i="2"/>
  <c r="BB90" i="2"/>
  <c r="N91" i="2"/>
  <c r="AF91" i="2"/>
  <c r="AX91" i="2"/>
  <c r="L92" i="2"/>
  <c r="AD92" i="2"/>
  <c r="AV92" i="2"/>
  <c r="G93" i="2"/>
  <c r="X93" i="2"/>
  <c r="AT59" i="2"/>
  <c r="V60" i="2"/>
  <c r="I61" i="2"/>
  <c r="AS61" i="2"/>
  <c r="V62" i="2"/>
  <c r="E63" i="2"/>
  <c r="AV63" i="2"/>
  <c r="Y64" i="2"/>
  <c r="D65" i="2"/>
  <c r="AK65" i="2"/>
  <c r="X66" i="2"/>
  <c r="D67" i="2"/>
  <c r="AN67" i="2"/>
  <c r="T68" i="2"/>
  <c r="BA68" i="2"/>
  <c r="AN69" i="2"/>
  <c r="S70" i="2"/>
  <c r="AZ70" i="2"/>
  <c r="AH71" i="2"/>
  <c r="N72" i="2"/>
  <c r="AT72" i="2"/>
  <c r="X73" i="2"/>
  <c r="BB73" i="2"/>
  <c r="AJ74" i="2"/>
  <c r="D75" i="2"/>
  <c r="AI75" i="2"/>
  <c r="E76" i="2"/>
  <c r="AJ76" i="2"/>
  <c r="I77" i="2"/>
  <c r="AN77" i="2"/>
  <c r="I78" i="2"/>
  <c r="AL78" i="2"/>
  <c r="K79" i="2"/>
  <c r="AP79" i="2"/>
  <c r="L80" i="2"/>
  <c r="AQ80" i="2"/>
  <c r="P81" i="2"/>
  <c r="AU81" i="2"/>
  <c r="N82" i="2"/>
  <c r="AP82" i="2"/>
  <c r="F83" i="2"/>
  <c r="AH83" i="2"/>
  <c r="BD83" i="2"/>
  <c r="W84" i="2"/>
  <c r="AS84" i="2"/>
  <c r="AV59" i="2"/>
  <c r="AD60" i="2"/>
  <c r="J61" i="2"/>
  <c r="AV61" i="2"/>
  <c r="AW59" i="2"/>
  <c r="AX59" i="2"/>
  <c r="N61" i="2"/>
  <c r="AR62" i="2"/>
  <c r="BD63" i="2"/>
  <c r="R65" i="2"/>
  <c r="AM66" i="2"/>
  <c r="AZ67" i="2"/>
  <c r="K69" i="2"/>
  <c r="V70" i="2"/>
  <c r="Y71" i="2"/>
  <c r="Z72" i="2"/>
  <c r="AG73" i="2"/>
  <c r="AM74" i="2"/>
  <c r="AJ75" i="2"/>
  <c r="V76" i="2"/>
  <c r="T77" i="2"/>
  <c r="N78" i="2"/>
  <c r="O79" i="2"/>
  <c r="H80" i="2"/>
  <c r="BD80" i="2"/>
  <c r="AZ81" i="2"/>
  <c r="AS82" i="2"/>
  <c r="AI83" i="2"/>
  <c r="L84" i="2"/>
  <c r="BE84" i="2"/>
  <c r="AP85" i="2"/>
  <c r="Q86" i="2"/>
  <c r="BA86" i="2"/>
  <c r="AE87" i="2"/>
  <c r="C88" i="2"/>
  <c r="AM88" i="2"/>
  <c r="J89" i="2"/>
  <c r="AR89" i="2"/>
  <c r="S90" i="2"/>
  <c r="AQ90" i="2"/>
  <c r="Q91" i="2"/>
  <c r="AQ91" i="2"/>
  <c r="Q92" i="2"/>
  <c r="AW92" i="2"/>
  <c r="N93" i="2"/>
  <c r="AP93" i="2"/>
  <c r="E94" i="2"/>
  <c r="AE94" i="2"/>
  <c r="AZ94" i="2"/>
  <c r="Q95" i="2"/>
  <c r="AL95" i="2"/>
  <c r="BF95" i="2"/>
  <c r="W96" i="2"/>
  <c r="AR96" i="2"/>
  <c r="F97" i="2"/>
  <c r="AC97" i="2"/>
  <c r="AW97" i="2"/>
  <c r="I98" i="2"/>
  <c r="AA98" i="2"/>
  <c r="AS98" i="2"/>
  <c r="E99" i="2"/>
  <c r="Y99" i="2"/>
  <c r="AQ99" i="2"/>
  <c r="C100" i="2"/>
  <c r="U100" i="2"/>
  <c r="AM100" i="2"/>
  <c r="BE100" i="2"/>
  <c r="Q101" i="2"/>
  <c r="AK101" i="2"/>
  <c r="BC101" i="2"/>
  <c r="O102" i="2"/>
  <c r="AG102" i="2"/>
  <c r="AY102" i="2"/>
  <c r="K103" i="2"/>
  <c r="AC103" i="2"/>
  <c r="AW103" i="2"/>
  <c r="I104" i="2"/>
  <c r="AA104" i="2"/>
  <c r="AS104" i="2"/>
  <c r="E105" i="2"/>
  <c r="W105" i="2"/>
  <c r="AO105" i="2"/>
  <c r="C106" i="2"/>
  <c r="U106" i="2"/>
  <c r="AM106" i="2"/>
  <c r="BE106" i="2"/>
  <c r="Q107" i="2"/>
  <c r="AI107" i="2"/>
  <c r="BA107" i="2"/>
  <c r="O108" i="2"/>
  <c r="AG108" i="2"/>
  <c r="AY108" i="2"/>
  <c r="K109" i="2"/>
  <c r="AC109" i="2"/>
  <c r="AU109" i="2"/>
  <c r="G110" i="2"/>
  <c r="AA110" i="2"/>
  <c r="AS110" i="2"/>
  <c r="E111" i="2"/>
  <c r="W111" i="2"/>
  <c r="AO111" i="2"/>
  <c r="BF111" i="2"/>
  <c r="Q112" i="2"/>
  <c r="AH112" i="2"/>
  <c r="AX112" i="2"/>
  <c r="H113" i="2"/>
  <c r="X113" i="2"/>
  <c r="AN113" i="2"/>
  <c r="BD113" i="2"/>
  <c r="BG59" i="2"/>
  <c r="P61" i="2"/>
  <c r="AS62" i="2"/>
  <c r="BE63" i="2"/>
  <c r="V65" i="2"/>
  <c r="AN66" i="2"/>
  <c r="BH67" i="2"/>
  <c r="L69" i="2"/>
  <c r="Z70" i="2"/>
  <c r="AI71" i="2"/>
  <c r="AA72" i="2"/>
  <c r="AK73" i="2"/>
  <c r="AN74" i="2"/>
  <c r="AM75" i="2"/>
  <c r="Z76" i="2"/>
  <c r="V77" i="2"/>
  <c r="U78" i="2"/>
  <c r="T79" i="2"/>
  <c r="M80" i="2"/>
  <c r="BH80" i="2"/>
  <c r="BA81" i="2"/>
  <c r="AW82" i="2"/>
  <c r="AJ83" i="2"/>
  <c r="S84" i="2"/>
  <c r="BF84" i="2"/>
  <c r="AQ85" i="2"/>
  <c r="U86" i="2"/>
  <c r="BB86" i="2"/>
  <c r="AF87" i="2"/>
  <c r="D88" i="2"/>
  <c r="AN88" i="2"/>
  <c r="N89" i="2"/>
  <c r="AS89" i="2"/>
  <c r="T90" i="2"/>
  <c r="AR90" i="2"/>
  <c r="R91" i="2"/>
  <c r="AU91" i="2"/>
  <c r="R92" i="2"/>
  <c r="AX92" i="2"/>
  <c r="P93" i="2"/>
  <c r="AQ93" i="2"/>
  <c r="F94" i="2"/>
  <c r="AF94" i="2"/>
  <c r="BA94" i="2"/>
  <c r="S95" i="2"/>
  <c r="AM95" i="2"/>
  <c r="BG95" i="2"/>
  <c r="Y96" i="2"/>
  <c r="AS96" i="2"/>
  <c r="G97" i="2"/>
  <c r="AE97" i="2"/>
  <c r="AX97" i="2"/>
  <c r="J98" i="2"/>
  <c r="AB98" i="2"/>
  <c r="AT98" i="2"/>
  <c r="H99" i="2"/>
  <c r="Z99" i="2"/>
  <c r="AR99" i="2"/>
  <c r="D100" i="2"/>
  <c r="V100" i="2"/>
  <c r="AN100" i="2"/>
  <c r="BF100" i="2"/>
  <c r="T101" i="2"/>
  <c r="AL101" i="2"/>
  <c r="BD101" i="2"/>
  <c r="P102" i="2"/>
  <c r="AH102" i="2"/>
  <c r="AZ102" i="2"/>
  <c r="L103" i="2"/>
  <c r="AF103" i="2"/>
  <c r="AX103" i="2"/>
  <c r="J104" i="2"/>
  <c r="AB104" i="2"/>
  <c r="AT104" i="2"/>
  <c r="F105" i="2"/>
  <c r="X105" i="2"/>
  <c r="AR105" i="2"/>
  <c r="D106" i="2"/>
  <c r="V106" i="2"/>
  <c r="AN106" i="2"/>
  <c r="BF106" i="2"/>
  <c r="R107" i="2"/>
  <c r="AJ107" i="2"/>
  <c r="BD107" i="2"/>
  <c r="P108" i="2"/>
  <c r="AH108" i="2"/>
  <c r="AZ108" i="2"/>
  <c r="L109" i="2"/>
  <c r="AD109" i="2"/>
  <c r="AV109" i="2"/>
  <c r="J110" i="2"/>
  <c r="AB110" i="2"/>
  <c r="AT110" i="2"/>
  <c r="F111" i="2"/>
  <c r="X111" i="2"/>
  <c r="AP111" i="2"/>
  <c r="BG111" i="2"/>
  <c r="R112" i="2"/>
  <c r="AI112" i="2"/>
  <c r="AY112" i="2"/>
  <c r="I113" i="2"/>
  <c r="Y113" i="2"/>
  <c r="BH59" i="2"/>
  <c r="X61" i="2"/>
  <c r="C60" i="2"/>
  <c r="Z61" i="2"/>
  <c r="F63" i="2"/>
  <c r="Z64" i="2"/>
  <c r="AL65" i="2"/>
  <c r="H67" i="2"/>
  <c r="N68" i="2"/>
  <c r="N69" i="2"/>
  <c r="AC70" i="2"/>
  <c r="AN71" i="2"/>
  <c r="AU72" i="2"/>
  <c r="AN73" i="2"/>
  <c r="AP74" i="2"/>
  <c r="AP75" i="2"/>
  <c r="AO76" i="2"/>
  <c r="AD77" i="2"/>
  <c r="Y78" i="2"/>
  <c r="V79" i="2"/>
  <c r="O80" i="2"/>
  <c r="Q81" i="2"/>
  <c r="BC81" i="2"/>
  <c r="AY82" i="2"/>
  <c r="AL83" i="2"/>
  <c r="Y84" i="2"/>
  <c r="E85" i="2"/>
  <c r="AS85" i="2"/>
  <c r="Z86" i="2"/>
  <c r="BD86" i="2"/>
  <c r="AH87" i="2"/>
  <c r="J88" i="2"/>
  <c r="AQ88" i="2"/>
  <c r="S89" i="2"/>
  <c r="AU89" i="2"/>
  <c r="V90" i="2"/>
  <c r="AY90" i="2"/>
  <c r="V91" i="2"/>
  <c r="BB91" i="2"/>
  <c r="T92" i="2"/>
  <c r="AZ92" i="2"/>
  <c r="U93" i="2"/>
  <c r="AS93" i="2"/>
  <c r="K94" i="2"/>
  <c r="AH94" i="2"/>
  <c r="BC94" i="2"/>
  <c r="U95" i="2"/>
  <c r="AO95" i="2"/>
  <c r="C96" i="2"/>
  <c r="AA96" i="2"/>
  <c r="AU96" i="2"/>
  <c r="I97" i="2"/>
  <c r="AG97" i="2"/>
  <c r="AZ97" i="2"/>
  <c r="L98" i="2"/>
  <c r="AD98" i="2"/>
  <c r="AX98" i="2"/>
  <c r="J99" i="2"/>
  <c r="AB99" i="2"/>
  <c r="AT99" i="2"/>
  <c r="F100" i="2"/>
  <c r="X100" i="2"/>
  <c r="AP100" i="2"/>
  <c r="D101" i="2"/>
  <c r="V101" i="2"/>
  <c r="AN101" i="2"/>
  <c r="BF101" i="2"/>
  <c r="R102" i="2"/>
  <c r="AJ102" i="2"/>
  <c r="BB102" i="2"/>
  <c r="P103" i="2"/>
  <c r="AH103" i="2"/>
  <c r="AZ103" i="2"/>
  <c r="L104" i="2"/>
  <c r="AD104" i="2"/>
  <c r="AV104" i="2"/>
  <c r="H105" i="2"/>
  <c r="AB105" i="2"/>
  <c r="AT105" i="2"/>
  <c r="F106" i="2"/>
  <c r="X106" i="2"/>
  <c r="AP106" i="2"/>
  <c r="BH106" i="2"/>
  <c r="T107" i="2"/>
  <c r="AN107" i="2"/>
  <c r="BF107" i="2"/>
  <c r="R108" i="2"/>
  <c r="D60" i="2"/>
  <c r="AZ61" i="2"/>
  <c r="J63" i="2"/>
  <c r="AA64" i="2"/>
  <c r="AN65" i="2"/>
  <c r="J67" i="2"/>
  <c r="U68" i="2"/>
  <c r="P69" i="2"/>
  <c r="AD70" i="2"/>
  <c r="AO71" i="2"/>
  <c r="AV72" i="2"/>
  <c r="AX73" i="2"/>
  <c r="AQ74" i="2"/>
  <c r="AQ75" i="2"/>
  <c r="AP76" i="2"/>
  <c r="AO77" i="2"/>
  <c r="Z78" i="2"/>
  <c r="W79" i="2"/>
  <c r="U80" i="2"/>
  <c r="U81" i="2"/>
  <c r="J82" i="2"/>
  <c r="BC82" i="2"/>
  <c r="AM83" i="2"/>
  <c r="Z84" i="2"/>
  <c r="O85" i="2"/>
  <c r="AT85" i="2"/>
  <c r="AA86" i="2"/>
  <c r="BE86" i="2"/>
  <c r="AJ87" i="2"/>
  <c r="N88" i="2"/>
  <c r="AR88" i="2"/>
  <c r="T89" i="2"/>
  <c r="AV89" i="2"/>
  <c r="W90" i="2"/>
  <c r="BC90" i="2"/>
  <c r="AI60" i="2"/>
  <c r="BC61" i="2"/>
  <c r="P63" i="2"/>
  <c r="AC64" i="2"/>
  <c r="BA65" i="2"/>
  <c r="L67" i="2"/>
  <c r="W68" i="2"/>
  <c r="AO69" i="2"/>
  <c r="AR70" i="2"/>
  <c r="AY71" i="2"/>
  <c r="BB72" i="2"/>
  <c r="BG73" i="2"/>
  <c r="BC74" i="2"/>
  <c r="AV75" i="2"/>
  <c r="AT76" i="2"/>
  <c r="AQ77" i="2"/>
  <c r="AO78" i="2"/>
  <c r="Y79" i="2"/>
  <c r="AA80" i="2"/>
  <c r="W81" i="2"/>
  <c r="R82" i="2"/>
  <c r="BH82" i="2"/>
  <c r="AO83" i="2"/>
  <c r="AE84" i="2"/>
  <c r="Q85" i="2"/>
  <c r="AV85" i="2"/>
  <c r="AG86" i="2"/>
  <c r="K87" i="2"/>
  <c r="AL87" i="2"/>
  <c r="S88" i="2"/>
  <c r="AT88" i="2"/>
  <c r="V89" i="2"/>
  <c r="BG89" i="2"/>
  <c r="Y90" i="2"/>
  <c r="BE90" i="2"/>
  <c r="Y91" i="2"/>
  <c r="BE91" i="2"/>
  <c r="AE92" i="2"/>
  <c r="BC92" i="2"/>
  <c r="AA93" i="2"/>
  <c r="AV93" i="2"/>
  <c r="P94" i="2"/>
  <c r="AK60" i="2"/>
  <c r="BD61" i="2"/>
  <c r="R63" i="2"/>
  <c r="AH64" i="2"/>
  <c r="BB65" i="2"/>
  <c r="M67" i="2"/>
  <c r="AF68" i="2"/>
  <c r="AP69" i="2"/>
  <c r="AV70" i="2"/>
  <c r="AZ71" i="2"/>
  <c r="BD72" i="2"/>
  <c r="F74" i="2"/>
  <c r="G75" i="2"/>
  <c r="AW75" i="2"/>
  <c r="AV76" i="2"/>
  <c r="AR77" i="2"/>
  <c r="AT78" i="2"/>
  <c r="AI79" i="2"/>
  <c r="AB80" i="2"/>
  <c r="X81" i="2"/>
  <c r="W82" i="2"/>
  <c r="M83" i="2"/>
  <c r="AS83" i="2"/>
  <c r="AI84" i="2"/>
  <c r="R85" i="2"/>
  <c r="BF85" i="2"/>
  <c r="AH86" i="2"/>
  <c r="E60" i="2"/>
  <c r="AD62" i="2"/>
  <c r="AP64" i="2"/>
  <c r="AO66" i="2"/>
  <c r="AW68" i="2"/>
  <c r="C71" i="2"/>
  <c r="X72" i="2"/>
  <c r="L74" i="2"/>
  <c r="AN75" i="2"/>
  <c r="K77" i="2"/>
  <c r="AU78" i="2"/>
  <c r="AZ79" i="2"/>
  <c r="AD81" i="2"/>
  <c r="AX82" i="2"/>
  <c r="E84" i="2"/>
  <c r="S85" i="2"/>
  <c r="O86" i="2"/>
  <c r="N87" i="2"/>
  <c r="BG87" i="2"/>
  <c r="BE88" i="2"/>
  <c r="AL89" i="2"/>
  <c r="Z90" i="2"/>
  <c r="G91" i="2"/>
  <c r="BA91" i="2"/>
  <c r="AG92" i="2"/>
  <c r="J93" i="2"/>
  <c r="AR93" i="2"/>
  <c r="R94" i="2"/>
  <c r="AU94" i="2"/>
  <c r="L95" i="2"/>
  <c r="AP95" i="2"/>
  <c r="K96" i="2"/>
  <c r="AH96" i="2"/>
  <c r="C97" i="2"/>
  <c r="AF97" i="2"/>
  <c r="BC97" i="2"/>
  <c r="T98" i="2"/>
  <c r="AO98" i="2"/>
  <c r="D99" i="2"/>
  <c r="AD99" i="2"/>
  <c r="AY99" i="2"/>
  <c r="P100" i="2"/>
  <c r="AK100" i="2"/>
  <c r="E101" i="2"/>
  <c r="Z101" i="2"/>
  <c r="AU101" i="2"/>
  <c r="L102" i="2"/>
  <c r="AI102" i="2"/>
  <c r="BG102" i="2"/>
  <c r="V103" i="2"/>
  <c r="AQ103" i="2"/>
  <c r="H104" i="2"/>
  <c r="AF104" i="2"/>
  <c r="BC104" i="2"/>
  <c r="R105" i="2"/>
  <c r="AM105" i="2"/>
  <c r="G106" i="2"/>
  <c r="AB106" i="2"/>
  <c r="AY106" i="2"/>
  <c r="N107" i="2"/>
  <c r="AK107" i="2"/>
  <c r="C108" i="2"/>
  <c r="X108" i="2"/>
  <c r="AT108" i="2"/>
  <c r="H109" i="2"/>
  <c r="AB109" i="2"/>
  <c r="AZ109" i="2"/>
  <c r="N110" i="2"/>
  <c r="AH110" i="2"/>
  <c r="BB110" i="2"/>
  <c r="R111" i="2"/>
  <c r="AL111" i="2"/>
  <c r="BE111" i="2"/>
  <c r="T112" i="2"/>
  <c r="AM112" i="2"/>
  <c r="BE112" i="2"/>
  <c r="Q113" i="2"/>
  <c r="AI113" i="2"/>
  <c r="AZ113" i="2"/>
  <c r="K114" i="2"/>
  <c r="AA114" i="2"/>
  <c r="AQ114" i="2"/>
  <c r="BG114" i="2"/>
  <c r="Q115" i="2"/>
  <c r="AG115" i="2"/>
  <c r="AW115" i="2"/>
  <c r="G116" i="2"/>
  <c r="W116" i="2"/>
  <c r="AM116" i="2"/>
  <c r="BC116" i="2"/>
  <c r="M117" i="2"/>
  <c r="AC117" i="2"/>
  <c r="AS117" i="2"/>
  <c r="C118" i="2"/>
  <c r="S118" i="2"/>
  <c r="AI118" i="2"/>
  <c r="AY118" i="2"/>
  <c r="I119" i="2"/>
  <c r="Y119" i="2"/>
  <c r="AO119" i="2"/>
  <c r="BE119" i="2"/>
  <c r="O120" i="2"/>
  <c r="AE120" i="2"/>
  <c r="AU120" i="2"/>
  <c r="E121" i="2"/>
  <c r="U121" i="2"/>
  <c r="AK121" i="2"/>
  <c r="BA121" i="2"/>
  <c r="K122" i="2"/>
  <c r="AA122" i="2"/>
  <c r="AQ122" i="2"/>
  <c r="BG122" i="2"/>
  <c r="Q123" i="2"/>
  <c r="AG123" i="2"/>
  <c r="AW123" i="2"/>
  <c r="G124" i="2"/>
  <c r="W124" i="2"/>
  <c r="AM124" i="2"/>
  <c r="BC124" i="2"/>
  <c r="M125" i="2"/>
  <c r="AC125" i="2"/>
  <c r="AS125" i="2"/>
  <c r="C126" i="2"/>
  <c r="S126" i="2"/>
  <c r="AI126" i="2"/>
  <c r="AY126" i="2"/>
  <c r="I127" i="2"/>
  <c r="Y127" i="2"/>
  <c r="AO127" i="2"/>
  <c r="BE127" i="2"/>
  <c r="O128" i="2"/>
  <c r="AE128" i="2"/>
  <c r="AU128" i="2"/>
  <c r="E129" i="2"/>
  <c r="U129" i="2"/>
  <c r="AL60" i="2"/>
  <c r="AP62" i="2"/>
  <c r="E65" i="2"/>
  <c r="K67" i="2"/>
  <c r="H69" i="2"/>
  <c r="D71" i="2"/>
  <c r="Y72" i="2"/>
  <c r="N74" i="2"/>
  <c r="AR75" i="2"/>
  <c r="L77" i="2"/>
  <c r="AV78" i="2"/>
  <c r="BA79" i="2"/>
  <c r="AH81" i="2"/>
  <c r="BD82" i="2"/>
  <c r="F84" i="2"/>
  <c r="T85" i="2"/>
  <c r="P86" i="2"/>
  <c r="O87" i="2"/>
  <c r="BH87" i="2"/>
  <c r="BF88" i="2"/>
  <c r="AP89" i="2"/>
  <c r="AA90" i="2"/>
  <c r="K91" i="2"/>
  <c r="BC91" i="2"/>
  <c r="AH92" i="2"/>
  <c r="K93" i="2"/>
  <c r="AT93" i="2"/>
  <c r="S94" i="2"/>
  <c r="AV94" i="2"/>
  <c r="M95" i="2"/>
  <c r="AQ95" i="2"/>
  <c r="L96" i="2"/>
  <c r="AI96" i="2"/>
  <c r="D97" i="2"/>
  <c r="AH97" i="2"/>
  <c r="BD97" i="2"/>
  <c r="U98" i="2"/>
  <c r="AP98" i="2"/>
  <c r="I99" i="2"/>
  <c r="AE99" i="2"/>
  <c r="AZ99" i="2"/>
  <c r="Q100" i="2"/>
  <c r="AL100" i="2"/>
  <c r="F101" i="2"/>
  <c r="AA101" i="2"/>
  <c r="AV101" i="2"/>
  <c r="M102" i="2"/>
  <c r="AK102" i="2"/>
  <c r="BH102" i="2"/>
  <c r="W103" i="2"/>
  <c r="AR103" i="2"/>
  <c r="K104" i="2"/>
  <c r="AG104" i="2"/>
  <c r="BD104" i="2"/>
  <c r="S105" i="2"/>
  <c r="AN105" i="2"/>
  <c r="H106" i="2"/>
  <c r="AC106" i="2"/>
  <c r="AZ106" i="2"/>
  <c r="O107" i="2"/>
  <c r="AO107" i="2"/>
  <c r="D108" i="2"/>
  <c r="Y108" i="2"/>
  <c r="AU108" i="2"/>
  <c r="I109" i="2"/>
  <c r="AE109" i="2"/>
  <c r="BA109" i="2"/>
  <c r="O110" i="2"/>
  <c r="AI110" i="2"/>
  <c r="BC110" i="2"/>
  <c r="S111" i="2"/>
  <c r="AM111" i="2"/>
  <c r="BH111" i="2"/>
  <c r="V112" i="2"/>
  <c r="AN112" i="2"/>
  <c r="BF112" i="2"/>
  <c r="R113" i="2"/>
  <c r="AJ113" i="2"/>
  <c r="BA113" i="2"/>
  <c r="L114" i="2"/>
  <c r="AB114" i="2"/>
  <c r="AR114" i="2"/>
  <c r="BH114" i="2"/>
  <c r="R115" i="2"/>
  <c r="AH115" i="2"/>
  <c r="AX115" i="2"/>
  <c r="H116" i="2"/>
  <c r="X116" i="2"/>
  <c r="AN116" i="2"/>
  <c r="BD116" i="2"/>
  <c r="N117" i="2"/>
  <c r="AD117" i="2"/>
  <c r="AT117" i="2"/>
  <c r="D118" i="2"/>
  <c r="T118" i="2"/>
  <c r="AJ118" i="2"/>
  <c r="AZ118" i="2"/>
  <c r="J119" i="2"/>
  <c r="Z119" i="2"/>
  <c r="AP119" i="2"/>
  <c r="BF119" i="2"/>
  <c r="P120" i="2"/>
  <c r="AF120" i="2"/>
  <c r="AV120" i="2"/>
  <c r="F121" i="2"/>
  <c r="V121" i="2"/>
  <c r="AL121" i="2"/>
  <c r="BB121" i="2"/>
  <c r="L122" i="2"/>
  <c r="AB122" i="2"/>
  <c r="AR122" i="2"/>
  <c r="BH122" i="2"/>
  <c r="R123" i="2"/>
  <c r="AH123" i="2"/>
  <c r="AX123" i="2"/>
  <c r="H124" i="2"/>
  <c r="X124" i="2"/>
  <c r="AN124" i="2"/>
  <c r="BD124" i="2"/>
  <c r="N125" i="2"/>
  <c r="AD125" i="2"/>
  <c r="AT125" i="2"/>
  <c r="D126" i="2"/>
  <c r="T126" i="2"/>
  <c r="AJ126" i="2"/>
  <c r="AZ126" i="2"/>
  <c r="J127" i="2"/>
  <c r="Z127" i="2"/>
  <c r="AP127" i="2"/>
  <c r="BF127" i="2"/>
  <c r="P128" i="2"/>
  <c r="AF128" i="2"/>
  <c r="AV128" i="2"/>
  <c r="F129" i="2"/>
  <c r="V129" i="2"/>
  <c r="AL129" i="2"/>
  <c r="BB129" i="2"/>
  <c r="L130" i="2"/>
  <c r="AB130" i="2"/>
  <c r="AM60" i="2"/>
  <c r="AT62" i="2"/>
  <c r="F65" i="2"/>
  <c r="N67" i="2"/>
  <c r="I69" i="2"/>
  <c r="E71" i="2"/>
  <c r="AP72" i="2"/>
  <c r="Q74" i="2"/>
  <c r="BG75" i="2"/>
  <c r="P77" i="2"/>
  <c r="AW78" i="2"/>
  <c r="N80" i="2"/>
  <c r="AV81" i="2"/>
  <c r="N83" i="2"/>
  <c r="G84" i="2"/>
  <c r="U85" i="2"/>
  <c r="Y86" i="2"/>
  <c r="P87" i="2"/>
  <c r="E88" i="2"/>
  <c r="BG88" i="2"/>
  <c r="AN60" i="2"/>
  <c r="L63" i="2"/>
  <c r="H65" i="2"/>
  <c r="O67" i="2"/>
  <c r="J69" i="2"/>
  <c r="F71" i="2"/>
  <c r="AX72" i="2"/>
  <c r="V74" i="2"/>
  <c r="F76" i="2"/>
  <c r="S77" i="2"/>
  <c r="AX78" i="2"/>
  <c r="V80" i="2"/>
  <c r="AW81" i="2"/>
  <c r="O83" i="2"/>
  <c r="H84" i="2"/>
  <c r="Y85" i="2"/>
  <c r="AF86" i="2"/>
  <c r="Q87" i="2"/>
  <c r="R88" i="2"/>
  <c r="BH88" i="2"/>
  <c r="AT89" i="2"/>
  <c r="AK90" i="2"/>
  <c r="P91" i="2"/>
  <c r="BF91" i="2"/>
  <c r="AJ92" i="2"/>
  <c r="M93" i="2"/>
  <c r="AW93" i="2"/>
  <c r="U94" i="2"/>
  <c r="AX94" i="2"/>
  <c r="V95" i="2"/>
  <c r="AS95" i="2"/>
  <c r="N96" i="2"/>
  <c r="AO96" i="2"/>
  <c r="H97" i="2"/>
  <c r="AJ97" i="2"/>
  <c r="BH97" i="2"/>
  <c r="W98" i="2"/>
  <c r="AR98" i="2"/>
  <c r="L99" i="2"/>
  <c r="AG99" i="2"/>
  <c r="BD99" i="2"/>
  <c r="S100" i="2"/>
  <c r="AQ100" i="2"/>
  <c r="H101" i="2"/>
  <c r="AC101" i="2"/>
  <c r="AZ101" i="2"/>
  <c r="Q102" i="2"/>
  <c r="AM102" i="2"/>
  <c r="D103" i="2"/>
  <c r="Y103" i="2"/>
  <c r="AV103" i="2"/>
  <c r="N104" i="2"/>
  <c r="AI104" i="2"/>
  <c r="BF104" i="2"/>
  <c r="U105" i="2"/>
  <c r="AU105" i="2"/>
  <c r="J106" i="2"/>
  <c r="AE106" i="2"/>
  <c r="BB106" i="2"/>
  <c r="S107" i="2"/>
  <c r="AQ107" i="2"/>
  <c r="F108" i="2"/>
  <c r="AA108" i="2"/>
  <c r="AW108" i="2"/>
  <c r="M109" i="2"/>
  <c r="AG109" i="2"/>
  <c r="BC109" i="2"/>
  <c r="Q110" i="2"/>
  <c r="AK110" i="2"/>
  <c r="BG110" i="2"/>
  <c r="U111" i="2"/>
  <c r="AQ111" i="2"/>
  <c r="D112" i="2"/>
  <c r="X112" i="2"/>
  <c r="AP112" i="2"/>
  <c r="BH112" i="2"/>
  <c r="T113" i="2"/>
  <c r="AL113" i="2"/>
  <c r="BC113" i="2"/>
  <c r="N114" i="2"/>
  <c r="AD114" i="2"/>
  <c r="AT114" i="2"/>
  <c r="D115" i="2"/>
  <c r="T115" i="2"/>
  <c r="AJ115" i="2"/>
  <c r="AZ115" i="2"/>
  <c r="J116" i="2"/>
  <c r="Z116" i="2"/>
  <c r="AP116" i="2"/>
  <c r="BF116" i="2"/>
  <c r="P117" i="2"/>
  <c r="AF117" i="2"/>
  <c r="AV117" i="2"/>
  <c r="F118" i="2"/>
  <c r="V118" i="2"/>
  <c r="AL118" i="2"/>
  <c r="BB118" i="2"/>
  <c r="L119" i="2"/>
  <c r="AB119" i="2"/>
  <c r="AR119" i="2"/>
  <c r="BH119" i="2"/>
  <c r="R120" i="2"/>
  <c r="AH120" i="2"/>
  <c r="AX120" i="2"/>
  <c r="H121" i="2"/>
  <c r="X121" i="2"/>
  <c r="AN121" i="2"/>
  <c r="BD121" i="2"/>
  <c r="N122" i="2"/>
  <c r="AD122" i="2"/>
  <c r="AT122" i="2"/>
  <c r="D123" i="2"/>
  <c r="T123" i="2"/>
  <c r="AJ123" i="2"/>
  <c r="AZ123" i="2"/>
  <c r="J124" i="2"/>
  <c r="Z124" i="2"/>
  <c r="AP124" i="2"/>
  <c r="BF124" i="2"/>
  <c r="P125" i="2"/>
  <c r="AP60" i="2"/>
  <c r="S63" i="2"/>
  <c r="L65" i="2"/>
  <c r="P67" i="2"/>
  <c r="M69" i="2"/>
  <c r="J71" i="2"/>
  <c r="BH72" i="2"/>
  <c r="AK74" i="2"/>
  <c r="G76" i="2"/>
  <c r="W77" i="2"/>
  <c r="AY78" i="2"/>
  <c r="AC80" i="2"/>
  <c r="AX81" i="2"/>
  <c r="P83" i="2"/>
  <c r="X84" i="2"/>
  <c r="Z85" i="2"/>
  <c r="AI86" i="2"/>
  <c r="R87" i="2"/>
  <c r="T88" i="2"/>
  <c r="C89" i="2"/>
  <c r="AZ89" i="2"/>
  <c r="AL90" i="2"/>
  <c r="U91" i="2"/>
  <c r="BG91" i="2"/>
  <c r="AK92" i="2"/>
  <c r="Q93" i="2"/>
  <c r="BA93" i="2"/>
  <c r="V94" i="2"/>
  <c r="AY94" i="2"/>
  <c r="W95" i="2"/>
  <c r="AW95" i="2"/>
  <c r="O96" i="2"/>
  <c r="AP96" i="2"/>
  <c r="M97" i="2"/>
  <c r="AK97" i="2"/>
  <c r="C98" i="2"/>
  <c r="X98" i="2"/>
  <c r="AU98" i="2"/>
  <c r="M99" i="2"/>
  <c r="AH99" i="2"/>
  <c r="BE99" i="2"/>
  <c r="T100" i="2"/>
  <c r="AT100" i="2"/>
  <c r="I101" i="2"/>
  <c r="AD101" i="2"/>
  <c r="BA101" i="2"/>
  <c r="S102" i="2"/>
  <c r="AP102" i="2"/>
  <c r="E103" i="2"/>
  <c r="Z103" i="2"/>
  <c r="AY103" i="2"/>
  <c r="O104" i="2"/>
  <c r="AL104" i="2"/>
  <c r="BG104" i="2"/>
  <c r="V105" i="2"/>
  <c r="AV105" i="2"/>
  <c r="K106" i="2"/>
  <c r="AH106" i="2"/>
  <c r="BC106" i="2"/>
  <c r="U107" i="2"/>
  <c r="AR107" i="2"/>
  <c r="G108" i="2"/>
  <c r="AD108" i="2"/>
  <c r="AX108" i="2"/>
  <c r="N109" i="2"/>
  <c r="AJ109" i="2"/>
  <c r="BD109" i="2"/>
  <c r="R110" i="2"/>
  <c r="AL110" i="2"/>
  <c r="BH110" i="2"/>
  <c r="V111" i="2"/>
  <c r="AR111" i="2"/>
  <c r="F112" i="2"/>
  <c r="Y112" i="2"/>
  <c r="AQ112" i="2"/>
  <c r="C113" i="2"/>
  <c r="U113" i="2"/>
  <c r="AM113" i="2"/>
  <c r="BE113" i="2"/>
  <c r="O114" i="2"/>
  <c r="AE114" i="2"/>
  <c r="AU114" i="2"/>
  <c r="E115" i="2"/>
  <c r="U115" i="2"/>
  <c r="AK115" i="2"/>
  <c r="BA115" i="2"/>
  <c r="K116" i="2"/>
  <c r="AA116" i="2"/>
  <c r="AQ116" i="2"/>
  <c r="BG116" i="2"/>
  <c r="Q117" i="2"/>
  <c r="AG117" i="2"/>
  <c r="AW117" i="2"/>
  <c r="G118" i="2"/>
  <c r="W118" i="2"/>
  <c r="AM118" i="2"/>
  <c r="BC118" i="2"/>
  <c r="M119" i="2"/>
  <c r="AC119" i="2"/>
  <c r="AS119" i="2"/>
  <c r="C120" i="2"/>
  <c r="S120" i="2"/>
  <c r="AI120" i="2"/>
  <c r="AY120" i="2"/>
  <c r="I121" i="2"/>
  <c r="Y121" i="2"/>
  <c r="AO121" i="2"/>
  <c r="AT60" i="2"/>
  <c r="W63" i="2"/>
  <c r="N65" i="2"/>
  <c r="AP67" i="2"/>
  <c r="AB69" i="2"/>
  <c r="L71" i="2"/>
  <c r="C73" i="2"/>
  <c r="AL74" i="2"/>
  <c r="H76" i="2"/>
  <c r="AP77" i="2"/>
  <c r="AZ78" i="2"/>
  <c r="AG80" i="2"/>
  <c r="AY81" i="2"/>
  <c r="Q83" i="2"/>
  <c r="AA84" i="2"/>
  <c r="AG85" i="2"/>
  <c r="AJ86" i="2"/>
  <c r="T87" i="2"/>
  <c r="U88" i="2"/>
  <c r="D89" i="2"/>
  <c r="BH89" i="2"/>
  <c r="AM90" i="2"/>
  <c r="W91" i="2"/>
  <c r="BH91" i="2"/>
  <c r="AL92" i="2"/>
  <c r="Y93" i="2"/>
  <c r="BD93" i="2"/>
  <c r="W94" i="2"/>
  <c r="BB94" i="2"/>
  <c r="X95" i="2"/>
  <c r="AY95" i="2"/>
  <c r="P96" i="2"/>
  <c r="AQ96" i="2"/>
  <c r="O97" i="2"/>
  <c r="AL97" i="2"/>
  <c r="D98" i="2"/>
  <c r="Y98" i="2"/>
  <c r="AY98" i="2"/>
  <c r="N99" i="2"/>
  <c r="AI99" i="2"/>
  <c r="BF99" i="2"/>
  <c r="W100" i="2"/>
  <c r="AU100" i="2"/>
  <c r="J101" i="2"/>
  <c r="AE101" i="2"/>
  <c r="BB101" i="2"/>
  <c r="T102" i="2"/>
  <c r="AQ102" i="2"/>
  <c r="F103" i="2"/>
  <c r="AA103" i="2"/>
  <c r="BA103" i="2"/>
  <c r="P104" i="2"/>
  <c r="AM104" i="2"/>
  <c r="BH104" i="2"/>
  <c r="Y105" i="2"/>
  <c r="AW105" i="2"/>
  <c r="L106" i="2"/>
  <c r="AI106" i="2"/>
  <c r="BD106" i="2"/>
  <c r="X107" i="2"/>
  <c r="AS107" i="2"/>
  <c r="H108" i="2"/>
  <c r="AE108" i="2"/>
  <c r="BA108" i="2"/>
  <c r="O109" i="2"/>
  <c r="AK109" i="2"/>
  <c r="BE109" i="2"/>
  <c r="S110" i="2"/>
  <c r="AM110" i="2"/>
  <c r="C111" i="2"/>
  <c r="Y111" i="2"/>
  <c r="AS111" i="2"/>
  <c r="G112" i="2"/>
  <c r="Z112" i="2"/>
  <c r="AR112" i="2"/>
  <c r="D113" i="2"/>
  <c r="V113" i="2"/>
  <c r="AO113" i="2"/>
  <c r="BF113" i="2"/>
  <c r="P114" i="2"/>
  <c r="AF114" i="2"/>
  <c r="AV114" i="2"/>
  <c r="F115" i="2"/>
  <c r="V115" i="2"/>
  <c r="AL115" i="2"/>
  <c r="K61" i="2"/>
  <c r="Y63" i="2"/>
  <c r="AB65" i="2"/>
  <c r="AQ67" i="2"/>
  <c r="AT69" i="2"/>
  <c r="P71" i="2"/>
  <c r="D73" i="2"/>
  <c r="AO74" i="2"/>
  <c r="R76" i="2"/>
  <c r="AS77" i="2"/>
  <c r="D79" i="2"/>
  <c r="AR80" i="2"/>
  <c r="BB81" i="2"/>
  <c r="R83" i="2"/>
  <c r="AJ84" i="2"/>
  <c r="AK85" i="2"/>
  <c r="AK86" i="2"/>
  <c r="AA87" i="2"/>
  <c r="V88" i="2"/>
  <c r="E89" i="2"/>
  <c r="C90" i="2"/>
  <c r="AN90" i="2"/>
  <c r="X91" i="2"/>
  <c r="C92" i="2"/>
  <c r="AM92" i="2"/>
  <c r="Z93" i="2"/>
  <c r="BE93" i="2"/>
  <c r="AA94" i="2"/>
  <c r="BG94" i="2"/>
  <c r="Y95" i="2"/>
  <c r="AZ95" i="2"/>
  <c r="Q96" i="2"/>
  <c r="AT96" i="2"/>
  <c r="P97" i="2"/>
  <c r="AM97" i="2"/>
  <c r="E98" i="2"/>
  <c r="Z98" i="2"/>
  <c r="AZ98" i="2"/>
  <c r="O99" i="2"/>
  <c r="AJ99" i="2"/>
  <c r="BG99" i="2"/>
  <c r="Y100" i="2"/>
  <c r="AV100" i="2"/>
  <c r="K101" i="2"/>
  <c r="AF101" i="2"/>
  <c r="BE101" i="2"/>
  <c r="U102" i="2"/>
  <c r="AR102" i="2"/>
  <c r="G103" i="2"/>
  <c r="AB103" i="2"/>
  <c r="BB103" i="2"/>
  <c r="Q104" i="2"/>
  <c r="AN104" i="2"/>
  <c r="C105" i="2"/>
  <c r="AC105" i="2"/>
  <c r="AX105" i="2"/>
  <c r="M106" i="2"/>
  <c r="AJ106" i="2"/>
  <c r="BG106" i="2"/>
  <c r="Y107" i="2"/>
  <c r="AT107" i="2"/>
  <c r="I108" i="2"/>
  <c r="AF108" i="2"/>
  <c r="BB108" i="2"/>
  <c r="P109" i="2"/>
  <c r="AL109" i="2"/>
  <c r="BF109" i="2"/>
  <c r="T110" i="2"/>
  <c r="AP110" i="2"/>
  <c r="D111" i="2"/>
  <c r="Z111" i="2"/>
  <c r="AT111" i="2"/>
  <c r="H112" i="2"/>
  <c r="AA112" i="2"/>
  <c r="AS112" i="2"/>
  <c r="E113" i="2"/>
  <c r="W113" i="2"/>
  <c r="AP113" i="2"/>
  <c r="BG113" i="2"/>
  <c r="L61" i="2"/>
  <c r="AY63" i="2"/>
  <c r="AZ65" i="2"/>
  <c r="AU67" i="2"/>
  <c r="AZ69" i="2"/>
  <c r="R71" i="2"/>
  <c r="P73" i="2"/>
  <c r="AR74" i="2"/>
  <c r="S76" i="2"/>
  <c r="AT77" i="2"/>
  <c r="L79" i="2"/>
  <c r="AS80" i="2"/>
  <c r="Q82" i="2"/>
  <c r="S83" i="2"/>
  <c r="AK84" i="2"/>
  <c r="AO85" i="2"/>
  <c r="AO86" i="2"/>
  <c r="AG87" i="2"/>
  <c r="W88" i="2"/>
  <c r="F89" i="2"/>
  <c r="D90" i="2"/>
  <c r="AO90" i="2"/>
  <c r="AC91" i="2"/>
  <c r="G92" i="2"/>
  <c r="AS92" i="2"/>
  <c r="AB93" i="2"/>
  <c r="BF93" i="2"/>
  <c r="AD94" i="2"/>
  <c r="C95" i="2"/>
  <c r="Z95" i="2"/>
  <c r="BA95" i="2"/>
  <c r="R96" i="2"/>
  <c r="AV96" i="2"/>
  <c r="Q97" i="2"/>
  <c r="AN97" i="2"/>
  <c r="F98" i="2"/>
  <c r="AC98" i="2"/>
  <c r="BA98" i="2"/>
  <c r="P99" i="2"/>
  <c r="AK99" i="2"/>
  <c r="BH99" i="2"/>
  <c r="Z100" i="2"/>
  <c r="AW100" i="2"/>
  <c r="L101" i="2"/>
  <c r="AG101" i="2"/>
  <c r="BG101" i="2"/>
  <c r="V102" i="2"/>
  <c r="AS102" i="2"/>
  <c r="H103" i="2"/>
  <c r="AG103" i="2"/>
  <c r="BC103" i="2"/>
  <c r="R104" i="2"/>
  <c r="AO104" i="2"/>
  <c r="D105" i="2"/>
  <c r="AD105" i="2"/>
  <c r="AY105" i="2"/>
  <c r="N106" i="2"/>
  <c r="AK106" i="2"/>
  <c r="C107" i="2"/>
  <c r="Z107" i="2"/>
  <c r="AU107" i="2"/>
  <c r="J108" i="2"/>
  <c r="AI108" i="2"/>
  <c r="BC108" i="2"/>
  <c r="Q109" i="2"/>
  <c r="AM109" i="2"/>
  <c r="BG109" i="2"/>
  <c r="U110" i="2"/>
  <c r="M61" i="2"/>
  <c r="AZ63" i="2"/>
  <c r="BD65" i="2"/>
  <c r="AW67" i="2"/>
  <c r="BB69" i="2"/>
  <c r="AM71" i="2"/>
  <c r="AB73" i="2"/>
  <c r="H75" i="2"/>
  <c r="T76" i="2"/>
  <c r="AU77" i="2"/>
  <c r="U79" i="2"/>
  <c r="AW80" i="2"/>
  <c r="X82" i="2"/>
  <c r="T83" i="2"/>
  <c r="AO84" i="2"/>
  <c r="AR85" i="2"/>
  <c r="AW86" i="2"/>
  <c r="AK87" i="2"/>
  <c r="X88" i="2"/>
  <c r="R89" i="2"/>
  <c r="E90" i="2"/>
  <c r="AP90" i="2"/>
  <c r="AG91" i="2"/>
  <c r="M92" i="2"/>
  <c r="AY92" i="2"/>
  <c r="AC93" i="2"/>
  <c r="BG93" i="2"/>
  <c r="AG94" i="2"/>
  <c r="D95" i="2"/>
  <c r="AA95" i="2"/>
  <c r="BB95" i="2"/>
  <c r="S96" i="2"/>
  <c r="AW96" i="2"/>
  <c r="R97" i="2"/>
  <c r="AO97" i="2"/>
  <c r="G98" i="2"/>
  <c r="AE98" i="2"/>
  <c r="BB98" i="2"/>
  <c r="Q99" i="2"/>
  <c r="AN99" i="2"/>
  <c r="E100" i="2"/>
  <c r="AA100" i="2"/>
  <c r="AX100" i="2"/>
  <c r="M101" i="2"/>
  <c r="AJ101" i="2"/>
  <c r="BH101" i="2"/>
  <c r="W102" i="2"/>
  <c r="AT102" i="2"/>
  <c r="I103" i="2"/>
  <c r="BB61" i="2"/>
  <c r="BA63" i="2"/>
  <c r="BH65" i="2"/>
  <c r="AX67" i="2"/>
  <c r="BC69" i="2"/>
  <c r="AX71" i="2"/>
  <c r="AD73" i="2"/>
  <c r="J75" i="2"/>
  <c r="U76" i="2"/>
  <c r="BE77" i="2"/>
  <c r="BF61" i="2"/>
  <c r="BC63" i="2"/>
  <c r="Y66" i="2"/>
  <c r="Z62" i="2"/>
  <c r="AB64" i="2"/>
  <c r="AA66" i="2"/>
  <c r="BE61" i="2"/>
  <c r="AM68" i="2"/>
  <c r="AL73" i="2"/>
  <c r="C78" i="2"/>
  <c r="F81" i="2"/>
  <c r="C84" i="2"/>
  <c r="AX86" i="2"/>
  <c r="AK88" i="2"/>
  <c r="I90" i="2"/>
  <c r="AM91" i="2"/>
  <c r="BF92" i="2"/>
  <c r="G94" i="2"/>
  <c r="H95" i="2"/>
  <c r="BH95" i="2"/>
  <c r="BE96" i="2"/>
  <c r="AV97" i="2"/>
  <c r="AK98" i="2"/>
  <c r="U99" i="2"/>
  <c r="J100" i="2"/>
  <c r="BB100" i="2"/>
  <c r="AQ101" i="2"/>
  <c r="AC102" i="2"/>
  <c r="R103" i="2"/>
  <c r="BF103" i="2"/>
  <c r="AP104" i="2"/>
  <c r="Q105" i="2"/>
  <c r="BE105" i="2"/>
  <c r="AR106" i="2"/>
  <c r="AB107" i="2"/>
  <c r="E108" i="2"/>
  <c r="AP108" i="2"/>
  <c r="X109" i="2"/>
  <c r="D110" i="2"/>
  <c r="AQ110" i="2"/>
  <c r="M111" i="2"/>
  <c r="AX111" i="2"/>
  <c r="S112" i="2"/>
  <c r="AZ112" i="2"/>
  <c r="Z113" i="2"/>
  <c r="AW113" i="2"/>
  <c r="S114" i="2"/>
  <c r="AN114" i="2"/>
  <c r="H115" i="2"/>
  <c r="AC115" i="2"/>
  <c r="BB115" i="2"/>
  <c r="P116" i="2"/>
  <c r="AJ116" i="2"/>
  <c r="BH116" i="2"/>
  <c r="V117" i="2"/>
  <c r="AP117" i="2"/>
  <c r="H118" i="2"/>
  <c r="AB118" i="2"/>
  <c r="AV118" i="2"/>
  <c r="N119" i="2"/>
  <c r="AH119" i="2"/>
  <c r="BB119" i="2"/>
  <c r="T120" i="2"/>
  <c r="AN120" i="2"/>
  <c r="BH120" i="2"/>
  <c r="Z121" i="2"/>
  <c r="AT121" i="2"/>
  <c r="G122" i="2"/>
  <c r="Z122" i="2"/>
  <c r="AV122" i="2"/>
  <c r="I123" i="2"/>
  <c r="AB123" i="2"/>
  <c r="AU123" i="2"/>
  <c r="K124" i="2"/>
  <c r="AD124" i="2"/>
  <c r="AW124" i="2"/>
  <c r="J125" i="2"/>
  <c r="AE125" i="2"/>
  <c r="AW125" i="2"/>
  <c r="I126" i="2"/>
  <c r="AA126" i="2"/>
  <c r="AS126" i="2"/>
  <c r="E127" i="2"/>
  <c r="W127" i="2"/>
  <c r="AQ127" i="2"/>
  <c r="C128" i="2"/>
  <c r="U128" i="2"/>
  <c r="AM128" i="2"/>
  <c r="BE128" i="2"/>
  <c r="Q129" i="2"/>
  <c r="AI129" i="2"/>
  <c r="AZ129" i="2"/>
  <c r="K130" i="2"/>
  <c r="AC130" i="2"/>
  <c r="AS130" i="2"/>
  <c r="C131" i="2"/>
  <c r="S131" i="2"/>
  <c r="AI131" i="2"/>
  <c r="AY131" i="2"/>
  <c r="I132" i="2"/>
  <c r="Y132" i="2"/>
  <c r="AO132" i="2"/>
  <c r="BE132" i="2"/>
  <c r="O133" i="2"/>
  <c r="AE133" i="2"/>
  <c r="AU133" i="2"/>
  <c r="E134" i="2"/>
  <c r="U134" i="2"/>
  <c r="AK134" i="2"/>
  <c r="BA134" i="2"/>
  <c r="K135" i="2"/>
  <c r="AA135" i="2"/>
  <c r="AQ135" i="2"/>
  <c r="BG135" i="2"/>
  <c r="Q136" i="2"/>
  <c r="AG136" i="2"/>
  <c r="AW136" i="2"/>
  <c r="G137" i="2"/>
  <c r="W137" i="2"/>
  <c r="AM137" i="2"/>
  <c r="BC137" i="2"/>
  <c r="M138" i="2"/>
  <c r="AC138" i="2"/>
  <c r="AS138" i="2"/>
  <c r="C139" i="2"/>
  <c r="S139" i="2"/>
  <c r="AI139" i="2"/>
  <c r="AY139" i="2"/>
  <c r="I140" i="2"/>
  <c r="Y140" i="2"/>
  <c r="AO140" i="2"/>
  <c r="BE140" i="2"/>
  <c r="O141" i="2"/>
  <c r="AE141" i="2"/>
  <c r="AU141" i="2"/>
  <c r="E142" i="2"/>
  <c r="U142" i="2"/>
  <c r="AK142" i="2"/>
  <c r="BA142" i="2"/>
  <c r="K143" i="2"/>
  <c r="AA143" i="2"/>
  <c r="AQ143" i="2"/>
  <c r="BG143" i="2"/>
  <c r="Q144" i="2"/>
  <c r="AG144" i="2"/>
  <c r="AW144" i="2"/>
  <c r="G145" i="2"/>
  <c r="W145" i="2"/>
  <c r="AM145" i="2"/>
  <c r="BC145" i="2"/>
  <c r="M146" i="2"/>
  <c r="AC146" i="2"/>
  <c r="AS146" i="2"/>
  <c r="C147" i="2"/>
  <c r="S147" i="2"/>
  <c r="AI147" i="2"/>
  <c r="AY147" i="2"/>
  <c r="I148" i="2"/>
  <c r="Y148" i="2"/>
  <c r="AO148" i="2"/>
  <c r="BE148" i="2"/>
  <c r="O149" i="2"/>
  <c r="D62" i="2"/>
  <c r="AN68" i="2"/>
  <c r="BD73" i="2"/>
  <c r="J78" i="2"/>
  <c r="V81" i="2"/>
  <c r="D84" i="2"/>
  <c r="AY86" i="2"/>
  <c r="AL88" i="2"/>
  <c r="O90" i="2"/>
  <c r="AN91" i="2"/>
  <c r="D93" i="2"/>
  <c r="N94" i="2"/>
  <c r="I95" i="2"/>
  <c r="G96" i="2"/>
  <c r="BF96" i="2"/>
  <c r="AY97" i="2"/>
  <c r="AL98" i="2"/>
  <c r="X99" i="2"/>
  <c r="K100" i="2"/>
  <c r="BC100" i="2"/>
  <c r="AR101" i="2"/>
  <c r="AD102" i="2"/>
  <c r="S103" i="2"/>
  <c r="BG103" i="2"/>
  <c r="AQ104" i="2"/>
  <c r="T105" i="2"/>
  <c r="BH105" i="2"/>
  <c r="AS106" i="2"/>
  <c r="AC107" i="2"/>
  <c r="K108" i="2"/>
  <c r="AQ108" i="2"/>
  <c r="Y109" i="2"/>
  <c r="E110" i="2"/>
  <c r="AR110" i="2"/>
  <c r="P111" i="2"/>
  <c r="AY111" i="2"/>
  <c r="W112" i="2"/>
  <c r="BA112" i="2"/>
  <c r="AA113" i="2"/>
  <c r="AX113" i="2"/>
  <c r="T114" i="2"/>
  <c r="AO114" i="2"/>
  <c r="I115" i="2"/>
  <c r="AD115" i="2"/>
  <c r="BC115" i="2"/>
  <c r="Q116" i="2"/>
  <c r="AK116" i="2"/>
  <c r="C117" i="2"/>
  <c r="W117" i="2"/>
  <c r="AQ117" i="2"/>
  <c r="I118" i="2"/>
  <c r="AC118" i="2"/>
  <c r="AW118" i="2"/>
  <c r="O119" i="2"/>
  <c r="AI119" i="2"/>
  <c r="BC119" i="2"/>
  <c r="U120" i="2"/>
  <c r="AO120" i="2"/>
  <c r="C121" i="2"/>
  <c r="AA121" i="2"/>
  <c r="AU121" i="2"/>
  <c r="H122" i="2"/>
  <c r="AC122" i="2"/>
  <c r="AW122" i="2"/>
  <c r="J123" i="2"/>
  <c r="AC123" i="2"/>
  <c r="AV123" i="2"/>
  <c r="L124" i="2"/>
  <c r="AE124" i="2"/>
  <c r="AX124" i="2"/>
  <c r="K125" i="2"/>
  <c r="AF125" i="2"/>
  <c r="AX125" i="2"/>
  <c r="J126" i="2"/>
  <c r="AB126" i="2"/>
  <c r="AT126" i="2"/>
  <c r="F127" i="2"/>
  <c r="X127" i="2"/>
  <c r="AR127" i="2"/>
  <c r="D128" i="2"/>
  <c r="V128" i="2"/>
  <c r="AN128" i="2"/>
  <c r="BF128" i="2"/>
  <c r="R129" i="2"/>
  <c r="AJ129" i="2"/>
  <c r="BA129" i="2"/>
  <c r="M130" i="2"/>
  <c r="AD130" i="2"/>
  <c r="AT130" i="2"/>
  <c r="D131" i="2"/>
  <c r="T131" i="2"/>
  <c r="AJ131" i="2"/>
  <c r="AZ131" i="2"/>
  <c r="J132" i="2"/>
  <c r="Z132" i="2"/>
  <c r="AP132" i="2"/>
  <c r="BF132" i="2"/>
  <c r="P133" i="2"/>
  <c r="AF133" i="2"/>
  <c r="AV133" i="2"/>
  <c r="F134" i="2"/>
  <c r="V134" i="2"/>
  <c r="AL134" i="2"/>
  <c r="BB134" i="2"/>
  <c r="L135" i="2"/>
  <c r="AB135" i="2"/>
  <c r="AR135" i="2"/>
  <c r="BH135" i="2"/>
  <c r="R136" i="2"/>
  <c r="AH136" i="2"/>
  <c r="AX136" i="2"/>
  <c r="H137" i="2"/>
  <c r="X137" i="2"/>
  <c r="AN137" i="2"/>
  <c r="BD137" i="2"/>
  <c r="N138" i="2"/>
  <c r="AB62" i="2"/>
  <c r="BD69" i="2"/>
  <c r="J74" i="2"/>
  <c r="L78" i="2"/>
  <c r="AA81" i="2"/>
  <c r="AT84" i="2"/>
  <c r="AZ86" i="2"/>
  <c r="AP88" i="2"/>
  <c r="U90" i="2"/>
  <c r="AO91" i="2"/>
  <c r="H93" i="2"/>
  <c r="O94" i="2"/>
  <c r="J95" i="2"/>
  <c r="I96" i="2"/>
  <c r="BG96" i="2"/>
  <c r="BA97" i="2"/>
  <c r="AM98" i="2"/>
  <c r="AA99" i="2"/>
  <c r="N100" i="2"/>
  <c r="BD100" i="2"/>
  <c r="AS101" i="2"/>
  <c r="AE102" i="2"/>
  <c r="T103" i="2"/>
  <c r="BH103" i="2"/>
  <c r="AR104" i="2"/>
  <c r="AE105" i="2"/>
  <c r="AC62" i="2"/>
  <c r="BE69" i="2"/>
  <c r="K74" i="2"/>
  <c r="M78" i="2"/>
  <c r="AB81" i="2"/>
  <c r="BA84" i="2"/>
  <c r="BC86" i="2"/>
  <c r="AS88" i="2"/>
  <c r="X90" i="2"/>
  <c r="AP91" i="2"/>
  <c r="I93" i="2"/>
  <c r="Q94" i="2"/>
  <c r="K95" i="2"/>
  <c r="J96" i="2"/>
  <c r="BH96" i="2"/>
  <c r="BB97" i="2"/>
  <c r="AN98" i="2"/>
  <c r="AC99" i="2"/>
  <c r="O100" i="2"/>
  <c r="BG100" i="2"/>
  <c r="AT101" i="2"/>
  <c r="AF102" i="2"/>
  <c r="U103" i="2"/>
  <c r="C104" i="2"/>
  <c r="AU104" i="2"/>
  <c r="AF105" i="2"/>
  <c r="I106" i="2"/>
  <c r="AU106" i="2"/>
  <c r="AE107" i="2"/>
  <c r="Q108" i="2"/>
  <c r="BD108" i="2"/>
  <c r="AA109" i="2"/>
  <c r="K110" i="2"/>
  <c r="AV110" i="2"/>
  <c r="T111" i="2"/>
  <c r="BA111" i="2"/>
  <c r="AC112" i="2"/>
  <c r="BC112" i="2"/>
  <c r="AC113" i="2"/>
  <c r="BB113" i="2"/>
  <c r="V114" i="2"/>
  <c r="AS114" i="2"/>
  <c r="K115" i="2"/>
  <c r="AF115" i="2"/>
  <c r="BE115" i="2"/>
  <c r="S116" i="2"/>
  <c r="AO116" i="2"/>
  <c r="E117" i="2"/>
  <c r="Y117" i="2"/>
  <c r="AU117" i="2"/>
  <c r="K118" i="2"/>
  <c r="AE118" i="2"/>
  <c r="BA118" i="2"/>
  <c r="Q119" i="2"/>
  <c r="AK119" i="2"/>
  <c r="BG119" i="2"/>
  <c r="W120" i="2"/>
  <c r="AQ120" i="2"/>
  <c r="G121" i="2"/>
  <c r="AC121" i="2"/>
  <c r="AW121" i="2"/>
  <c r="J122" i="2"/>
  <c r="AF122" i="2"/>
  <c r="AY122" i="2"/>
  <c r="L123" i="2"/>
  <c r="AE123" i="2"/>
  <c r="BA123" i="2"/>
  <c r="N124" i="2"/>
  <c r="AG124" i="2"/>
  <c r="AZ124" i="2"/>
  <c r="O125" i="2"/>
  <c r="AH125" i="2"/>
  <c r="AZ125" i="2"/>
  <c r="L126" i="2"/>
  <c r="AD126" i="2"/>
  <c r="AV126" i="2"/>
  <c r="H127" i="2"/>
  <c r="AB127" i="2"/>
  <c r="AT127" i="2"/>
  <c r="F128" i="2"/>
  <c r="X128" i="2"/>
  <c r="AP128" i="2"/>
  <c r="BH128" i="2"/>
  <c r="T129" i="2"/>
  <c r="AM129" i="2"/>
  <c r="BD129" i="2"/>
  <c r="O130" i="2"/>
  <c r="AF130" i="2"/>
  <c r="AV130" i="2"/>
  <c r="F131" i="2"/>
  <c r="V131" i="2"/>
  <c r="AL131" i="2"/>
  <c r="BB131" i="2"/>
  <c r="L132" i="2"/>
  <c r="AB132" i="2"/>
  <c r="AR132" i="2"/>
  <c r="BH132" i="2"/>
  <c r="R133" i="2"/>
  <c r="AH133" i="2"/>
  <c r="AX133" i="2"/>
  <c r="H134" i="2"/>
  <c r="X134" i="2"/>
  <c r="AN134" i="2"/>
  <c r="BD134" i="2"/>
  <c r="N135" i="2"/>
  <c r="AD135" i="2"/>
  <c r="AT135" i="2"/>
  <c r="D136" i="2"/>
  <c r="T136" i="2"/>
  <c r="AJ136" i="2"/>
  <c r="AZ136" i="2"/>
  <c r="J137" i="2"/>
  <c r="Z137" i="2"/>
  <c r="AP137" i="2"/>
  <c r="BF137" i="2"/>
  <c r="P138" i="2"/>
  <c r="AF138" i="2"/>
  <c r="AV138" i="2"/>
  <c r="F139" i="2"/>
  <c r="V139" i="2"/>
  <c r="AL139" i="2"/>
  <c r="BB139" i="2"/>
  <c r="L140" i="2"/>
  <c r="AB140" i="2"/>
  <c r="AR140" i="2"/>
  <c r="BH140" i="2"/>
  <c r="R141" i="2"/>
  <c r="AH141" i="2"/>
  <c r="AX141" i="2"/>
  <c r="H142" i="2"/>
  <c r="X142" i="2"/>
  <c r="AN142" i="2"/>
  <c r="BD142" i="2"/>
  <c r="BB63" i="2"/>
  <c r="N70" i="2"/>
  <c r="K75" i="2"/>
  <c r="V78" i="2"/>
  <c r="Y82" i="2"/>
  <c r="BB84" i="2"/>
  <c r="D87" i="2"/>
  <c r="BA88" i="2"/>
  <c r="AG90" i="2"/>
  <c r="BD91" i="2"/>
  <c r="L93" i="2"/>
  <c r="T94" i="2"/>
  <c r="T95" i="2"/>
  <c r="M96" i="2"/>
  <c r="E97" i="2"/>
  <c r="BE97" i="2"/>
  <c r="AQ98" i="2"/>
  <c r="AF99" i="2"/>
  <c r="R100" i="2"/>
  <c r="G101" i="2"/>
  <c r="AW101" i="2"/>
  <c r="AL102" i="2"/>
  <c r="X103" i="2"/>
  <c r="F104" i="2"/>
  <c r="AW104" i="2"/>
  <c r="AG105" i="2"/>
  <c r="O106" i="2"/>
  <c r="AX106" i="2"/>
  <c r="AF107" i="2"/>
  <c r="S108" i="2"/>
  <c r="BE108" i="2"/>
  <c r="AF109" i="2"/>
  <c r="L110" i="2"/>
  <c r="AW110" i="2"/>
  <c r="AA111" i="2"/>
  <c r="BB111" i="2"/>
  <c r="AD112" i="2"/>
  <c r="BD112" i="2"/>
  <c r="AD113" i="2"/>
  <c r="BH113" i="2"/>
  <c r="W114" i="2"/>
  <c r="AW114" i="2"/>
  <c r="L115" i="2"/>
  <c r="AI115" i="2"/>
  <c r="BF115" i="2"/>
  <c r="T116" i="2"/>
  <c r="AR116" i="2"/>
  <c r="F117" i="2"/>
  <c r="Z117" i="2"/>
  <c r="AX117" i="2"/>
  <c r="L118" i="2"/>
  <c r="AF118" i="2"/>
  <c r="BD118" i="2"/>
  <c r="R119" i="2"/>
  <c r="AL119" i="2"/>
  <c r="D120" i="2"/>
  <c r="X120" i="2"/>
  <c r="AR120" i="2"/>
  <c r="J121" i="2"/>
  <c r="AD121" i="2"/>
  <c r="AX121" i="2"/>
  <c r="M122" i="2"/>
  <c r="AG122" i="2"/>
  <c r="AZ122" i="2"/>
  <c r="M123" i="2"/>
  <c r="AF123" i="2"/>
  <c r="BB123" i="2"/>
  <c r="O124" i="2"/>
  <c r="AH124" i="2"/>
  <c r="BA124" i="2"/>
  <c r="Q125" i="2"/>
  <c r="AI125" i="2"/>
  <c r="BA125" i="2"/>
  <c r="M126" i="2"/>
  <c r="AE126" i="2"/>
  <c r="AW126" i="2"/>
  <c r="K127" i="2"/>
  <c r="AC127" i="2"/>
  <c r="AU127" i="2"/>
  <c r="G128" i="2"/>
  <c r="Y128" i="2"/>
  <c r="AQ128" i="2"/>
  <c r="C129" i="2"/>
  <c r="W129" i="2"/>
  <c r="AN129" i="2"/>
  <c r="BE129" i="2"/>
  <c r="P130" i="2"/>
  <c r="AG130" i="2"/>
  <c r="AW130" i="2"/>
  <c r="G131" i="2"/>
  <c r="W131" i="2"/>
  <c r="AM131" i="2"/>
  <c r="BC131" i="2"/>
  <c r="M132" i="2"/>
  <c r="AC132" i="2"/>
  <c r="AS132" i="2"/>
  <c r="C133" i="2"/>
  <c r="S133" i="2"/>
  <c r="AI133" i="2"/>
  <c r="AY133" i="2"/>
  <c r="I134" i="2"/>
  <c r="Y134" i="2"/>
  <c r="AO134" i="2"/>
  <c r="BE134" i="2"/>
  <c r="O135" i="2"/>
  <c r="AE135" i="2"/>
  <c r="AU135" i="2"/>
  <c r="E136" i="2"/>
  <c r="U136" i="2"/>
  <c r="AK136" i="2"/>
  <c r="BA136" i="2"/>
  <c r="K137" i="2"/>
  <c r="AA137" i="2"/>
  <c r="AQ137" i="2"/>
  <c r="BG137" i="2"/>
  <c r="Q138" i="2"/>
  <c r="AG138" i="2"/>
  <c r="AW138" i="2"/>
  <c r="G139" i="2"/>
  <c r="W139" i="2"/>
  <c r="AM139" i="2"/>
  <c r="BC139" i="2"/>
  <c r="M140" i="2"/>
  <c r="AC140" i="2"/>
  <c r="AS140" i="2"/>
  <c r="BF63" i="2"/>
  <c r="T70" i="2"/>
  <c r="O75" i="2"/>
  <c r="AE78" i="2"/>
  <c r="Z82" i="2"/>
  <c r="BC84" i="2"/>
  <c r="L87" i="2"/>
  <c r="U89" i="2"/>
  <c r="AU90" i="2"/>
  <c r="N92" i="2"/>
  <c r="AD93" i="2"/>
  <c r="AI94" i="2"/>
  <c r="AB95" i="2"/>
  <c r="Z96" i="2"/>
  <c r="S97" i="2"/>
  <c r="H98" i="2"/>
  <c r="BC98" i="2"/>
  <c r="AO99" i="2"/>
  <c r="AD100" i="2"/>
  <c r="N101" i="2"/>
  <c r="C102" i="2"/>
  <c r="AU102" i="2"/>
  <c r="AI103" i="2"/>
  <c r="G104" i="2"/>
  <c r="AX104" i="2"/>
  <c r="AH105" i="2"/>
  <c r="R106" i="2"/>
  <c r="BA106" i="2"/>
  <c r="AG107" i="2"/>
  <c r="T108" i="2"/>
  <c r="BF108" i="2"/>
  <c r="AN109" i="2"/>
  <c r="M110" i="2"/>
  <c r="AX110" i="2"/>
  <c r="AB111" i="2"/>
  <c r="BC111" i="2"/>
  <c r="AE112" i="2"/>
  <c r="BG112" i="2"/>
  <c r="AE113" i="2"/>
  <c r="C114" i="2"/>
  <c r="X114" i="2"/>
  <c r="AX114" i="2"/>
  <c r="M115" i="2"/>
  <c r="AM115" i="2"/>
  <c r="BG115" i="2"/>
  <c r="U116" i="2"/>
  <c r="AS116" i="2"/>
  <c r="G117" i="2"/>
  <c r="AA117" i="2"/>
  <c r="AY117" i="2"/>
  <c r="M118" i="2"/>
  <c r="AG118" i="2"/>
  <c r="BE118" i="2"/>
  <c r="S119" i="2"/>
  <c r="AM119" i="2"/>
  <c r="E120" i="2"/>
  <c r="Y120" i="2"/>
  <c r="AS120" i="2"/>
  <c r="K121" i="2"/>
  <c r="AE121" i="2"/>
  <c r="AY121" i="2"/>
  <c r="O122" i="2"/>
  <c r="AH122" i="2"/>
  <c r="BA122" i="2"/>
  <c r="N123" i="2"/>
  <c r="AI123" i="2"/>
  <c r="BC123" i="2"/>
  <c r="P124" i="2"/>
  <c r="AI124" i="2"/>
  <c r="BB124" i="2"/>
  <c r="R125" i="2"/>
  <c r="AJ125" i="2"/>
  <c r="BB125" i="2"/>
  <c r="N126" i="2"/>
  <c r="AF126" i="2"/>
  <c r="AX126" i="2"/>
  <c r="L127" i="2"/>
  <c r="AD127" i="2"/>
  <c r="AV127" i="2"/>
  <c r="H128" i="2"/>
  <c r="Z128" i="2"/>
  <c r="AR128" i="2"/>
  <c r="D129" i="2"/>
  <c r="X129" i="2"/>
  <c r="AO129" i="2"/>
  <c r="AN64" i="2"/>
  <c r="AB70" i="2"/>
  <c r="P75" i="2"/>
  <c r="X79" i="2"/>
  <c r="AD82" i="2"/>
  <c r="BD84" i="2"/>
  <c r="M87" i="2"/>
  <c r="Z89" i="2"/>
  <c r="BD90" i="2"/>
  <c r="O92" i="2"/>
  <c r="AE93" i="2"/>
  <c r="AJ94" i="2"/>
  <c r="AC95" i="2"/>
  <c r="AB96" i="2"/>
  <c r="T97" i="2"/>
  <c r="K98" i="2"/>
  <c r="BD98" i="2"/>
  <c r="AP99" i="2"/>
  <c r="AE100" i="2"/>
  <c r="O101" i="2"/>
  <c r="D102" i="2"/>
  <c r="AV102" i="2"/>
  <c r="AJ103" i="2"/>
  <c r="M104" i="2"/>
  <c r="AY104" i="2"/>
  <c r="AI105" i="2"/>
  <c r="S106" i="2"/>
  <c r="D107" i="2"/>
  <c r="AH107" i="2"/>
  <c r="U108" i="2"/>
  <c r="BG108" i="2"/>
  <c r="AO109" i="2"/>
  <c r="P110" i="2"/>
  <c r="AY110" i="2"/>
  <c r="AC111" i="2"/>
  <c r="BD111" i="2"/>
  <c r="AF112" i="2"/>
  <c r="F113" i="2"/>
  <c r="AF113" i="2"/>
  <c r="D114" i="2"/>
  <c r="Y114" i="2"/>
  <c r="AY114" i="2"/>
  <c r="N115" i="2"/>
  <c r="AN115" i="2"/>
  <c r="BH115" i="2"/>
  <c r="V116" i="2"/>
  <c r="AT116" i="2"/>
  <c r="H117" i="2"/>
  <c r="AB117" i="2"/>
  <c r="AZ117" i="2"/>
  <c r="N118" i="2"/>
  <c r="AH118" i="2"/>
  <c r="BF118" i="2"/>
  <c r="T119" i="2"/>
  <c r="AN119" i="2"/>
  <c r="F120" i="2"/>
  <c r="Z120" i="2"/>
  <c r="AT120" i="2"/>
  <c r="L121" i="2"/>
  <c r="AF121" i="2"/>
  <c r="AZ121" i="2"/>
  <c r="P122" i="2"/>
  <c r="AI122" i="2"/>
  <c r="BB122" i="2"/>
  <c r="O123" i="2"/>
  <c r="AK123" i="2"/>
  <c r="BD123" i="2"/>
  <c r="Q124" i="2"/>
  <c r="AJ124" i="2"/>
  <c r="BE124" i="2"/>
  <c r="S125" i="2"/>
  <c r="AK125" i="2"/>
  <c r="BC125" i="2"/>
  <c r="O126" i="2"/>
  <c r="AG126" i="2"/>
  <c r="BA126" i="2"/>
  <c r="M127" i="2"/>
  <c r="AE127" i="2"/>
  <c r="AW127" i="2"/>
  <c r="I128" i="2"/>
  <c r="AA128" i="2"/>
  <c r="AS128" i="2"/>
  <c r="G129" i="2"/>
  <c r="AO64" i="2"/>
  <c r="AE70" i="2"/>
  <c r="Q75" i="2"/>
  <c r="AQ79" i="2"/>
  <c r="AE82" i="2"/>
  <c r="BG84" i="2"/>
  <c r="AP87" i="2"/>
  <c r="AA89" i="2"/>
  <c r="BF90" i="2"/>
  <c r="P92" i="2"/>
  <c r="AF93" i="2"/>
  <c r="AK94" i="2"/>
  <c r="AG95" i="2"/>
  <c r="AC96" i="2"/>
  <c r="U97" i="2"/>
  <c r="M98" i="2"/>
  <c r="BE98" i="2"/>
  <c r="AS99" i="2"/>
  <c r="AF100" i="2"/>
  <c r="P101" i="2"/>
  <c r="E102" i="2"/>
  <c r="AW102" i="2"/>
  <c r="AK103" i="2"/>
  <c r="S104" i="2"/>
  <c r="BB104" i="2"/>
  <c r="AJ105" i="2"/>
  <c r="T106" i="2"/>
  <c r="E107" i="2"/>
  <c r="AP107" i="2"/>
  <c r="V108" i="2"/>
  <c r="D109" i="2"/>
  <c r="AP109" i="2"/>
  <c r="V110" i="2"/>
  <c r="AZ110" i="2"/>
  <c r="AF111" i="2"/>
  <c r="C112" i="2"/>
  <c r="AG112" i="2"/>
  <c r="G113" i="2"/>
  <c r="AG113" i="2"/>
  <c r="E114" i="2"/>
  <c r="Z114" i="2"/>
  <c r="AZ114" i="2"/>
  <c r="O115" i="2"/>
  <c r="AO115" i="2"/>
  <c r="C116" i="2"/>
  <c r="Y116" i="2"/>
  <c r="AU116" i="2"/>
  <c r="I117" i="2"/>
  <c r="AE117" i="2"/>
  <c r="BA117" i="2"/>
  <c r="O118" i="2"/>
  <c r="AK118" i="2"/>
  <c r="BG118" i="2"/>
  <c r="U119" i="2"/>
  <c r="AQ119" i="2"/>
  <c r="G120" i="2"/>
  <c r="AA120" i="2"/>
  <c r="AW120" i="2"/>
  <c r="M121" i="2"/>
  <c r="AG121" i="2"/>
  <c r="BC121" i="2"/>
  <c r="Q122" i="2"/>
  <c r="AJ122" i="2"/>
  <c r="BC122" i="2"/>
  <c r="P123" i="2"/>
  <c r="AL123" i="2"/>
  <c r="BE123" i="2"/>
  <c r="R124" i="2"/>
  <c r="AK124" i="2"/>
  <c r="BG124" i="2"/>
  <c r="T125" i="2"/>
  <c r="AL125" i="2"/>
  <c r="BD125" i="2"/>
  <c r="P126" i="2"/>
  <c r="AH126" i="2"/>
  <c r="BB126" i="2"/>
  <c r="N127" i="2"/>
  <c r="AF127" i="2"/>
  <c r="AX127" i="2"/>
  <c r="J128" i="2"/>
  <c r="AB128" i="2"/>
  <c r="AT128" i="2"/>
  <c r="H129" i="2"/>
  <c r="Z129" i="2"/>
  <c r="AQ129" i="2"/>
  <c r="D66" i="2"/>
  <c r="BA71" i="2"/>
  <c r="R75" i="2"/>
  <c r="AR79" i="2"/>
  <c r="AI82" i="2"/>
  <c r="P85" i="2"/>
  <c r="AQ87" i="2"/>
  <c r="AB89" i="2"/>
  <c r="BG90" i="2"/>
  <c r="S92" i="2"/>
  <c r="AG93" i="2"/>
  <c r="AL94" i="2"/>
  <c r="AI95" i="2"/>
  <c r="AD96" i="2"/>
  <c r="V97" i="2"/>
  <c r="N98" i="2"/>
  <c r="BF98" i="2"/>
  <c r="AU99" i="2"/>
  <c r="AG100" i="2"/>
  <c r="U101" i="2"/>
  <c r="F102" i="2"/>
  <c r="AX102" i="2"/>
  <c r="AL103" i="2"/>
  <c r="V104" i="2"/>
  <c r="BE104" i="2"/>
  <c r="AK105" i="2"/>
  <c r="W106" i="2"/>
  <c r="H107" i="2"/>
  <c r="AV107" i="2"/>
  <c r="W108" i="2"/>
  <c r="E109" i="2"/>
  <c r="AQ109" i="2"/>
  <c r="W110" i="2"/>
  <c r="BA110" i="2"/>
  <c r="AG111" i="2"/>
  <c r="I112" i="2"/>
  <c r="AJ112" i="2"/>
  <c r="J113" i="2"/>
  <c r="AH113" i="2"/>
  <c r="F114" i="2"/>
  <c r="AC114" i="2"/>
  <c r="BA114" i="2"/>
  <c r="P115" i="2"/>
  <c r="AP115" i="2"/>
  <c r="D116" i="2"/>
  <c r="AB116" i="2"/>
  <c r="AV116" i="2"/>
  <c r="J117" i="2"/>
  <c r="AH117" i="2"/>
  <c r="BB117" i="2"/>
  <c r="P118" i="2"/>
  <c r="AN118" i="2"/>
  <c r="Z66" i="2"/>
  <c r="BE71" i="2"/>
  <c r="AB75" i="2"/>
  <c r="AU79" i="2"/>
  <c r="AQ82" i="2"/>
  <c r="AU85" i="2"/>
  <c r="AU87" i="2"/>
  <c r="AC89" i="2"/>
  <c r="BH90" i="2"/>
  <c r="U92" i="2"/>
  <c r="AK93" i="2"/>
  <c r="AM94" i="2"/>
  <c r="AB66" i="2"/>
  <c r="O72" i="2"/>
  <c r="AN76" i="2"/>
  <c r="AV79" i="2"/>
  <c r="AR82" i="2"/>
  <c r="D86" i="2"/>
  <c r="AZ87" i="2"/>
  <c r="AG89" i="2"/>
  <c r="E91" i="2"/>
  <c r="AA92" i="2"/>
  <c r="AN93" i="2"/>
  <c r="AQ94" i="2"/>
  <c r="AK95" i="2"/>
  <c r="AF96" i="2"/>
  <c r="X97" i="2"/>
  <c r="R98" i="2"/>
  <c r="BH98" i="2"/>
  <c r="AW99" i="2"/>
  <c r="AI100" i="2"/>
  <c r="X101" i="2"/>
  <c r="J102" i="2"/>
  <c r="BC102" i="2"/>
  <c r="AN103" i="2"/>
  <c r="X104" i="2"/>
  <c r="I105" i="2"/>
  <c r="AS105" i="2"/>
  <c r="Z106" i="2"/>
  <c r="C68" i="2"/>
  <c r="R72" i="2"/>
  <c r="AW76" i="2"/>
  <c r="AY79" i="2"/>
  <c r="AK83" i="2"/>
  <c r="F86" i="2"/>
  <c r="BB87" i="2"/>
  <c r="AQ89" i="2"/>
  <c r="O91" i="2"/>
  <c r="V68" i="2"/>
  <c r="V72" i="2"/>
  <c r="AX76" i="2"/>
  <c r="AX80" i="2"/>
  <c r="AN83" i="2"/>
  <c r="G86" i="2"/>
  <c r="BC87" i="2"/>
  <c r="F90" i="2"/>
  <c r="AH91" i="2"/>
  <c r="BA92" i="2"/>
  <c r="BH93" i="2"/>
  <c r="AK66" i="2"/>
  <c r="H86" i="2"/>
  <c r="AU93" i="2"/>
  <c r="AM96" i="2"/>
  <c r="BG98" i="2"/>
  <c r="AZ100" i="2"/>
  <c r="C103" i="2"/>
  <c r="G105" i="2"/>
  <c r="AL106" i="2"/>
  <c r="BE107" i="2"/>
  <c r="U109" i="2"/>
  <c r="AF110" i="2"/>
  <c r="AN111" i="2"/>
  <c r="AU112" i="2"/>
  <c r="AT113" i="2"/>
  <c r="AK114" i="2"/>
  <c r="Z115" i="2"/>
  <c r="M116" i="2"/>
  <c r="BA116" i="2"/>
  <c r="AM117" i="2"/>
  <c r="Y118" i="2"/>
  <c r="F119" i="2"/>
  <c r="AV119" i="2"/>
  <c r="AB120" i="2"/>
  <c r="BG120" i="2"/>
  <c r="AQ121" i="2"/>
  <c r="U122" i="2"/>
  <c r="BE122" i="2"/>
  <c r="AD123" i="2"/>
  <c r="F124" i="2"/>
  <c r="AS124" i="2"/>
  <c r="W125" i="2"/>
  <c r="BE125" i="2"/>
  <c r="Z126" i="2"/>
  <c r="BH126" i="2"/>
  <c r="AJ127" i="2"/>
  <c r="L128" i="2"/>
  <c r="AO128" i="2"/>
  <c r="O129" i="2"/>
  <c r="AT129" i="2"/>
  <c r="I130" i="2"/>
  <c r="AI130" i="2"/>
  <c r="BC130" i="2"/>
  <c r="Q131" i="2"/>
  <c r="AO131" i="2"/>
  <c r="C132" i="2"/>
  <c r="W132" i="2"/>
  <c r="AU132" i="2"/>
  <c r="I133" i="2"/>
  <c r="AC133" i="2"/>
  <c r="BA133" i="2"/>
  <c r="O134" i="2"/>
  <c r="AI134" i="2"/>
  <c r="BG134" i="2"/>
  <c r="U135" i="2"/>
  <c r="AO135" i="2"/>
  <c r="G136" i="2"/>
  <c r="AA136" i="2"/>
  <c r="AU136" i="2"/>
  <c r="M137" i="2"/>
  <c r="AG137" i="2"/>
  <c r="BA137" i="2"/>
  <c r="S138" i="2"/>
  <c r="AL138" i="2"/>
  <c r="BE138" i="2"/>
  <c r="R139" i="2"/>
  <c r="AN139" i="2"/>
  <c r="BG139" i="2"/>
  <c r="T140" i="2"/>
  <c r="AM140" i="2"/>
  <c r="BG140" i="2"/>
  <c r="T141" i="2"/>
  <c r="AL141" i="2"/>
  <c r="BD141" i="2"/>
  <c r="P142" i="2"/>
  <c r="AH142" i="2"/>
  <c r="AZ142" i="2"/>
  <c r="M143" i="2"/>
  <c r="AD143" i="2"/>
  <c r="AU143" i="2"/>
  <c r="F144" i="2"/>
  <c r="W144" i="2"/>
  <c r="AN144" i="2"/>
  <c r="BE144" i="2"/>
  <c r="P145" i="2"/>
  <c r="AG145" i="2"/>
  <c r="AX145" i="2"/>
  <c r="I146" i="2"/>
  <c r="Z146" i="2"/>
  <c r="AQ146" i="2"/>
  <c r="BH146" i="2"/>
  <c r="T147" i="2"/>
  <c r="AK147" i="2"/>
  <c r="BB147" i="2"/>
  <c r="M148" i="2"/>
  <c r="AD148" i="2"/>
  <c r="AU148" i="2"/>
  <c r="F149" i="2"/>
  <c r="W149" i="2"/>
  <c r="AM149" i="2"/>
  <c r="BC149" i="2"/>
  <c r="M150" i="2"/>
  <c r="AC150" i="2"/>
  <c r="AS150" i="2"/>
  <c r="C151" i="2"/>
  <c r="S151" i="2"/>
  <c r="AI151" i="2"/>
  <c r="AY151" i="2"/>
  <c r="I152" i="2"/>
  <c r="Y152" i="2"/>
  <c r="AO152" i="2"/>
  <c r="BE152" i="2"/>
  <c r="O153" i="2"/>
  <c r="AE153" i="2"/>
  <c r="AU153" i="2"/>
  <c r="E154" i="2"/>
  <c r="U154" i="2"/>
  <c r="AK154" i="2"/>
  <c r="BA154" i="2"/>
  <c r="K155" i="2"/>
  <c r="AA155" i="2"/>
  <c r="AQ155" i="2"/>
  <c r="BG155" i="2"/>
  <c r="Q156" i="2"/>
  <c r="AG156" i="2"/>
  <c r="AW156" i="2"/>
  <c r="G157" i="2"/>
  <c r="W157" i="2"/>
  <c r="AM157" i="2"/>
  <c r="BC157" i="2"/>
  <c r="M158" i="2"/>
  <c r="AC158" i="2"/>
  <c r="AS158" i="2"/>
  <c r="C159" i="2"/>
  <c r="S159" i="2"/>
  <c r="AI159" i="2"/>
  <c r="AY159" i="2"/>
  <c r="I160" i="2"/>
  <c r="Y160" i="2"/>
  <c r="AO160" i="2"/>
  <c r="BE160" i="2"/>
  <c r="O161" i="2"/>
  <c r="AE161" i="2"/>
  <c r="AU161" i="2"/>
  <c r="E162" i="2"/>
  <c r="U162" i="2"/>
  <c r="AK162" i="2"/>
  <c r="BA162" i="2"/>
  <c r="K163" i="2"/>
  <c r="AA163" i="2"/>
  <c r="AQ163" i="2"/>
  <c r="BG163" i="2"/>
  <c r="Q164" i="2"/>
  <c r="AG164" i="2"/>
  <c r="AJ68" i="2"/>
  <c r="I86" i="2"/>
  <c r="C94" i="2"/>
  <c r="AX96" i="2"/>
  <c r="C99" i="2"/>
  <c r="BA100" i="2"/>
  <c r="J103" i="2"/>
  <c r="L105" i="2"/>
  <c r="AO106" i="2"/>
  <c r="BG107" i="2"/>
  <c r="V109" i="2"/>
  <c r="AG110" i="2"/>
  <c r="AV111" i="2"/>
  <c r="AV112" i="2"/>
  <c r="AU113" i="2"/>
  <c r="AL114" i="2"/>
  <c r="AA115" i="2"/>
  <c r="N116" i="2"/>
  <c r="BB116" i="2"/>
  <c r="AN117" i="2"/>
  <c r="Z118" i="2"/>
  <c r="G119" i="2"/>
  <c r="AW119" i="2"/>
  <c r="AC120" i="2"/>
  <c r="D121" i="2"/>
  <c r="AR121" i="2"/>
  <c r="V122" i="2"/>
  <c r="BF122" i="2"/>
  <c r="AM123" i="2"/>
  <c r="I124" i="2"/>
  <c r="AT124" i="2"/>
  <c r="X125" i="2"/>
  <c r="BF125" i="2"/>
  <c r="AC126" i="2"/>
  <c r="C127" i="2"/>
  <c r="AK127" i="2"/>
  <c r="M128" i="2"/>
  <c r="AW128" i="2"/>
  <c r="P129" i="2"/>
  <c r="AU129" i="2"/>
  <c r="J130" i="2"/>
  <c r="AJ130" i="2"/>
  <c r="BD130" i="2"/>
  <c r="R131" i="2"/>
  <c r="AP131" i="2"/>
  <c r="D132" i="2"/>
  <c r="X132" i="2"/>
  <c r="AV132" i="2"/>
  <c r="J133" i="2"/>
  <c r="AD133" i="2"/>
  <c r="BB133" i="2"/>
  <c r="P134" i="2"/>
  <c r="AJ134" i="2"/>
  <c r="BH134" i="2"/>
  <c r="V135" i="2"/>
  <c r="AP135" i="2"/>
  <c r="H136" i="2"/>
  <c r="AB136" i="2"/>
  <c r="AV136" i="2"/>
  <c r="N137" i="2"/>
  <c r="AH137" i="2"/>
  <c r="BB137" i="2"/>
  <c r="T138" i="2"/>
  <c r="AM138" i="2"/>
  <c r="BF138" i="2"/>
  <c r="T139" i="2"/>
  <c r="AO139" i="2"/>
  <c r="BH139" i="2"/>
  <c r="U140" i="2"/>
  <c r="AN140" i="2"/>
  <c r="C141" i="2"/>
  <c r="U141" i="2"/>
  <c r="AM141" i="2"/>
  <c r="BE141" i="2"/>
  <c r="Q142" i="2"/>
  <c r="AI142" i="2"/>
  <c r="BB142" i="2"/>
  <c r="N143" i="2"/>
  <c r="AE143" i="2"/>
  <c r="AV143" i="2"/>
  <c r="G144" i="2"/>
  <c r="X144" i="2"/>
  <c r="AO144" i="2"/>
  <c r="BF144" i="2"/>
  <c r="Q145" i="2"/>
  <c r="AH145" i="2"/>
  <c r="AY145" i="2"/>
  <c r="J146" i="2"/>
  <c r="AA146" i="2"/>
  <c r="AR146" i="2"/>
  <c r="D147" i="2"/>
  <c r="U147" i="2"/>
  <c r="AL147" i="2"/>
  <c r="BC147" i="2"/>
  <c r="N148" i="2"/>
  <c r="AE148" i="2"/>
  <c r="AV148" i="2"/>
  <c r="G149" i="2"/>
  <c r="X149" i="2"/>
  <c r="AN149" i="2"/>
  <c r="BD149" i="2"/>
  <c r="N150" i="2"/>
  <c r="AD150" i="2"/>
  <c r="AT150" i="2"/>
  <c r="D151" i="2"/>
  <c r="T151" i="2"/>
  <c r="AJ151" i="2"/>
  <c r="AZ151" i="2"/>
  <c r="J152" i="2"/>
  <c r="Z152" i="2"/>
  <c r="AP152" i="2"/>
  <c r="BF152" i="2"/>
  <c r="P153" i="2"/>
  <c r="AF153" i="2"/>
  <c r="AV153" i="2"/>
  <c r="F154" i="2"/>
  <c r="V154" i="2"/>
  <c r="AL154" i="2"/>
  <c r="BB154" i="2"/>
  <c r="L155" i="2"/>
  <c r="AB155" i="2"/>
  <c r="AR155" i="2"/>
  <c r="BH155" i="2"/>
  <c r="R156" i="2"/>
  <c r="AH156" i="2"/>
  <c r="AX156" i="2"/>
  <c r="H157" i="2"/>
  <c r="X157" i="2"/>
  <c r="AN157" i="2"/>
  <c r="BD157" i="2"/>
  <c r="N158" i="2"/>
  <c r="AD158" i="2"/>
  <c r="AT158" i="2"/>
  <c r="D159" i="2"/>
  <c r="T159" i="2"/>
  <c r="AJ159" i="2"/>
  <c r="AZ159" i="2"/>
  <c r="J160" i="2"/>
  <c r="Z160" i="2"/>
  <c r="AP160" i="2"/>
  <c r="BF160" i="2"/>
  <c r="P161" i="2"/>
  <c r="AF161" i="2"/>
  <c r="AV161" i="2"/>
  <c r="F162" i="2"/>
  <c r="V162" i="2"/>
  <c r="AL162" i="2"/>
  <c r="BB162" i="2"/>
  <c r="L163" i="2"/>
  <c r="AB163" i="2"/>
  <c r="AR163" i="2"/>
  <c r="BH163" i="2"/>
  <c r="R164" i="2"/>
  <c r="AL68" i="2"/>
  <c r="BA87" i="2"/>
  <c r="D94" i="2"/>
  <c r="AY96" i="2"/>
  <c r="K99" i="2"/>
  <c r="W101" i="2"/>
  <c r="M103" i="2"/>
  <c r="M105" i="2"/>
  <c r="AQ106" i="2"/>
  <c r="BH107" i="2"/>
  <c r="W109" i="2"/>
  <c r="AJ110" i="2"/>
  <c r="AW111" i="2"/>
  <c r="AW112" i="2"/>
  <c r="AV113" i="2"/>
  <c r="AM114" i="2"/>
  <c r="AB115" i="2"/>
  <c r="O116" i="2"/>
  <c r="BE116" i="2"/>
  <c r="AO117" i="2"/>
  <c r="AA118" i="2"/>
  <c r="H119" i="2"/>
  <c r="AX119" i="2"/>
  <c r="AD120" i="2"/>
  <c r="N121" i="2"/>
  <c r="AS121" i="2"/>
  <c r="W122" i="2"/>
  <c r="C123" i="2"/>
  <c r="AN123" i="2"/>
  <c r="M124" i="2"/>
  <c r="P72" i="2"/>
  <c r="Z88" i="2"/>
  <c r="AT94" i="2"/>
  <c r="BC96" i="2"/>
  <c r="R99" i="2"/>
  <c r="Y101" i="2"/>
  <c r="Q103" i="2"/>
  <c r="N105" i="2"/>
  <c r="AT106" i="2"/>
  <c r="N108" i="2"/>
  <c r="Z109" i="2"/>
  <c r="AU110" i="2"/>
  <c r="AZ111" i="2"/>
  <c r="BB112" i="2"/>
  <c r="AY113" i="2"/>
  <c r="AP114" i="2"/>
  <c r="AE115" i="2"/>
  <c r="R116" i="2"/>
  <c r="D117" i="2"/>
  <c r="AR117" i="2"/>
  <c r="AD118" i="2"/>
  <c r="K119" i="2"/>
  <c r="AY119" i="2"/>
  <c r="AG120" i="2"/>
  <c r="O121" i="2"/>
  <c r="AV121" i="2"/>
  <c r="X122" i="2"/>
  <c r="E123" i="2"/>
  <c r="AO123" i="2"/>
  <c r="S124" i="2"/>
  <c r="AV124" i="2"/>
  <c r="Z125" i="2"/>
  <c r="BH125" i="2"/>
  <c r="AL126" i="2"/>
  <c r="G127" i="2"/>
  <c r="AM127" i="2"/>
  <c r="Q128" i="2"/>
  <c r="AY128" i="2"/>
  <c r="Y129" i="2"/>
  <c r="AW129" i="2"/>
  <c r="Q130" i="2"/>
  <c r="AL130" i="2"/>
  <c r="BF130" i="2"/>
  <c r="X131" i="2"/>
  <c r="AR131" i="2"/>
  <c r="F132" i="2"/>
  <c r="AD132" i="2"/>
  <c r="AX132" i="2"/>
  <c r="L133" i="2"/>
  <c r="AJ133" i="2"/>
  <c r="BD133" i="2"/>
  <c r="R134" i="2"/>
  <c r="AP134" i="2"/>
  <c r="D135" i="2"/>
  <c r="X135" i="2"/>
  <c r="AV135" i="2"/>
  <c r="J136" i="2"/>
  <c r="AD136" i="2"/>
  <c r="BB136" i="2"/>
  <c r="P137" i="2"/>
  <c r="AJ137" i="2"/>
  <c r="BH137" i="2"/>
  <c r="V138" i="2"/>
  <c r="AO138" i="2"/>
  <c r="BH138" i="2"/>
  <c r="X139" i="2"/>
  <c r="AQ139" i="2"/>
  <c r="D140" i="2"/>
  <c r="W140" i="2"/>
  <c r="AQ140" i="2"/>
  <c r="E141" i="2"/>
  <c r="W141" i="2"/>
  <c r="AO141" i="2"/>
  <c r="BG141" i="2"/>
  <c r="S142" i="2"/>
  <c r="AL142" i="2"/>
  <c r="BE142" i="2"/>
  <c r="P143" i="2"/>
  <c r="AG143" i="2"/>
  <c r="AX143" i="2"/>
  <c r="I144" i="2"/>
  <c r="Z144" i="2"/>
  <c r="AQ144" i="2"/>
  <c r="BH144" i="2"/>
  <c r="S145" i="2"/>
  <c r="AJ145" i="2"/>
  <c r="BA145" i="2"/>
  <c r="L146" i="2"/>
  <c r="AD146" i="2"/>
  <c r="AU146" i="2"/>
  <c r="F147" i="2"/>
  <c r="W147" i="2"/>
  <c r="AN147" i="2"/>
  <c r="BE147" i="2"/>
  <c r="P148" i="2"/>
  <c r="AG148" i="2"/>
  <c r="AX148" i="2"/>
  <c r="I149" i="2"/>
  <c r="Z149" i="2"/>
  <c r="AP149" i="2"/>
  <c r="BF149" i="2"/>
  <c r="P150" i="2"/>
  <c r="AF150" i="2"/>
  <c r="AV150" i="2"/>
  <c r="F151" i="2"/>
  <c r="V151" i="2"/>
  <c r="AL151" i="2"/>
  <c r="BB151" i="2"/>
  <c r="L152" i="2"/>
  <c r="AB152" i="2"/>
  <c r="AR152" i="2"/>
  <c r="BH152" i="2"/>
  <c r="R153" i="2"/>
  <c r="AH153" i="2"/>
  <c r="AX153" i="2"/>
  <c r="H154" i="2"/>
  <c r="X154" i="2"/>
  <c r="AN154" i="2"/>
  <c r="BD154" i="2"/>
  <c r="N155" i="2"/>
  <c r="AD155" i="2"/>
  <c r="AT155" i="2"/>
  <c r="D156" i="2"/>
  <c r="T156" i="2"/>
  <c r="AJ156" i="2"/>
  <c r="AZ156" i="2"/>
  <c r="J157" i="2"/>
  <c r="Z157" i="2"/>
  <c r="AP157" i="2"/>
  <c r="BF157" i="2"/>
  <c r="AE73" i="2"/>
  <c r="AD88" i="2"/>
  <c r="AW94" i="2"/>
  <c r="W97" i="2"/>
  <c r="S99" i="2"/>
  <c r="AB101" i="2"/>
  <c r="AM103" i="2"/>
  <c r="O105" i="2"/>
  <c r="I107" i="2"/>
  <c r="Z108" i="2"/>
  <c r="AR109" i="2"/>
  <c r="BF110" i="2"/>
  <c r="J112" i="2"/>
  <c r="K113" i="2"/>
  <c r="G114" i="2"/>
  <c r="BB114" i="2"/>
  <c r="AQ115" i="2"/>
  <c r="AC116" i="2"/>
  <c r="K117" i="2"/>
  <c r="BC117" i="2"/>
  <c r="AO118" i="2"/>
  <c r="P119" i="2"/>
  <c r="AZ119" i="2"/>
  <c r="AJ120" i="2"/>
  <c r="P121" i="2"/>
  <c r="BE121" i="2"/>
  <c r="Y122" i="2"/>
  <c r="F123" i="2"/>
  <c r="AP123" i="2"/>
  <c r="T124" i="2"/>
  <c r="AY124" i="2"/>
  <c r="AA125" i="2"/>
  <c r="E126" i="2"/>
  <c r="AM126" i="2"/>
  <c r="O127" i="2"/>
  <c r="AN127" i="2"/>
  <c r="R128" i="2"/>
  <c r="AZ128" i="2"/>
  <c r="AA129" i="2"/>
  <c r="AX129" i="2"/>
  <c r="R130" i="2"/>
  <c r="AM130" i="2"/>
  <c r="BG130" i="2"/>
  <c r="Y131" i="2"/>
  <c r="AS131" i="2"/>
  <c r="G132" i="2"/>
  <c r="AE132" i="2"/>
  <c r="AY132" i="2"/>
  <c r="M133" i="2"/>
  <c r="AK133" i="2"/>
  <c r="BE133" i="2"/>
  <c r="S134" i="2"/>
  <c r="AQ134" i="2"/>
  <c r="E135" i="2"/>
  <c r="Y135" i="2"/>
  <c r="AW135" i="2"/>
  <c r="K136" i="2"/>
  <c r="AE136" i="2"/>
  <c r="BC136" i="2"/>
  <c r="Q137" i="2"/>
  <c r="AK137" i="2"/>
  <c r="C138" i="2"/>
  <c r="W138" i="2"/>
  <c r="AP138" i="2"/>
  <c r="D139" i="2"/>
  <c r="Y139" i="2"/>
  <c r="AR139" i="2"/>
  <c r="E140" i="2"/>
  <c r="X140" i="2"/>
  <c r="AT140" i="2"/>
  <c r="F141" i="2"/>
  <c r="X141" i="2"/>
  <c r="AP141" i="2"/>
  <c r="BH141" i="2"/>
  <c r="T142" i="2"/>
  <c r="AM142" i="2"/>
  <c r="BF142" i="2"/>
  <c r="Q143" i="2"/>
  <c r="AH143" i="2"/>
  <c r="AY143" i="2"/>
  <c r="J144" i="2"/>
  <c r="AA144" i="2"/>
  <c r="AR144" i="2"/>
  <c r="C145" i="2"/>
  <c r="T145" i="2"/>
  <c r="AK145" i="2"/>
  <c r="BB145" i="2"/>
  <c r="N146" i="2"/>
  <c r="AE146" i="2"/>
  <c r="AV146" i="2"/>
  <c r="G147" i="2"/>
  <c r="X147" i="2"/>
  <c r="AO147" i="2"/>
  <c r="BF147" i="2"/>
  <c r="Q148" i="2"/>
  <c r="AH148" i="2"/>
  <c r="AY148" i="2"/>
  <c r="J149" i="2"/>
  <c r="AA149" i="2"/>
  <c r="AQ149" i="2"/>
  <c r="BG149" i="2"/>
  <c r="Q150" i="2"/>
  <c r="AG150" i="2"/>
  <c r="AW150" i="2"/>
  <c r="G151" i="2"/>
  <c r="W151" i="2"/>
  <c r="AM151" i="2"/>
  <c r="BC151" i="2"/>
  <c r="M152" i="2"/>
  <c r="AC152" i="2"/>
  <c r="AS152" i="2"/>
  <c r="C153" i="2"/>
  <c r="S153" i="2"/>
  <c r="AI153" i="2"/>
  <c r="AY153" i="2"/>
  <c r="I154" i="2"/>
  <c r="AF73" i="2"/>
  <c r="AK89" i="2"/>
  <c r="E95" i="2"/>
  <c r="Y97" i="2"/>
  <c r="T99" i="2"/>
  <c r="AM101" i="2"/>
  <c r="AO103" i="2"/>
  <c r="P105" i="2"/>
  <c r="J107" i="2"/>
  <c r="AJ108" i="2"/>
  <c r="AS109" i="2"/>
  <c r="G111" i="2"/>
  <c r="K112" i="2"/>
  <c r="L113" i="2"/>
  <c r="H114" i="2"/>
  <c r="BC114" i="2"/>
  <c r="AR115" i="2"/>
  <c r="AD116" i="2"/>
  <c r="L117" i="2"/>
  <c r="BD117" i="2"/>
  <c r="AP118" i="2"/>
  <c r="V119" i="2"/>
  <c r="BA119" i="2"/>
  <c r="AK120" i="2"/>
  <c r="Q121" i="2"/>
  <c r="BF121" i="2"/>
  <c r="AE122" i="2"/>
  <c r="G123" i="2"/>
  <c r="AQ123" i="2"/>
  <c r="U124" i="2"/>
  <c r="BH124" i="2"/>
  <c r="AB125" i="2"/>
  <c r="F126" i="2"/>
  <c r="AN126" i="2"/>
  <c r="P127" i="2"/>
  <c r="AS127" i="2"/>
  <c r="S128" i="2"/>
  <c r="BA128" i="2"/>
  <c r="AB129" i="2"/>
  <c r="AY129" i="2"/>
  <c r="S130" i="2"/>
  <c r="AN130" i="2"/>
  <c r="BH130" i="2"/>
  <c r="Z131" i="2"/>
  <c r="AT131" i="2"/>
  <c r="H132" i="2"/>
  <c r="AF132" i="2"/>
  <c r="AZ132" i="2"/>
  <c r="N133" i="2"/>
  <c r="AL133" i="2"/>
  <c r="BF133" i="2"/>
  <c r="T134" i="2"/>
  <c r="AR134" i="2"/>
  <c r="F135" i="2"/>
  <c r="Z135" i="2"/>
  <c r="AX135" i="2"/>
  <c r="L136" i="2"/>
  <c r="AF136" i="2"/>
  <c r="BD136" i="2"/>
  <c r="R137" i="2"/>
  <c r="AL137" i="2"/>
  <c r="D138" i="2"/>
  <c r="X138" i="2"/>
  <c r="AQ138" i="2"/>
  <c r="E139" i="2"/>
  <c r="Z139" i="2"/>
  <c r="AS139" i="2"/>
  <c r="F140" i="2"/>
  <c r="Z140" i="2"/>
  <c r="AU140" i="2"/>
  <c r="G141" i="2"/>
  <c r="Y141" i="2"/>
  <c r="AQ141" i="2"/>
  <c r="C142" i="2"/>
  <c r="V142" i="2"/>
  <c r="AO142" i="2"/>
  <c r="BG142" i="2"/>
  <c r="R143" i="2"/>
  <c r="AI143" i="2"/>
  <c r="AZ143" i="2"/>
  <c r="K144" i="2"/>
  <c r="AB144" i="2"/>
  <c r="AS144" i="2"/>
  <c r="D145" i="2"/>
  <c r="U145" i="2"/>
  <c r="AL145" i="2"/>
  <c r="BD145" i="2"/>
  <c r="O146" i="2"/>
  <c r="AF146" i="2"/>
  <c r="AW146" i="2"/>
  <c r="H147" i="2"/>
  <c r="Y147" i="2"/>
  <c r="AP147" i="2"/>
  <c r="AS76" i="2"/>
  <c r="G90" i="2"/>
  <c r="F95" i="2"/>
  <c r="AI97" i="2"/>
  <c r="AV99" i="2"/>
  <c r="AO101" i="2"/>
  <c r="AP103" i="2"/>
  <c r="AL105" i="2"/>
  <c r="K107" i="2"/>
  <c r="AK108" i="2"/>
  <c r="AT109" i="2"/>
  <c r="H111" i="2"/>
  <c r="L112" i="2"/>
  <c r="M113" i="2"/>
  <c r="I114" i="2"/>
  <c r="BD114" i="2"/>
  <c r="AS115" i="2"/>
  <c r="AE116" i="2"/>
  <c r="O117" i="2"/>
  <c r="BE117" i="2"/>
  <c r="AQ118" i="2"/>
  <c r="W119" i="2"/>
  <c r="BD119" i="2"/>
  <c r="AL120" i="2"/>
  <c r="R121" i="2"/>
  <c r="BG121" i="2"/>
  <c r="AK122" i="2"/>
  <c r="H123" i="2"/>
  <c r="AR123" i="2"/>
  <c r="V124" i="2"/>
  <c r="C125" i="2"/>
  <c r="AG125" i="2"/>
  <c r="G126" i="2"/>
  <c r="AO126" i="2"/>
  <c r="Q127" i="2"/>
  <c r="AY127" i="2"/>
  <c r="T128" i="2"/>
  <c r="BB128" i="2"/>
  <c r="AC129" i="2"/>
  <c r="BC129" i="2"/>
  <c r="T130" i="2"/>
  <c r="AO130" i="2"/>
  <c r="E131" i="2"/>
  <c r="AA131" i="2"/>
  <c r="AU131" i="2"/>
  <c r="K132" i="2"/>
  <c r="AG132" i="2"/>
  <c r="BA132" i="2"/>
  <c r="Q133" i="2"/>
  <c r="AM133" i="2"/>
  <c r="BG133" i="2"/>
  <c r="W134" i="2"/>
  <c r="AS134" i="2"/>
  <c r="G135" i="2"/>
  <c r="AC135" i="2"/>
  <c r="AY135" i="2"/>
  <c r="M136" i="2"/>
  <c r="AI136" i="2"/>
  <c r="BE136" i="2"/>
  <c r="S137" i="2"/>
  <c r="AO137" i="2"/>
  <c r="E138" i="2"/>
  <c r="Y138" i="2"/>
  <c r="AR138" i="2"/>
  <c r="H139" i="2"/>
  <c r="AA139" i="2"/>
  <c r="AT139" i="2"/>
  <c r="G140" i="2"/>
  <c r="AA140" i="2"/>
  <c r="AV140" i="2"/>
  <c r="H141" i="2"/>
  <c r="Z141" i="2"/>
  <c r="AR141" i="2"/>
  <c r="D142" i="2"/>
  <c r="W142" i="2"/>
  <c r="AP142" i="2"/>
  <c r="BH142" i="2"/>
  <c r="S143" i="2"/>
  <c r="AJ143" i="2"/>
  <c r="BA143" i="2"/>
  <c r="L144" i="2"/>
  <c r="AC144" i="2"/>
  <c r="AT144" i="2"/>
  <c r="E145" i="2"/>
  <c r="V145" i="2"/>
  <c r="BE76" i="2"/>
  <c r="H90" i="2"/>
  <c r="G95" i="2"/>
  <c r="AR97" i="2"/>
  <c r="AX99" i="2"/>
  <c r="AP101" i="2"/>
  <c r="AS103" i="2"/>
  <c r="AZ105" i="2"/>
  <c r="L107" i="2"/>
  <c r="AL108" i="2"/>
  <c r="AW109" i="2"/>
  <c r="I111" i="2"/>
  <c r="M112" i="2"/>
  <c r="N113" i="2"/>
  <c r="J114" i="2"/>
  <c r="BE114" i="2"/>
  <c r="AT115" i="2"/>
  <c r="AF116" i="2"/>
  <c r="R117" i="2"/>
  <c r="BF117" i="2"/>
  <c r="AR118" i="2"/>
  <c r="X119" i="2"/>
  <c r="H120" i="2"/>
  <c r="AM120" i="2"/>
  <c r="S121" i="2"/>
  <c r="BH121" i="2"/>
  <c r="AL122" i="2"/>
  <c r="K123" i="2"/>
  <c r="AS123" i="2"/>
  <c r="Y124" i="2"/>
  <c r="D125" i="2"/>
  <c r="AM125" i="2"/>
  <c r="H126" i="2"/>
  <c r="AP126" i="2"/>
  <c r="R127" i="2"/>
  <c r="AZ127" i="2"/>
  <c r="W128" i="2"/>
  <c r="BC128" i="2"/>
  <c r="AD129" i="2"/>
  <c r="BF129" i="2"/>
  <c r="U130" i="2"/>
  <c r="AP130" i="2"/>
  <c r="H131" i="2"/>
  <c r="AB131" i="2"/>
  <c r="AV131" i="2"/>
  <c r="N132" i="2"/>
  <c r="AH132" i="2"/>
  <c r="BB132" i="2"/>
  <c r="T133" i="2"/>
  <c r="AN133" i="2"/>
  <c r="BH133" i="2"/>
  <c r="Z134" i="2"/>
  <c r="AT134" i="2"/>
  <c r="H135" i="2"/>
  <c r="AF135" i="2"/>
  <c r="AZ135" i="2"/>
  <c r="N136" i="2"/>
  <c r="AL136" i="2"/>
  <c r="BF136" i="2"/>
  <c r="T137" i="2"/>
  <c r="AR137" i="2"/>
  <c r="F138" i="2"/>
  <c r="Z138" i="2"/>
  <c r="AT138" i="2"/>
  <c r="I139" i="2"/>
  <c r="AB139" i="2"/>
  <c r="AU139" i="2"/>
  <c r="H140" i="2"/>
  <c r="AD140" i="2"/>
  <c r="AW140" i="2"/>
  <c r="I141" i="2"/>
  <c r="AA141" i="2"/>
  <c r="AS141" i="2"/>
  <c r="F142" i="2"/>
  <c r="Y142" i="2"/>
  <c r="J77" i="2"/>
  <c r="F91" i="2"/>
  <c r="AJ95" i="2"/>
  <c r="AS97" i="2"/>
  <c r="BA99" i="2"/>
  <c r="G102" i="2"/>
  <c r="BD103" i="2"/>
  <c r="BA105" i="2"/>
  <c r="M107" i="2"/>
  <c r="AM108" i="2"/>
  <c r="BB109" i="2"/>
  <c r="J111" i="2"/>
  <c r="N112" i="2"/>
  <c r="O113" i="2"/>
  <c r="M114" i="2"/>
  <c r="BF114" i="2"/>
  <c r="AU115" i="2"/>
  <c r="AG116" i="2"/>
  <c r="S117" i="2"/>
  <c r="BG117" i="2"/>
  <c r="AS118" i="2"/>
  <c r="AA119" i="2"/>
  <c r="I120" i="2"/>
  <c r="AP120" i="2"/>
  <c r="T121" i="2"/>
  <c r="C122" i="2"/>
  <c r="AM122" i="2"/>
  <c r="S123" i="2"/>
  <c r="AT123" i="2"/>
  <c r="AA124" i="2"/>
  <c r="E125" i="2"/>
  <c r="AN125" i="2"/>
  <c r="K126" i="2"/>
  <c r="AQ126" i="2"/>
  <c r="S127" i="2"/>
  <c r="BA127" i="2"/>
  <c r="AC128" i="2"/>
  <c r="BD128" i="2"/>
  <c r="AE129" i="2"/>
  <c r="BG129" i="2"/>
  <c r="V130" i="2"/>
  <c r="AQ130" i="2"/>
  <c r="I131" i="2"/>
  <c r="AC131" i="2"/>
  <c r="AW131" i="2"/>
  <c r="O132" i="2"/>
  <c r="AI132" i="2"/>
  <c r="BC132" i="2"/>
  <c r="U133" i="2"/>
  <c r="AO133" i="2"/>
  <c r="C134" i="2"/>
  <c r="AA134" i="2"/>
  <c r="AU134" i="2"/>
  <c r="I135" i="2"/>
  <c r="AG135" i="2"/>
  <c r="BA135" i="2"/>
  <c r="O136" i="2"/>
  <c r="AM136" i="2"/>
  <c r="BG136" i="2"/>
  <c r="U137" i="2"/>
  <c r="AX79" i="2"/>
  <c r="AK91" i="2"/>
  <c r="AN95" i="2"/>
  <c r="AU97" i="2"/>
  <c r="G100" i="2"/>
  <c r="K102" i="2"/>
  <c r="BE103" i="2"/>
  <c r="BB105" i="2"/>
  <c r="P107" i="2"/>
  <c r="AN108" i="2"/>
  <c r="BH109" i="2"/>
  <c r="K111" i="2"/>
  <c r="O112" i="2"/>
  <c r="P113" i="2"/>
  <c r="Q114" i="2"/>
  <c r="C115" i="2"/>
  <c r="AV115" i="2"/>
  <c r="AH116" i="2"/>
  <c r="T117" i="2"/>
  <c r="BH117" i="2"/>
  <c r="BA80" i="2"/>
  <c r="AL91" i="2"/>
  <c r="AR95" i="2"/>
  <c r="O98" i="2"/>
  <c r="H100" i="2"/>
  <c r="N102" i="2"/>
  <c r="W104" i="2"/>
  <c r="BC105" i="2"/>
  <c r="AA107" i="2"/>
  <c r="AO108" i="2"/>
  <c r="C110" i="2"/>
  <c r="L111" i="2"/>
  <c r="P112" i="2"/>
  <c r="S113" i="2"/>
  <c r="R114" i="2"/>
  <c r="G115" i="2"/>
  <c r="AY115" i="2"/>
  <c r="AI116" i="2"/>
  <c r="U117" i="2"/>
  <c r="E118" i="2"/>
  <c r="AU118" i="2"/>
  <c r="AE119" i="2"/>
  <c r="K120" i="2"/>
  <c r="BA120" i="2"/>
  <c r="AB121" i="2"/>
  <c r="E122" i="2"/>
  <c r="AO122" i="2"/>
  <c r="V123" i="2"/>
  <c r="BF123" i="2"/>
  <c r="AC124" i="2"/>
  <c r="G125" i="2"/>
  <c r="AP125" i="2"/>
  <c r="R126" i="2"/>
  <c r="AU126" i="2"/>
  <c r="U127" i="2"/>
  <c r="BC127" i="2"/>
  <c r="AG128" i="2"/>
  <c r="I129" i="2"/>
  <c r="AG129" i="2"/>
  <c r="C130" i="2"/>
  <c r="X130" i="2"/>
  <c r="X83" i="2"/>
  <c r="AI92" i="2"/>
  <c r="BD95" i="2"/>
  <c r="V98" i="2"/>
  <c r="AH100" i="2"/>
  <c r="AA102" i="2"/>
  <c r="Z104" i="2"/>
  <c r="E106" i="2"/>
  <c r="AW107" i="2"/>
  <c r="F109" i="2"/>
  <c r="Z110" i="2"/>
  <c r="AH111" i="2"/>
  <c r="AK112" i="2"/>
  <c r="AZ83" i="2"/>
  <c r="BB92" i="2"/>
  <c r="BE95" i="2"/>
  <c r="AH98" i="2"/>
  <c r="AJ100" i="2"/>
  <c r="AB102" i="2"/>
  <c r="AC104" i="2"/>
  <c r="Y106" i="2"/>
  <c r="AX107" i="2"/>
  <c r="G109" i="2"/>
  <c r="AC110" i="2"/>
  <c r="AI111" i="2"/>
  <c r="AL112" i="2"/>
  <c r="AQ113" i="2"/>
  <c r="AH114" i="2"/>
  <c r="BB80" i="2"/>
  <c r="BA102" i="2"/>
  <c r="AE110" i="2"/>
  <c r="S115" i="2"/>
  <c r="AJ117" i="2"/>
  <c r="AG119" i="2"/>
  <c r="W121" i="2"/>
  <c r="AX122" i="2"/>
  <c r="AL124" i="2"/>
  <c r="AV125" i="2"/>
  <c r="D127" i="2"/>
  <c r="AH128" i="2"/>
  <c r="AP129" i="2"/>
  <c r="AH130" i="2"/>
  <c r="P131" i="2"/>
  <c r="BH131" i="2"/>
  <c r="AT132" i="2"/>
  <c r="AB133" i="2"/>
  <c r="N134" i="2"/>
  <c r="BF134" i="2"/>
  <c r="AN135" i="2"/>
  <c r="Z136" i="2"/>
  <c r="L137" i="2"/>
  <c r="AY137" i="2"/>
  <c r="AH138" i="2"/>
  <c r="L139" i="2"/>
  <c r="AV139" i="2"/>
  <c r="S140" i="2"/>
  <c r="BC140" i="2"/>
  <c r="AF141" i="2"/>
  <c r="I142" i="2"/>
  <c r="AJ142" i="2"/>
  <c r="H143" i="2"/>
  <c r="AL143" i="2"/>
  <c r="D144" i="2"/>
  <c r="AH144" i="2"/>
  <c r="BG144" i="2"/>
  <c r="AC145" i="2"/>
  <c r="BE145" i="2"/>
  <c r="U146" i="2"/>
  <c r="AT146" i="2"/>
  <c r="M147" i="2"/>
  <c r="AJ147" i="2"/>
  <c r="D148" i="2"/>
  <c r="Z148" i="2"/>
  <c r="AW148" i="2"/>
  <c r="N149" i="2"/>
  <c r="AI149" i="2"/>
  <c r="BE149" i="2"/>
  <c r="U150" i="2"/>
  <c r="AO150" i="2"/>
  <c r="E151" i="2"/>
  <c r="AA151" i="2"/>
  <c r="AU151" i="2"/>
  <c r="K152" i="2"/>
  <c r="AG152" i="2"/>
  <c r="BA152" i="2"/>
  <c r="Q153" i="2"/>
  <c r="AM153" i="2"/>
  <c r="BG153" i="2"/>
  <c r="W154" i="2"/>
  <c r="AQ154" i="2"/>
  <c r="D155" i="2"/>
  <c r="W155" i="2"/>
  <c r="AP155" i="2"/>
  <c r="F156" i="2"/>
  <c r="Y156" i="2"/>
  <c r="AR156" i="2"/>
  <c r="E157" i="2"/>
  <c r="AA157" i="2"/>
  <c r="AT157" i="2"/>
  <c r="G158" i="2"/>
  <c r="Y158" i="2"/>
  <c r="AQ158" i="2"/>
  <c r="E159" i="2"/>
  <c r="W159" i="2"/>
  <c r="AO159" i="2"/>
  <c r="BG159" i="2"/>
  <c r="S160" i="2"/>
  <c r="AK160" i="2"/>
  <c r="BC160" i="2"/>
  <c r="Q161" i="2"/>
  <c r="AI161" i="2"/>
  <c r="BA161" i="2"/>
  <c r="M162" i="2"/>
  <c r="AE162" i="2"/>
  <c r="AW162" i="2"/>
  <c r="I163" i="2"/>
  <c r="AC163" i="2"/>
  <c r="AU163" i="2"/>
  <c r="G164" i="2"/>
  <c r="Y164" i="2"/>
  <c r="AP164" i="2"/>
  <c r="BF164" i="2"/>
  <c r="P165" i="2"/>
  <c r="AF165" i="2"/>
  <c r="AV165" i="2"/>
  <c r="F166" i="2"/>
  <c r="V166" i="2"/>
  <c r="AL166" i="2"/>
  <c r="BB166" i="2"/>
  <c r="L167" i="2"/>
  <c r="AB167" i="2"/>
  <c r="AR167" i="2"/>
  <c r="BH167" i="2"/>
  <c r="R168" i="2"/>
  <c r="AH168" i="2"/>
  <c r="AX168" i="2"/>
  <c r="H169" i="2"/>
  <c r="X169" i="2"/>
  <c r="AN169" i="2"/>
  <c r="BD169" i="2"/>
  <c r="N170" i="2"/>
  <c r="AD170" i="2"/>
  <c r="AT170" i="2"/>
  <c r="D171" i="2"/>
  <c r="T171" i="2"/>
  <c r="AJ171" i="2"/>
  <c r="AZ171" i="2"/>
  <c r="J172" i="2"/>
  <c r="Z172" i="2"/>
  <c r="AP172" i="2"/>
  <c r="BF172" i="2"/>
  <c r="P173" i="2"/>
  <c r="AF173" i="2"/>
  <c r="AV173" i="2"/>
  <c r="F174" i="2"/>
  <c r="V174" i="2"/>
  <c r="AL174" i="2"/>
  <c r="BB174" i="2"/>
  <c r="L175" i="2"/>
  <c r="AB175" i="2"/>
  <c r="AR175" i="2"/>
  <c r="BH175" i="2"/>
  <c r="R176" i="2"/>
  <c r="AH176" i="2"/>
  <c r="AX176" i="2"/>
  <c r="H177" i="2"/>
  <c r="X177" i="2"/>
  <c r="AN177" i="2"/>
  <c r="BD177" i="2"/>
  <c r="N178" i="2"/>
  <c r="AD178" i="2"/>
  <c r="AT178" i="2"/>
  <c r="D179" i="2"/>
  <c r="T179" i="2"/>
  <c r="AJ179" i="2"/>
  <c r="AZ179" i="2"/>
  <c r="J180" i="2"/>
  <c r="Z180" i="2"/>
  <c r="AP180" i="2"/>
  <c r="BF180" i="2"/>
  <c r="P181" i="2"/>
  <c r="AF181" i="2"/>
  <c r="AV181" i="2"/>
  <c r="F182" i="2"/>
  <c r="V182" i="2"/>
  <c r="AL182" i="2"/>
  <c r="BB182" i="2"/>
  <c r="L183" i="2"/>
  <c r="AB183" i="2"/>
  <c r="AR183" i="2"/>
  <c r="BH183" i="2"/>
  <c r="R184" i="2"/>
  <c r="BE83" i="2"/>
  <c r="BF102" i="2"/>
  <c r="Q111" i="2"/>
  <c r="W115" i="2"/>
  <c r="AK117" i="2"/>
  <c r="AJ119" i="2"/>
  <c r="AH121" i="2"/>
  <c r="BD122" i="2"/>
  <c r="AO124" i="2"/>
  <c r="AY125" i="2"/>
  <c r="T127" i="2"/>
  <c r="AI128" i="2"/>
  <c r="AR129" i="2"/>
  <c r="AK130" i="2"/>
  <c r="U131" i="2"/>
  <c r="E132" i="2"/>
  <c r="AW132" i="2"/>
  <c r="AG133" i="2"/>
  <c r="Q134" i="2"/>
  <c r="C135" i="2"/>
  <c r="AS135" i="2"/>
  <c r="AC136" i="2"/>
  <c r="O137" i="2"/>
  <c r="AZ137" i="2"/>
  <c r="AI138" i="2"/>
  <c r="M139" i="2"/>
  <c r="AW139" i="2"/>
  <c r="V140" i="2"/>
  <c r="BD140" i="2"/>
  <c r="AG141" i="2"/>
  <c r="J142" i="2"/>
  <c r="AQ142" i="2"/>
  <c r="I143" i="2"/>
  <c r="AM143" i="2"/>
  <c r="E144" i="2"/>
  <c r="AI144" i="2"/>
  <c r="F145" i="2"/>
  <c r="AD145" i="2"/>
  <c r="BF145" i="2"/>
  <c r="V146" i="2"/>
  <c r="AX146" i="2"/>
  <c r="N147" i="2"/>
  <c r="AM147" i="2"/>
  <c r="E148" i="2"/>
  <c r="AA148" i="2"/>
  <c r="AZ148" i="2"/>
  <c r="P149" i="2"/>
  <c r="AJ149" i="2"/>
  <c r="BH149" i="2"/>
  <c r="V150" i="2"/>
  <c r="AP150" i="2"/>
  <c r="H151" i="2"/>
  <c r="AB151" i="2"/>
  <c r="AV151" i="2"/>
  <c r="N152" i="2"/>
  <c r="AH152" i="2"/>
  <c r="BB152" i="2"/>
  <c r="T153" i="2"/>
  <c r="AN153" i="2"/>
  <c r="BH153" i="2"/>
  <c r="Y154" i="2"/>
  <c r="AR154" i="2"/>
  <c r="E155" i="2"/>
  <c r="X155" i="2"/>
  <c r="AS155" i="2"/>
  <c r="G156" i="2"/>
  <c r="Z156" i="2"/>
  <c r="AS156" i="2"/>
  <c r="F157" i="2"/>
  <c r="AB157" i="2"/>
  <c r="AU157" i="2"/>
  <c r="H158" i="2"/>
  <c r="Z158" i="2"/>
  <c r="AR158" i="2"/>
  <c r="F159" i="2"/>
  <c r="X159" i="2"/>
  <c r="AP159" i="2"/>
  <c r="BH159" i="2"/>
  <c r="T160" i="2"/>
  <c r="AL160" i="2"/>
  <c r="BD160" i="2"/>
  <c r="R161" i="2"/>
  <c r="AJ161" i="2"/>
  <c r="BB161" i="2"/>
  <c r="N162" i="2"/>
  <c r="AF162" i="2"/>
  <c r="AX162" i="2"/>
  <c r="J163" i="2"/>
  <c r="AD163" i="2"/>
  <c r="AV163" i="2"/>
  <c r="H164" i="2"/>
  <c r="Z164" i="2"/>
  <c r="AQ164" i="2"/>
  <c r="BG164" i="2"/>
  <c r="Q165" i="2"/>
  <c r="AG165" i="2"/>
  <c r="AW165" i="2"/>
  <c r="G166" i="2"/>
  <c r="W166" i="2"/>
  <c r="AM166" i="2"/>
  <c r="BC166" i="2"/>
  <c r="M167" i="2"/>
  <c r="AC167" i="2"/>
  <c r="AS167" i="2"/>
  <c r="C168" i="2"/>
  <c r="S168" i="2"/>
  <c r="AI168" i="2"/>
  <c r="AY168" i="2"/>
  <c r="I169" i="2"/>
  <c r="Y169" i="2"/>
  <c r="AO169" i="2"/>
  <c r="BE169" i="2"/>
  <c r="O170" i="2"/>
  <c r="AE170" i="2"/>
  <c r="AU170" i="2"/>
  <c r="E171" i="2"/>
  <c r="U171" i="2"/>
  <c r="AK171" i="2"/>
  <c r="BA171" i="2"/>
  <c r="K172" i="2"/>
  <c r="AA172" i="2"/>
  <c r="AQ172" i="2"/>
  <c r="BG172" i="2"/>
  <c r="Q173" i="2"/>
  <c r="AG173" i="2"/>
  <c r="AW173" i="2"/>
  <c r="G174" i="2"/>
  <c r="W174" i="2"/>
  <c r="AM174" i="2"/>
  <c r="BC174" i="2"/>
  <c r="M175" i="2"/>
  <c r="AC175" i="2"/>
  <c r="AS175" i="2"/>
  <c r="C176" i="2"/>
  <c r="S176" i="2"/>
  <c r="AI176" i="2"/>
  <c r="AY176" i="2"/>
  <c r="I177" i="2"/>
  <c r="Y177" i="2"/>
  <c r="AO177" i="2"/>
  <c r="BE177" i="2"/>
  <c r="O178" i="2"/>
  <c r="AE178" i="2"/>
  <c r="AU178" i="2"/>
  <c r="E179" i="2"/>
  <c r="U179" i="2"/>
  <c r="AK179" i="2"/>
  <c r="BA179" i="2"/>
  <c r="K180" i="2"/>
  <c r="AA180" i="2"/>
  <c r="AQ180" i="2"/>
  <c r="BG180" i="2"/>
  <c r="Q181" i="2"/>
  <c r="AG181" i="2"/>
  <c r="AW181" i="2"/>
  <c r="G182" i="2"/>
  <c r="W182" i="2"/>
  <c r="AM182" i="2"/>
  <c r="BC182" i="2"/>
  <c r="M183" i="2"/>
  <c r="AC183" i="2"/>
  <c r="AS183" i="2"/>
  <c r="C184" i="2"/>
  <c r="S184" i="2"/>
  <c r="AI184" i="2"/>
  <c r="AY184" i="2"/>
  <c r="I185" i="2"/>
  <c r="Y185" i="2"/>
  <c r="AO185" i="2"/>
  <c r="BE185" i="2"/>
  <c r="E86" i="2"/>
  <c r="Y104" i="2"/>
  <c r="AJ111" i="2"/>
  <c r="X115" i="2"/>
  <c r="AL117" i="2"/>
  <c r="AT119" i="2"/>
  <c r="AI121" i="2"/>
  <c r="U123" i="2"/>
  <c r="AQ124" i="2"/>
  <c r="BG125" i="2"/>
  <c r="V127" i="2"/>
  <c r="AJ128" i="2"/>
  <c r="AS129" i="2"/>
  <c r="AR130" i="2"/>
  <c r="AD131" i="2"/>
  <c r="P132" i="2"/>
  <c r="BD132" i="2"/>
  <c r="AP133" i="2"/>
  <c r="AB134" i="2"/>
  <c r="J135" i="2"/>
  <c r="BB135" i="2"/>
  <c r="AN136" i="2"/>
  <c r="V137" i="2"/>
  <c r="BE137" i="2"/>
  <c r="AJ138" i="2"/>
  <c r="N139" i="2"/>
  <c r="AX139" i="2"/>
  <c r="AE140" i="2"/>
  <c r="BF140" i="2"/>
  <c r="AI141" i="2"/>
  <c r="K142" i="2"/>
  <c r="AR142" i="2"/>
  <c r="J143" i="2"/>
  <c r="AN143" i="2"/>
  <c r="H144" i="2"/>
  <c r="AJ144" i="2"/>
  <c r="H145" i="2"/>
  <c r="AE145" i="2"/>
  <c r="BG145" i="2"/>
  <c r="W146" i="2"/>
  <c r="AY146" i="2"/>
  <c r="AF92" i="2"/>
  <c r="AE104" i="2"/>
  <c r="AK111" i="2"/>
  <c r="Y115" i="2"/>
  <c r="J118" i="2"/>
  <c r="AU119" i="2"/>
  <c r="AJ121" i="2"/>
  <c r="W123" i="2"/>
  <c r="AR124" i="2"/>
  <c r="Q126" i="2"/>
  <c r="AA127" i="2"/>
  <c r="AK128" i="2"/>
  <c r="AV129" i="2"/>
  <c r="AU130" i="2"/>
  <c r="AE131" i="2"/>
  <c r="Q132" i="2"/>
  <c r="BG132" i="2"/>
  <c r="AQ133" i="2"/>
  <c r="AC134" i="2"/>
  <c r="M135" i="2"/>
  <c r="BC135" i="2"/>
  <c r="AO136" i="2"/>
  <c r="Y137" i="2"/>
  <c r="G138" i="2"/>
  <c r="AK138" i="2"/>
  <c r="O139" i="2"/>
  <c r="AZ139" i="2"/>
  <c r="AF140" i="2"/>
  <c r="D141" i="2"/>
  <c r="AJ141" i="2"/>
  <c r="L142" i="2"/>
  <c r="AS142" i="2"/>
  <c r="L143" i="2"/>
  <c r="AO143" i="2"/>
  <c r="M144" i="2"/>
  <c r="AK144" i="2"/>
  <c r="I145" i="2"/>
  <c r="AF145" i="2"/>
  <c r="BH145" i="2"/>
  <c r="X146" i="2"/>
  <c r="AZ146" i="2"/>
  <c r="P147" i="2"/>
  <c r="AR147" i="2"/>
  <c r="G148" i="2"/>
  <c r="AC148" i="2"/>
  <c r="BB148" i="2"/>
  <c r="R149" i="2"/>
  <c r="AL149" i="2"/>
  <c r="D150" i="2"/>
  <c r="X150" i="2"/>
  <c r="AR150" i="2"/>
  <c r="J151" i="2"/>
  <c r="AD151" i="2"/>
  <c r="AX151" i="2"/>
  <c r="P152" i="2"/>
  <c r="AJ152" i="2"/>
  <c r="BD152" i="2"/>
  <c r="V153" i="2"/>
  <c r="AP153" i="2"/>
  <c r="D154" i="2"/>
  <c r="AA154" i="2"/>
  <c r="AT154" i="2"/>
  <c r="G155" i="2"/>
  <c r="Z155" i="2"/>
  <c r="AV155" i="2"/>
  <c r="I156" i="2"/>
  <c r="AB156" i="2"/>
  <c r="AU156" i="2"/>
  <c r="K157" i="2"/>
  <c r="AD157" i="2"/>
  <c r="AW157" i="2"/>
  <c r="J158" i="2"/>
  <c r="AB158" i="2"/>
  <c r="AV158" i="2"/>
  <c r="H159" i="2"/>
  <c r="Z159" i="2"/>
  <c r="AR159" i="2"/>
  <c r="D160" i="2"/>
  <c r="V160" i="2"/>
  <c r="AN160" i="2"/>
  <c r="BH160" i="2"/>
  <c r="T161" i="2"/>
  <c r="AL161" i="2"/>
  <c r="BD161" i="2"/>
  <c r="P162" i="2"/>
  <c r="AH162" i="2"/>
  <c r="AZ162" i="2"/>
  <c r="N163" i="2"/>
  <c r="AF163" i="2"/>
  <c r="AX163" i="2"/>
  <c r="J164" i="2"/>
  <c r="AB164" i="2"/>
  <c r="AS164" i="2"/>
  <c r="C165" i="2"/>
  <c r="S165" i="2"/>
  <c r="AI165" i="2"/>
  <c r="AY165" i="2"/>
  <c r="I166" i="2"/>
  <c r="Y166" i="2"/>
  <c r="AO166" i="2"/>
  <c r="BE166" i="2"/>
  <c r="O167" i="2"/>
  <c r="AE167" i="2"/>
  <c r="AU167" i="2"/>
  <c r="E168" i="2"/>
  <c r="U168" i="2"/>
  <c r="AK168" i="2"/>
  <c r="BA168" i="2"/>
  <c r="K169" i="2"/>
  <c r="AA169" i="2"/>
  <c r="AQ169" i="2"/>
  <c r="BG169" i="2"/>
  <c r="Q170" i="2"/>
  <c r="AG170" i="2"/>
  <c r="AW170" i="2"/>
  <c r="G171" i="2"/>
  <c r="W171" i="2"/>
  <c r="AM171" i="2"/>
  <c r="BC171" i="2"/>
  <c r="M172" i="2"/>
  <c r="AC172" i="2"/>
  <c r="AS172" i="2"/>
  <c r="C173" i="2"/>
  <c r="S173" i="2"/>
  <c r="AI173" i="2"/>
  <c r="AY173" i="2"/>
  <c r="I174" i="2"/>
  <c r="Y174" i="2"/>
  <c r="AO174" i="2"/>
  <c r="BE174" i="2"/>
  <c r="O175" i="2"/>
  <c r="AE175" i="2"/>
  <c r="AU175" i="2"/>
  <c r="BD92" i="2"/>
  <c r="AH104" i="2"/>
  <c r="AB112" i="2"/>
  <c r="BD115" i="2"/>
  <c r="Q118" i="2"/>
  <c r="J120" i="2"/>
  <c r="AM121" i="2"/>
  <c r="X123" i="2"/>
  <c r="AU124" i="2"/>
  <c r="U126" i="2"/>
  <c r="AG127" i="2"/>
  <c r="AL128" i="2"/>
  <c r="BH129" i="2"/>
  <c r="AX130" i="2"/>
  <c r="AF131" i="2"/>
  <c r="R132" i="2"/>
  <c r="D133" i="2"/>
  <c r="AR133" i="2"/>
  <c r="AD134" i="2"/>
  <c r="P135" i="2"/>
  <c r="BD135" i="2"/>
  <c r="AP136" i="2"/>
  <c r="AB137" i="2"/>
  <c r="H138" i="2"/>
  <c r="AN138" i="2"/>
  <c r="P139" i="2"/>
  <c r="BA139" i="2"/>
  <c r="AG140" i="2"/>
  <c r="J141" i="2"/>
  <c r="AK141" i="2"/>
  <c r="M142" i="2"/>
  <c r="AT142" i="2"/>
  <c r="O143" i="2"/>
  <c r="AP143" i="2"/>
  <c r="N144" i="2"/>
  <c r="AL144" i="2"/>
  <c r="J145" i="2"/>
  <c r="AI145" i="2"/>
  <c r="C146" i="2"/>
  <c r="Y146" i="2"/>
  <c r="BA146" i="2"/>
  <c r="Q147" i="2"/>
  <c r="AS147" i="2"/>
  <c r="H148" i="2"/>
  <c r="AF148" i="2"/>
  <c r="BC148" i="2"/>
  <c r="S149" i="2"/>
  <c r="AO149" i="2"/>
  <c r="E150" i="2"/>
  <c r="Y150" i="2"/>
  <c r="AU150" i="2"/>
  <c r="K151" i="2"/>
  <c r="AE151" i="2"/>
  <c r="BA151" i="2"/>
  <c r="Q152" i="2"/>
  <c r="AK152" i="2"/>
  <c r="BG152" i="2"/>
  <c r="W153" i="2"/>
  <c r="AQ153" i="2"/>
  <c r="G154" i="2"/>
  <c r="AB154" i="2"/>
  <c r="AU154" i="2"/>
  <c r="H155" i="2"/>
  <c r="AC155" i="2"/>
  <c r="AW155" i="2"/>
  <c r="J156" i="2"/>
  <c r="AC156" i="2"/>
  <c r="AV156" i="2"/>
  <c r="L157" i="2"/>
  <c r="AE157" i="2"/>
  <c r="AX157" i="2"/>
  <c r="K158" i="2"/>
  <c r="AE158" i="2"/>
  <c r="AW158" i="2"/>
  <c r="I159" i="2"/>
  <c r="AA159" i="2"/>
  <c r="AS159" i="2"/>
  <c r="E160" i="2"/>
  <c r="W160" i="2"/>
  <c r="AQ160" i="2"/>
  <c r="C161" i="2"/>
  <c r="U161" i="2"/>
  <c r="AM161" i="2"/>
  <c r="BE161" i="2"/>
  <c r="Q162" i="2"/>
  <c r="AI162" i="2"/>
  <c r="BC162" i="2"/>
  <c r="O163" i="2"/>
  <c r="AG163" i="2"/>
  <c r="AY163" i="2"/>
  <c r="K164" i="2"/>
  <c r="AC164" i="2"/>
  <c r="AT164" i="2"/>
  <c r="D165" i="2"/>
  <c r="T165" i="2"/>
  <c r="AJ165" i="2"/>
  <c r="AZ165" i="2"/>
  <c r="J166" i="2"/>
  <c r="Z166" i="2"/>
  <c r="AP166" i="2"/>
  <c r="BF166" i="2"/>
  <c r="P167" i="2"/>
  <c r="AF167" i="2"/>
  <c r="AV167" i="2"/>
  <c r="F168" i="2"/>
  <c r="V168" i="2"/>
  <c r="AL168" i="2"/>
  <c r="BB168" i="2"/>
  <c r="L169" i="2"/>
  <c r="AB169" i="2"/>
  <c r="AR169" i="2"/>
  <c r="BH169" i="2"/>
  <c r="R170" i="2"/>
  <c r="AH170" i="2"/>
  <c r="AX170" i="2"/>
  <c r="H171" i="2"/>
  <c r="X171" i="2"/>
  <c r="AN171" i="2"/>
  <c r="BD171" i="2"/>
  <c r="N172" i="2"/>
  <c r="AD172" i="2"/>
  <c r="AT172" i="2"/>
  <c r="D173" i="2"/>
  <c r="T173" i="2"/>
  <c r="AJ173" i="2"/>
  <c r="AZ173" i="2"/>
  <c r="J174" i="2"/>
  <c r="Z174" i="2"/>
  <c r="AP174" i="2"/>
  <c r="BF174" i="2"/>
  <c r="P175" i="2"/>
  <c r="AF175" i="2"/>
  <c r="AV175" i="2"/>
  <c r="F176" i="2"/>
  <c r="V176" i="2"/>
  <c r="AL176" i="2"/>
  <c r="BB176" i="2"/>
  <c r="L177" i="2"/>
  <c r="AB177" i="2"/>
  <c r="AR177" i="2"/>
  <c r="BH177" i="2"/>
  <c r="R178" i="2"/>
  <c r="AH178" i="2"/>
  <c r="AX178" i="2"/>
  <c r="H179" i="2"/>
  <c r="X179" i="2"/>
  <c r="AO93" i="2"/>
  <c r="BD105" i="2"/>
  <c r="AO112" i="2"/>
  <c r="E116" i="2"/>
  <c r="R118" i="2"/>
  <c r="L120" i="2"/>
  <c r="AP121" i="2"/>
  <c r="Y123" i="2"/>
  <c r="F125" i="2"/>
  <c r="V126" i="2"/>
  <c r="AH127" i="2"/>
  <c r="AX128" i="2"/>
  <c r="D130" i="2"/>
  <c r="AY130" i="2"/>
  <c r="AG131" i="2"/>
  <c r="S132" i="2"/>
  <c r="E133" i="2"/>
  <c r="AS133" i="2"/>
  <c r="AE134" i="2"/>
  <c r="Q135" i="2"/>
  <c r="BE135" i="2"/>
  <c r="AQ136" i="2"/>
  <c r="AC137" i="2"/>
  <c r="I138" i="2"/>
  <c r="AU138" i="2"/>
  <c r="Q139" i="2"/>
  <c r="BD139" i="2"/>
  <c r="AH140" i="2"/>
  <c r="K141" i="2"/>
  <c r="AN141" i="2"/>
  <c r="N142" i="2"/>
  <c r="AU142" i="2"/>
  <c r="T143" i="2"/>
  <c r="AR143" i="2"/>
  <c r="O144" i="2"/>
  <c r="AM144" i="2"/>
  <c r="K145" i="2"/>
  <c r="AN145" i="2"/>
  <c r="D146" i="2"/>
  <c r="AB146" i="2"/>
  <c r="BB146" i="2"/>
  <c r="R147" i="2"/>
  <c r="AT147" i="2"/>
  <c r="J148" i="2"/>
  <c r="AI148" i="2"/>
  <c r="BD148" i="2"/>
  <c r="T149" i="2"/>
  <c r="AR149" i="2"/>
  <c r="F150" i="2"/>
  <c r="Z150" i="2"/>
  <c r="AX150" i="2"/>
  <c r="L151" i="2"/>
  <c r="AF151" i="2"/>
  <c r="BD151" i="2"/>
  <c r="R152" i="2"/>
  <c r="AL152" i="2"/>
  <c r="D153" i="2"/>
  <c r="X153" i="2"/>
  <c r="AR153" i="2"/>
  <c r="J154" i="2"/>
  <c r="AC154" i="2"/>
  <c r="AV154" i="2"/>
  <c r="I155" i="2"/>
  <c r="AE155" i="2"/>
  <c r="AX155" i="2"/>
  <c r="K156" i="2"/>
  <c r="AD156" i="2"/>
  <c r="AY156" i="2"/>
  <c r="M157" i="2"/>
  <c r="AF157" i="2"/>
  <c r="AY157" i="2"/>
  <c r="L158" i="2"/>
  <c r="AF158" i="2"/>
  <c r="AX158" i="2"/>
  <c r="J159" i="2"/>
  <c r="AB159" i="2"/>
  <c r="AT159" i="2"/>
  <c r="F160" i="2"/>
  <c r="X160" i="2"/>
  <c r="AR160" i="2"/>
  <c r="BC95" i="2"/>
  <c r="AA106" i="2"/>
  <c r="AT112" i="2"/>
  <c r="F116" i="2"/>
  <c r="U118" i="2"/>
  <c r="M120" i="2"/>
  <c r="D122" i="2"/>
  <c r="Z123" i="2"/>
  <c r="H125" i="2"/>
  <c r="W126" i="2"/>
  <c r="AI127" i="2"/>
  <c r="BG128" i="2"/>
  <c r="E130" i="2"/>
  <c r="AZ130" i="2"/>
  <c r="AH131" i="2"/>
  <c r="T132" i="2"/>
  <c r="F133" i="2"/>
  <c r="AT133" i="2"/>
  <c r="AF134" i="2"/>
  <c r="R135" i="2"/>
  <c r="BF135" i="2"/>
  <c r="AR136" i="2"/>
  <c r="AD137" i="2"/>
  <c r="J138" i="2"/>
  <c r="AX138" i="2"/>
  <c r="U139" i="2"/>
  <c r="BE139" i="2"/>
  <c r="AI140" i="2"/>
  <c r="L141" i="2"/>
  <c r="AT141" i="2"/>
  <c r="O142" i="2"/>
  <c r="AV142" i="2"/>
  <c r="U143" i="2"/>
  <c r="AS143" i="2"/>
  <c r="P144" i="2"/>
  <c r="AP144" i="2"/>
  <c r="L145" i="2"/>
  <c r="AO145" i="2"/>
  <c r="E146" i="2"/>
  <c r="AG146" i="2"/>
  <c r="BC146" i="2"/>
  <c r="V147" i="2"/>
  <c r="AU147" i="2"/>
  <c r="K148" i="2"/>
  <c r="AJ148" i="2"/>
  <c r="BF148" i="2"/>
  <c r="U149" i="2"/>
  <c r="AS149" i="2"/>
  <c r="G150" i="2"/>
  <c r="AA150" i="2"/>
  <c r="AY150" i="2"/>
  <c r="M151" i="2"/>
  <c r="AG151" i="2"/>
  <c r="BE151" i="2"/>
  <c r="S152" i="2"/>
  <c r="AM152" i="2"/>
  <c r="E153" i="2"/>
  <c r="Y153" i="2"/>
  <c r="AS153" i="2"/>
  <c r="K154" i="2"/>
  <c r="AD154" i="2"/>
  <c r="AW154" i="2"/>
  <c r="J155" i="2"/>
  <c r="AF155" i="2"/>
  <c r="AY155" i="2"/>
  <c r="L156" i="2"/>
  <c r="AE156" i="2"/>
  <c r="BA156" i="2"/>
  <c r="N157" i="2"/>
  <c r="AG157" i="2"/>
  <c r="AZ157" i="2"/>
  <c r="O158" i="2"/>
  <c r="AG158" i="2"/>
  <c r="AY158" i="2"/>
  <c r="K159" i="2"/>
  <c r="AC159" i="2"/>
  <c r="AU159" i="2"/>
  <c r="G160" i="2"/>
  <c r="AA160" i="2"/>
  <c r="AS160" i="2"/>
  <c r="E161" i="2"/>
  <c r="W161" i="2"/>
  <c r="AO161" i="2"/>
  <c r="BG161" i="2"/>
  <c r="S162" i="2"/>
  <c r="AM162" i="2"/>
  <c r="BE162" i="2"/>
  <c r="AE96" i="2"/>
  <c r="AD106" i="2"/>
  <c r="AB113" i="2"/>
  <c r="I116" i="2"/>
  <c r="X118" i="2"/>
  <c r="N120" i="2"/>
  <c r="F122" i="2"/>
  <c r="AA123" i="2"/>
  <c r="I125" i="2"/>
  <c r="X126" i="2"/>
  <c r="AL127" i="2"/>
  <c r="J129" i="2"/>
  <c r="F130" i="2"/>
  <c r="BA130" i="2"/>
  <c r="AK131" i="2"/>
  <c r="U132" i="2"/>
  <c r="G133" i="2"/>
  <c r="AW133" i="2"/>
  <c r="AG134" i="2"/>
  <c r="S135" i="2"/>
  <c r="C136" i="2"/>
  <c r="AS136" i="2"/>
  <c r="AE137" i="2"/>
  <c r="K138" i="2"/>
  <c r="AY138" i="2"/>
  <c r="AC139" i="2"/>
  <c r="BF139" i="2"/>
  <c r="AJ140" i="2"/>
  <c r="M141" i="2"/>
  <c r="AV141" i="2"/>
  <c r="R142" i="2"/>
  <c r="AW142" i="2"/>
  <c r="V143" i="2"/>
  <c r="AT143" i="2"/>
  <c r="R144" i="2"/>
  <c r="AU144" i="2"/>
  <c r="M145" i="2"/>
  <c r="AP145" i="2"/>
  <c r="F146" i="2"/>
  <c r="AH146" i="2"/>
  <c r="BD146" i="2"/>
  <c r="Z147" i="2"/>
  <c r="AV147" i="2"/>
  <c r="L148" i="2"/>
  <c r="AK148" i="2"/>
  <c r="BG148" i="2"/>
  <c r="V149" i="2"/>
  <c r="AT149" i="2"/>
  <c r="H150" i="2"/>
  <c r="AB150" i="2"/>
  <c r="AZ150" i="2"/>
  <c r="N151" i="2"/>
  <c r="AH151" i="2"/>
  <c r="BF151" i="2"/>
  <c r="T152" i="2"/>
  <c r="AN152" i="2"/>
  <c r="F153" i="2"/>
  <c r="Z153" i="2"/>
  <c r="AT153" i="2"/>
  <c r="L154" i="2"/>
  <c r="AE154" i="2"/>
  <c r="AX154" i="2"/>
  <c r="M155" i="2"/>
  <c r="AG155" i="2"/>
  <c r="AZ155" i="2"/>
  <c r="M156" i="2"/>
  <c r="AF156" i="2"/>
  <c r="BB156" i="2"/>
  <c r="O157" i="2"/>
  <c r="AH157" i="2"/>
  <c r="BA157" i="2"/>
  <c r="P158" i="2"/>
  <c r="AH158" i="2"/>
  <c r="AZ158" i="2"/>
  <c r="L159" i="2"/>
  <c r="AD159" i="2"/>
  <c r="AV159" i="2"/>
  <c r="H160" i="2"/>
  <c r="AB160" i="2"/>
  <c r="AT160" i="2"/>
  <c r="F161" i="2"/>
  <c r="AG96" i="2"/>
  <c r="AD107" i="2"/>
  <c r="AK113" i="2"/>
  <c r="L116" i="2"/>
  <c r="AT118" i="2"/>
  <c r="Q120" i="2"/>
  <c r="I122" i="2"/>
  <c r="AY123" i="2"/>
  <c r="L125" i="2"/>
  <c r="Y126" i="2"/>
  <c r="BB127" i="2"/>
  <c r="K129" i="2"/>
  <c r="G130" i="2"/>
  <c r="BB130" i="2"/>
  <c r="AN131" i="2"/>
  <c r="V132" i="2"/>
  <c r="H133" i="2"/>
  <c r="AZ133" i="2"/>
  <c r="AH134" i="2"/>
  <c r="T135" i="2"/>
  <c r="F136" i="2"/>
  <c r="AT136" i="2"/>
  <c r="AF137" i="2"/>
  <c r="L138" i="2"/>
  <c r="AZ138" i="2"/>
  <c r="AD139" i="2"/>
  <c r="C140" i="2"/>
  <c r="AK140" i="2"/>
  <c r="N141" i="2"/>
  <c r="AW141" i="2"/>
  <c r="Z142" i="2"/>
  <c r="AX142" i="2"/>
  <c r="W143" i="2"/>
  <c r="AW143" i="2"/>
  <c r="S144" i="2"/>
  <c r="AV144" i="2"/>
  <c r="N145" i="2"/>
  <c r="AQ145" i="2"/>
  <c r="G146" i="2"/>
  <c r="AI146" i="2"/>
  <c r="BE146" i="2"/>
  <c r="AA147" i="2"/>
  <c r="AW147" i="2"/>
  <c r="O148" i="2"/>
  <c r="AL148" i="2"/>
  <c r="BH148" i="2"/>
  <c r="Y149" i="2"/>
  <c r="AU149" i="2"/>
  <c r="I150" i="2"/>
  <c r="AE150" i="2"/>
  <c r="BA150" i="2"/>
  <c r="O151" i="2"/>
  <c r="AK151" i="2"/>
  <c r="BG151" i="2"/>
  <c r="U152" i="2"/>
  <c r="AQ152" i="2"/>
  <c r="G153" i="2"/>
  <c r="S98" i="2"/>
  <c r="AY107" i="2"/>
  <c r="AR113" i="2"/>
  <c r="AL116" i="2"/>
  <c r="AX118" i="2"/>
  <c r="V120" i="2"/>
  <c r="R122" i="2"/>
  <c r="BG123" i="2"/>
  <c r="U125" i="2"/>
  <c r="AK126" i="2"/>
  <c r="BD127" i="2"/>
  <c r="L129" i="2"/>
  <c r="H130" i="2"/>
  <c r="BE130" i="2"/>
  <c r="AQ131" i="2"/>
  <c r="AA132" i="2"/>
  <c r="K133" i="2"/>
  <c r="BC133" i="2"/>
  <c r="AM134" i="2"/>
  <c r="W135" i="2"/>
  <c r="I136" i="2"/>
  <c r="AY136" i="2"/>
  <c r="AI137" i="2"/>
  <c r="O138" i="2"/>
  <c r="BA138" i="2"/>
  <c r="AE139" i="2"/>
  <c r="J140" i="2"/>
  <c r="AL140" i="2"/>
  <c r="P141" i="2"/>
  <c r="AY141" i="2"/>
  <c r="AA142" i="2"/>
  <c r="AY142" i="2"/>
  <c r="AI98" i="2"/>
  <c r="AZ107" i="2"/>
  <c r="AS113" i="2"/>
  <c r="AW116" i="2"/>
  <c r="BH118" i="2"/>
  <c r="AZ120" i="2"/>
  <c r="S122" i="2"/>
  <c r="BH123" i="2"/>
  <c r="V125" i="2"/>
  <c r="AR126" i="2"/>
  <c r="BG127" i="2"/>
  <c r="M129" i="2"/>
  <c r="N130" i="2"/>
  <c r="J131" i="2"/>
  <c r="AX131" i="2"/>
  <c r="AJ132" i="2"/>
  <c r="V133" i="2"/>
  <c r="D134" i="2"/>
  <c r="AV134" i="2"/>
  <c r="AH135" i="2"/>
  <c r="P136" i="2"/>
  <c r="BH136" i="2"/>
  <c r="AS137" i="2"/>
  <c r="R138" i="2"/>
  <c r="BB138" i="2"/>
  <c r="AF139" i="2"/>
  <c r="K140" i="2"/>
  <c r="AP140" i="2"/>
  <c r="Q141" i="2"/>
  <c r="AZ141" i="2"/>
  <c r="AB142" i="2"/>
  <c r="BC142" i="2"/>
  <c r="Y143" i="2"/>
  <c r="BC143" i="2"/>
  <c r="U144" i="2"/>
  <c r="AY144" i="2"/>
  <c r="R145" i="2"/>
  <c r="AS145" i="2"/>
  <c r="K146" i="2"/>
  <c r="AK146" i="2"/>
  <c r="BG146" i="2"/>
  <c r="AC147" i="2"/>
  <c r="AZ147" i="2"/>
  <c r="S148" i="2"/>
  <c r="AN148" i="2"/>
  <c r="D149" i="2"/>
  <c r="AC149" i="2"/>
  <c r="AW149" i="2"/>
  <c r="K150" i="2"/>
  <c r="AI150" i="2"/>
  <c r="BC150" i="2"/>
  <c r="Q151" i="2"/>
  <c r="AO151" i="2"/>
  <c r="C152" i="2"/>
  <c r="W152" i="2"/>
  <c r="AU152" i="2"/>
  <c r="I153" i="2"/>
  <c r="AC153" i="2"/>
  <c r="BA153" i="2"/>
  <c r="O154" i="2"/>
  <c r="AH154" i="2"/>
  <c r="BC154" i="2"/>
  <c r="Q155" i="2"/>
  <c r="AJ98" i="2"/>
  <c r="AV108" i="2"/>
  <c r="U114" i="2"/>
  <c r="AX116" i="2"/>
  <c r="C119" i="2"/>
  <c r="BB120" i="2"/>
  <c r="T122" i="2"/>
  <c r="C124" i="2"/>
  <c r="Y125" i="2"/>
  <c r="BC126" i="2"/>
  <c r="BH127" i="2"/>
  <c r="N129" i="2"/>
  <c r="I100" i="2"/>
  <c r="J109" i="2"/>
  <c r="AG114" i="2"/>
  <c r="AY116" i="2"/>
  <c r="D119" i="2"/>
  <c r="BC120" i="2"/>
  <c r="AN122" i="2"/>
  <c r="D124" i="2"/>
  <c r="AO125" i="2"/>
  <c r="BD126" i="2"/>
  <c r="E128" i="2"/>
  <c r="S129" i="2"/>
  <c r="Y130" i="2"/>
  <c r="L131" i="2"/>
  <c r="BD131" i="2"/>
  <c r="AL132" i="2"/>
  <c r="X133" i="2"/>
  <c r="J134" i="2"/>
  <c r="AX134" i="2"/>
  <c r="AJ135" i="2"/>
  <c r="V136" i="2"/>
  <c r="D137" i="2"/>
  <c r="AU137" i="2"/>
  <c r="AA138" i="2"/>
  <c r="BD138" i="2"/>
  <c r="AH139" i="2"/>
  <c r="O140" i="2"/>
  <c r="AY140" i="2"/>
  <c r="V141" i="2"/>
  <c r="BB141" i="2"/>
  <c r="AD142" i="2"/>
  <c r="D143" i="2"/>
  <c r="AB143" i="2"/>
  <c r="BE143" i="2"/>
  <c r="Y144" i="2"/>
  <c r="BA144" i="2"/>
  <c r="Y145" i="2"/>
  <c r="AU145" i="2"/>
  <c r="Q146" i="2"/>
  <c r="AM146" i="2"/>
  <c r="I147" i="2"/>
  <c r="AE147" i="2"/>
  <c r="BD147" i="2"/>
  <c r="U148" i="2"/>
  <c r="AQ148" i="2"/>
  <c r="AO100" i="2"/>
  <c r="T109" i="2"/>
  <c r="AI114" i="2"/>
  <c r="AZ116" i="2"/>
  <c r="E119" i="2"/>
  <c r="BD120" i="2"/>
  <c r="AP122" i="2"/>
  <c r="E124" i="2"/>
  <c r="AQ125" i="2"/>
  <c r="BE126" i="2"/>
  <c r="K128" i="2"/>
  <c r="AF129" i="2"/>
  <c r="Z130" i="2"/>
  <c r="M131" i="2"/>
  <c r="BE131" i="2"/>
  <c r="AM132" i="2"/>
  <c r="Y133" i="2"/>
  <c r="K134" i="2"/>
  <c r="AY134" i="2"/>
  <c r="AK135" i="2"/>
  <c r="W136" i="2"/>
  <c r="E137" i="2"/>
  <c r="AV137" i="2"/>
  <c r="AB138" i="2"/>
  <c r="BG138" i="2"/>
  <c r="AJ139" i="2"/>
  <c r="P140" i="2"/>
  <c r="AZ140" i="2"/>
  <c r="AB141" i="2"/>
  <c r="BC141" i="2"/>
  <c r="AE142" i="2"/>
  <c r="E143" i="2"/>
  <c r="AC143" i="2"/>
  <c r="BF143" i="2"/>
  <c r="AD144" i="2"/>
  <c r="BB144" i="2"/>
  <c r="Z145" i="2"/>
  <c r="AV145" i="2"/>
  <c r="R146" i="2"/>
  <c r="AN146" i="2"/>
  <c r="J147" i="2"/>
  <c r="AF147" i="2"/>
  <c r="BG147" i="2"/>
  <c r="V148" i="2"/>
  <c r="AY100" i="2"/>
  <c r="AR125" i="2"/>
  <c r="BG131" i="2"/>
  <c r="S136" i="2"/>
  <c r="AK139" i="2"/>
  <c r="AG142" i="2"/>
  <c r="AX144" i="2"/>
  <c r="AJ146" i="2"/>
  <c r="BH147" i="2"/>
  <c r="H149" i="2"/>
  <c r="BA149" i="2"/>
  <c r="AQ150" i="2"/>
  <c r="AP151" i="2"/>
  <c r="AD152" i="2"/>
  <c r="N153" i="2"/>
  <c r="BF153" i="2"/>
  <c r="AP154" i="2"/>
  <c r="V155" i="2"/>
  <c r="BF155" i="2"/>
  <c r="AM156" i="2"/>
  <c r="Q157" i="2"/>
  <c r="AV157" i="2"/>
  <c r="W158" i="2"/>
  <c r="BE158" i="2"/>
  <c r="AG159" i="2"/>
  <c r="K160" i="2"/>
  <c r="AJ160" i="2"/>
  <c r="K161" i="2"/>
  <c r="AN161" i="2"/>
  <c r="H162" i="2"/>
  <c r="AG162" i="2"/>
  <c r="C163" i="2"/>
  <c r="Y163" i="2"/>
  <c r="BA163" i="2"/>
  <c r="S164" i="2"/>
  <c r="AN164" i="2"/>
  <c r="F165" i="2"/>
  <c r="Z165" i="2"/>
  <c r="AT165" i="2"/>
  <c r="L166" i="2"/>
  <c r="AF166" i="2"/>
  <c r="AZ166" i="2"/>
  <c r="R167" i="2"/>
  <c r="AL167" i="2"/>
  <c r="BF167" i="2"/>
  <c r="X168" i="2"/>
  <c r="AR168" i="2"/>
  <c r="F169" i="2"/>
  <c r="AD169" i="2"/>
  <c r="AX169" i="2"/>
  <c r="L170" i="2"/>
  <c r="AJ170" i="2"/>
  <c r="BD170" i="2"/>
  <c r="R171" i="2"/>
  <c r="AP171" i="2"/>
  <c r="D172" i="2"/>
  <c r="X172" i="2"/>
  <c r="AV172" i="2"/>
  <c r="J173" i="2"/>
  <c r="AD173" i="2"/>
  <c r="BB173" i="2"/>
  <c r="P174" i="2"/>
  <c r="AJ174" i="2"/>
  <c r="BH174" i="2"/>
  <c r="V175" i="2"/>
  <c r="AP175" i="2"/>
  <c r="G176" i="2"/>
  <c r="Z176" i="2"/>
  <c r="AS176" i="2"/>
  <c r="F177" i="2"/>
  <c r="AA177" i="2"/>
  <c r="AU177" i="2"/>
  <c r="H178" i="2"/>
  <c r="AA178" i="2"/>
  <c r="AV178" i="2"/>
  <c r="J179" i="2"/>
  <c r="AC179" i="2"/>
  <c r="AU179" i="2"/>
  <c r="G180" i="2"/>
  <c r="Y180" i="2"/>
  <c r="AS180" i="2"/>
  <c r="E181" i="2"/>
  <c r="W181" i="2"/>
  <c r="AO181" i="2"/>
  <c r="BG181" i="2"/>
  <c r="S182" i="2"/>
  <c r="AK182" i="2"/>
  <c r="BE182" i="2"/>
  <c r="Q183" i="2"/>
  <c r="AI183" i="2"/>
  <c r="BA183" i="2"/>
  <c r="M184" i="2"/>
  <c r="AE184" i="2"/>
  <c r="AV184" i="2"/>
  <c r="G185" i="2"/>
  <c r="X185" i="2"/>
  <c r="AP185" i="2"/>
  <c r="BG185" i="2"/>
  <c r="Q186" i="2"/>
  <c r="AG186" i="2"/>
  <c r="AW186" i="2"/>
  <c r="G187" i="2"/>
  <c r="W187" i="2"/>
  <c r="AM187" i="2"/>
  <c r="BC187" i="2"/>
  <c r="M188" i="2"/>
  <c r="AC188" i="2"/>
  <c r="AS188" i="2"/>
  <c r="C189" i="2"/>
  <c r="S189" i="2"/>
  <c r="AI189" i="2"/>
  <c r="AY189" i="2"/>
  <c r="I190" i="2"/>
  <c r="Y190" i="2"/>
  <c r="AO190" i="2"/>
  <c r="BE190" i="2"/>
  <c r="O191" i="2"/>
  <c r="AE191" i="2"/>
  <c r="AU191" i="2"/>
  <c r="E192" i="2"/>
  <c r="U192" i="2"/>
  <c r="AK192" i="2"/>
  <c r="BA192" i="2"/>
  <c r="K193" i="2"/>
  <c r="AA193" i="2"/>
  <c r="AQ193" i="2"/>
  <c r="BG193" i="2"/>
  <c r="Q194" i="2"/>
  <c r="AG194" i="2"/>
  <c r="AW194" i="2"/>
  <c r="G195" i="2"/>
  <c r="W195" i="2"/>
  <c r="AM195" i="2"/>
  <c r="BC195" i="2"/>
  <c r="M196" i="2"/>
  <c r="AC196" i="2"/>
  <c r="AS196" i="2"/>
  <c r="C197" i="2"/>
  <c r="S197" i="2"/>
  <c r="AI197" i="2"/>
  <c r="AY197" i="2"/>
  <c r="I198" i="2"/>
  <c r="Y198" i="2"/>
  <c r="AO198" i="2"/>
  <c r="BE198" i="2"/>
  <c r="O199" i="2"/>
  <c r="AE199" i="2"/>
  <c r="AU199" i="2"/>
  <c r="E200" i="2"/>
  <c r="U200" i="2"/>
  <c r="AK200" i="2"/>
  <c r="BA200" i="2"/>
  <c r="K201" i="2"/>
  <c r="AA201" i="2"/>
  <c r="AQ201" i="2"/>
  <c r="BG201" i="2"/>
  <c r="Q202" i="2"/>
  <c r="AG202" i="2"/>
  <c r="AW202" i="2"/>
  <c r="G203" i="2"/>
  <c r="W203" i="2"/>
  <c r="AM203" i="2"/>
  <c r="BC203" i="2"/>
  <c r="M204" i="2"/>
  <c r="AC204" i="2"/>
  <c r="AS204" i="2"/>
  <c r="C205" i="2"/>
  <c r="S205" i="2"/>
  <c r="AI205" i="2"/>
  <c r="AY205" i="2"/>
  <c r="Z102" i="2"/>
  <c r="AU125" i="2"/>
  <c r="AK132" i="2"/>
  <c r="X136" i="2"/>
  <c r="AP139" i="2"/>
  <c r="C143" i="2"/>
  <c r="AZ144" i="2"/>
  <c r="AL146" i="2"/>
  <c r="C148" i="2"/>
  <c r="K149" i="2"/>
  <c r="BB149" i="2"/>
  <c r="BB150" i="2"/>
  <c r="AQ151" i="2"/>
  <c r="AE152" i="2"/>
  <c r="U153" i="2"/>
  <c r="C154" i="2"/>
  <c r="AS154" i="2"/>
  <c r="Y155" i="2"/>
  <c r="C156" i="2"/>
  <c r="AN156" i="2"/>
  <c r="R157" i="2"/>
  <c r="BB157" i="2"/>
  <c r="X158" i="2"/>
  <c r="BF158" i="2"/>
  <c r="AH159" i="2"/>
  <c r="L160" i="2"/>
  <c r="AM160" i="2"/>
  <c r="L161" i="2"/>
  <c r="AP161" i="2"/>
  <c r="I162" i="2"/>
  <c r="AJ162" i="2"/>
  <c r="D163" i="2"/>
  <c r="Z163" i="2"/>
  <c r="BB163" i="2"/>
  <c r="T164" i="2"/>
  <c r="AO164" i="2"/>
  <c r="G165" i="2"/>
  <c r="AA165" i="2"/>
  <c r="AU165" i="2"/>
  <c r="M166" i="2"/>
  <c r="AG166" i="2"/>
  <c r="BA166" i="2"/>
  <c r="S167" i="2"/>
  <c r="AM167" i="2"/>
  <c r="BG167" i="2"/>
  <c r="Y168" i="2"/>
  <c r="AS168" i="2"/>
  <c r="G169" i="2"/>
  <c r="AE169" i="2"/>
  <c r="AY169" i="2"/>
  <c r="M170" i="2"/>
  <c r="AK170" i="2"/>
  <c r="BE170" i="2"/>
  <c r="S171" i="2"/>
  <c r="AQ171" i="2"/>
  <c r="E172" i="2"/>
  <c r="Y172" i="2"/>
  <c r="AW172" i="2"/>
  <c r="K173" i="2"/>
  <c r="AE173" i="2"/>
  <c r="BC173" i="2"/>
  <c r="Q174" i="2"/>
  <c r="AK174" i="2"/>
  <c r="C175" i="2"/>
  <c r="W175" i="2"/>
  <c r="AQ175" i="2"/>
  <c r="H176" i="2"/>
  <c r="AA176" i="2"/>
  <c r="AT176" i="2"/>
  <c r="G177" i="2"/>
  <c r="AC177" i="2"/>
  <c r="AV177" i="2"/>
  <c r="I178" i="2"/>
  <c r="AB178" i="2"/>
  <c r="AW178" i="2"/>
  <c r="K179" i="2"/>
  <c r="AD179" i="2"/>
  <c r="AV179" i="2"/>
  <c r="H180" i="2"/>
  <c r="AB180" i="2"/>
  <c r="AT180" i="2"/>
  <c r="F181" i="2"/>
  <c r="X181" i="2"/>
  <c r="AP181" i="2"/>
  <c r="BH181" i="2"/>
  <c r="T182" i="2"/>
  <c r="AN182" i="2"/>
  <c r="BF182" i="2"/>
  <c r="R183" i="2"/>
  <c r="AJ183" i="2"/>
  <c r="BB183" i="2"/>
  <c r="N184" i="2"/>
  <c r="AF184" i="2"/>
  <c r="AW184" i="2"/>
  <c r="H185" i="2"/>
  <c r="Z185" i="2"/>
  <c r="AQ185" i="2"/>
  <c r="BH185" i="2"/>
  <c r="R186" i="2"/>
  <c r="AH186" i="2"/>
  <c r="AX186" i="2"/>
  <c r="H187" i="2"/>
  <c r="X187" i="2"/>
  <c r="AN187" i="2"/>
  <c r="BD187" i="2"/>
  <c r="N188" i="2"/>
  <c r="AD188" i="2"/>
  <c r="AT188" i="2"/>
  <c r="D189" i="2"/>
  <c r="T189" i="2"/>
  <c r="AJ189" i="2"/>
  <c r="AZ189" i="2"/>
  <c r="J190" i="2"/>
  <c r="Z190" i="2"/>
  <c r="AP190" i="2"/>
  <c r="BF190" i="2"/>
  <c r="P191" i="2"/>
  <c r="AF191" i="2"/>
  <c r="AV191" i="2"/>
  <c r="F192" i="2"/>
  <c r="V192" i="2"/>
  <c r="AL192" i="2"/>
  <c r="BB192" i="2"/>
  <c r="L193" i="2"/>
  <c r="AB193" i="2"/>
  <c r="AR193" i="2"/>
  <c r="BH193" i="2"/>
  <c r="R194" i="2"/>
  <c r="AH194" i="2"/>
  <c r="AX194" i="2"/>
  <c r="H195" i="2"/>
  <c r="X195" i="2"/>
  <c r="AN195" i="2"/>
  <c r="BD195" i="2"/>
  <c r="N196" i="2"/>
  <c r="AD196" i="2"/>
  <c r="AT196" i="2"/>
  <c r="D197" i="2"/>
  <c r="T197" i="2"/>
  <c r="AJ197" i="2"/>
  <c r="AZ197" i="2"/>
  <c r="J198" i="2"/>
  <c r="Z198" i="2"/>
  <c r="AP198" i="2"/>
  <c r="BF198" i="2"/>
  <c r="P199" i="2"/>
  <c r="AF199" i="2"/>
  <c r="AV199" i="2"/>
  <c r="F200" i="2"/>
  <c r="V200" i="2"/>
  <c r="AL200" i="2"/>
  <c r="BB200" i="2"/>
  <c r="L201" i="2"/>
  <c r="AB201" i="2"/>
  <c r="AR201" i="2"/>
  <c r="BH201" i="2"/>
  <c r="R202" i="2"/>
  <c r="AH202" i="2"/>
  <c r="AX202" i="2"/>
  <c r="H203" i="2"/>
  <c r="X203" i="2"/>
  <c r="AN203" i="2"/>
  <c r="BD203" i="2"/>
  <c r="N204" i="2"/>
  <c r="AD204" i="2"/>
  <c r="AT204" i="2"/>
  <c r="D205" i="2"/>
  <c r="T205" i="2"/>
  <c r="AJ205" i="2"/>
  <c r="AZ205" i="2"/>
  <c r="J206" i="2"/>
  <c r="Z206" i="2"/>
  <c r="AP206" i="2"/>
  <c r="BF206" i="2"/>
  <c r="F110" i="2"/>
  <c r="BF126" i="2"/>
  <c r="AN132" i="2"/>
  <c r="Y136" i="2"/>
  <c r="N140" i="2"/>
  <c r="F143" i="2"/>
  <c r="BC144" i="2"/>
  <c r="AO146" i="2"/>
  <c r="F148" i="2"/>
  <c r="L149" i="2"/>
  <c r="C150" i="2"/>
  <c r="BD150" i="2"/>
  <c r="AR151" i="2"/>
  <c r="AF152" i="2"/>
  <c r="AA153" i="2"/>
  <c r="M154" i="2"/>
  <c r="AY154" i="2"/>
  <c r="AH155" i="2"/>
  <c r="E156" i="2"/>
  <c r="AO156" i="2"/>
  <c r="S157" i="2"/>
  <c r="BE157" i="2"/>
  <c r="AA158" i="2"/>
  <c r="BG158" i="2"/>
  <c r="AK159" i="2"/>
  <c r="M160" i="2"/>
  <c r="AU160" i="2"/>
  <c r="M161" i="2"/>
  <c r="AQ161" i="2"/>
  <c r="J162" i="2"/>
  <c r="AN162" i="2"/>
  <c r="E163" i="2"/>
  <c r="AE163" i="2"/>
  <c r="BC163" i="2"/>
  <c r="U164" i="2"/>
  <c r="AR164" i="2"/>
  <c r="H165" i="2"/>
  <c r="AB165" i="2"/>
  <c r="AX165" i="2"/>
  <c r="N166" i="2"/>
  <c r="AH166" i="2"/>
  <c r="BD166" i="2"/>
  <c r="T167" i="2"/>
  <c r="AN167" i="2"/>
  <c r="D168" i="2"/>
  <c r="Z168" i="2"/>
  <c r="AD110" i="2"/>
  <c r="BG126" i="2"/>
  <c r="AQ132" i="2"/>
  <c r="C137" i="2"/>
  <c r="Q140" i="2"/>
  <c r="G143" i="2"/>
  <c r="BD144" i="2"/>
  <c r="AP146" i="2"/>
  <c r="R148" i="2"/>
  <c r="M149" i="2"/>
  <c r="J150" i="2"/>
  <c r="BE150" i="2"/>
  <c r="AS151" i="2"/>
  <c r="AI152" i="2"/>
  <c r="AB153" i="2"/>
  <c r="N154" i="2"/>
  <c r="AZ154" i="2"/>
  <c r="AI155" i="2"/>
  <c r="H156" i="2"/>
  <c r="AP156" i="2"/>
  <c r="T157" i="2"/>
  <c r="BG157" i="2"/>
  <c r="AI158" i="2"/>
  <c r="BH158" i="2"/>
  <c r="AL159" i="2"/>
  <c r="N160" i="2"/>
  <c r="AV160" i="2"/>
  <c r="N161" i="2"/>
  <c r="AR161" i="2"/>
  <c r="K162" i="2"/>
  <c r="AO162" i="2"/>
  <c r="F163" i="2"/>
  <c r="AH163" i="2"/>
  <c r="BD163" i="2"/>
  <c r="V164" i="2"/>
  <c r="AU164" i="2"/>
  <c r="I165" i="2"/>
  <c r="AC165" i="2"/>
  <c r="BA165" i="2"/>
  <c r="O166" i="2"/>
  <c r="AI166" i="2"/>
  <c r="BG166" i="2"/>
  <c r="U167" i="2"/>
  <c r="AO167" i="2"/>
  <c r="G168" i="2"/>
  <c r="AA168" i="2"/>
  <c r="AU168" i="2"/>
  <c r="M169" i="2"/>
  <c r="AG169" i="2"/>
  <c r="BA169" i="2"/>
  <c r="S170" i="2"/>
  <c r="AM170" i="2"/>
  <c r="BG170" i="2"/>
  <c r="Y171" i="2"/>
  <c r="AS171" i="2"/>
  <c r="G172" i="2"/>
  <c r="AE172" i="2"/>
  <c r="AY172" i="2"/>
  <c r="M173" i="2"/>
  <c r="AK173" i="2"/>
  <c r="BE173" i="2"/>
  <c r="S174" i="2"/>
  <c r="AQ174" i="2"/>
  <c r="E175" i="2"/>
  <c r="Y175" i="2"/>
  <c r="AW175" i="2"/>
  <c r="J176" i="2"/>
  <c r="AC176" i="2"/>
  <c r="AV176" i="2"/>
  <c r="K177" i="2"/>
  <c r="AE177" i="2"/>
  <c r="AX177" i="2"/>
  <c r="K178" i="2"/>
  <c r="AF178" i="2"/>
  <c r="AZ178" i="2"/>
  <c r="M179" i="2"/>
  <c r="AF179" i="2"/>
  <c r="AX179" i="2"/>
  <c r="L180" i="2"/>
  <c r="AD180" i="2"/>
  <c r="AV180" i="2"/>
  <c r="H181" i="2"/>
  <c r="Z181" i="2"/>
  <c r="AR181" i="2"/>
  <c r="D182" i="2"/>
  <c r="X182" i="2"/>
  <c r="AP182" i="2"/>
  <c r="BH182" i="2"/>
  <c r="T183" i="2"/>
  <c r="AL183" i="2"/>
  <c r="BD183" i="2"/>
  <c r="P184" i="2"/>
  <c r="AH184" i="2"/>
  <c r="AZ184" i="2"/>
  <c r="K185" i="2"/>
  <c r="AB185" i="2"/>
  <c r="AS185" i="2"/>
  <c r="D186" i="2"/>
  <c r="T186" i="2"/>
  <c r="AJ186" i="2"/>
  <c r="AZ186" i="2"/>
  <c r="J187" i="2"/>
  <c r="Z187" i="2"/>
  <c r="AP187" i="2"/>
  <c r="BF187" i="2"/>
  <c r="P188" i="2"/>
  <c r="AF188" i="2"/>
  <c r="AV188" i="2"/>
  <c r="F189" i="2"/>
  <c r="V189" i="2"/>
  <c r="AL189" i="2"/>
  <c r="BB189" i="2"/>
  <c r="L190" i="2"/>
  <c r="AB190" i="2"/>
  <c r="AR190" i="2"/>
  <c r="BH190" i="2"/>
  <c r="R191" i="2"/>
  <c r="AH191" i="2"/>
  <c r="AX191" i="2"/>
  <c r="H192" i="2"/>
  <c r="X192" i="2"/>
  <c r="AN192" i="2"/>
  <c r="BD192" i="2"/>
  <c r="N193" i="2"/>
  <c r="AD193" i="2"/>
  <c r="AT193" i="2"/>
  <c r="D194" i="2"/>
  <c r="T194" i="2"/>
  <c r="AJ194" i="2"/>
  <c r="AZ194" i="2"/>
  <c r="J195" i="2"/>
  <c r="Z195" i="2"/>
  <c r="AP195" i="2"/>
  <c r="BF195" i="2"/>
  <c r="P196" i="2"/>
  <c r="AF196" i="2"/>
  <c r="AV196" i="2"/>
  <c r="F197" i="2"/>
  <c r="V197" i="2"/>
  <c r="AL197" i="2"/>
  <c r="BB197" i="2"/>
  <c r="L198" i="2"/>
  <c r="AB198" i="2"/>
  <c r="AR198" i="2"/>
  <c r="BH198" i="2"/>
  <c r="R199" i="2"/>
  <c r="AH199" i="2"/>
  <c r="AX199" i="2"/>
  <c r="H200" i="2"/>
  <c r="X200" i="2"/>
  <c r="AN200" i="2"/>
  <c r="BD200" i="2"/>
  <c r="N201" i="2"/>
  <c r="AD201" i="2"/>
  <c r="AT201" i="2"/>
  <c r="D202" i="2"/>
  <c r="T202" i="2"/>
  <c r="AJ202" i="2"/>
  <c r="AZ202" i="2"/>
  <c r="J203" i="2"/>
  <c r="Z203" i="2"/>
  <c r="AJ114" i="2"/>
  <c r="N128" i="2"/>
  <c r="W133" i="2"/>
  <c r="F137" i="2"/>
  <c r="R140" i="2"/>
  <c r="X143" i="2"/>
  <c r="O145" i="2"/>
  <c r="BF146" i="2"/>
  <c r="T148" i="2"/>
  <c r="Q149" i="2"/>
  <c r="L150" i="2"/>
  <c r="BF150" i="2"/>
  <c r="AT151" i="2"/>
  <c r="AT152" i="2"/>
  <c r="AD153" i="2"/>
  <c r="P154" i="2"/>
  <c r="BE154" i="2"/>
  <c r="AJ155" i="2"/>
  <c r="N156" i="2"/>
  <c r="AQ156" i="2"/>
  <c r="U157" i="2"/>
  <c r="BH157" i="2"/>
  <c r="AJ158" i="2"/>
  <c r="G159" i="2"/>
  <c r="AM159" i="2"/>
  <c r="O160" i="2"/>
  <c r="AW160" i="2"/>
  <c r="S161" i="2"/>
  <c r="AS161" i="2"/>
  <c r="L162" i="2"/>
  <c r="AP162" i="2"/>
  <c r="G163" i="2"/>
  <c r="AI163" i="2"/>
  <c r="BE163" i="2"/>
  <c r="W164" i="2"/>
  <c r="AV164" i="2"/>
  <c r="J165" i="2"/>
  <c r="AD165" i="2"/>
  <c r="BB165" i="2"/>
  <c r="P166" i="2"/>
  <c r="AJ166" i="2"/>
  <c r="BH166" i="2"/>
  <c r="V167" i="2"/>
  <c r="AP167" i="2"/>
  <c r="H168" i="2"/>
  <c r="AB168" i="2"/>
  <c r="AV168" i="2"/>
  <c r="N169" i="2"/>
  <c r="AH169" i="2"/>
  <c r="BB169" i="2"/>
  <c r="T170" i="2"/>
  <c r="AN170" i="2"/>
  <c r="BH170" i="2"/>
  <c r="Z171" i="2"/>
  <c r="AT171" i="2"/>
  <c r="H172" i="2"/>
  <c r="AF172" i="2"/>
  <c r="AZ172" i="2"/>
  <c r="N173" i="2"/>
  <c r="AL173" i="2"/>
  <c r="BF173" i="2"/>
  <c r="T174" i="2"/>
  <c r="AR174" i="2"/>
  <c r="F175" i="2"/>
  <c r="Z175" i="2"/>
  <c r="AX175" i="2"/>
  <c r="K176" i="2"/>
  <c r="AD176" i="2"/>
  <c r="AW176" i="2"/>
  <c r="M177" i="2"/>
  <c r="AF177" i="2"/>
  <c r="AY177" i="2"/>
  <c r="L178" i="2"/>
  <c r="AG178" i="2"/>
  <c r="BA178" i="2"/>
  <c r="N179" i="2"/>
  <c r="AG179" i="2"/>
  <c r="AY179" i="2"/>
  <c r="M180" i="2"/>
  <c r="AE180" i="2"/>
  <c r="AW180" i="2"/>
  <c r="I181" i="2"/>
  <c r="AA181" i="2"/>
  <c r="AS181" i="2"/>
  <c r="E182" i="2"/>
  <c r="Y182" i="2"/>
  <c r="AQ182" i="2"/>
  <c r="C183" i="2"/>
  <c r="U183" i="2"/>
  <c r="AM183" i="2"/>
  <c r="BE183" i="2"/>
  <c r="Q184" i="2"/>
  <c r="AJ184" i="2"/>
  <c r="BA184" i="2"/>
  <c r="L185" i="2"/>
  <c r="AC185" i="2"/>
  <c r="AT185" i="2"/>
  <c r="E186" i="2"/>
  <c r="U186" i="2"/>
  <c r="AK186" i="2"/>
  <c r="BA186" i="2"/>
  <c r="K187" i="2"/>
  <c r="AA187" i="2"/>
  <c r="AQ187" i="2"/>
  <c r="BG187" i="2"/>
  <c r="Q188" i="2"/>
  <c r="AG188" i="2"/>
  <c r="AW188" i="2"/>
  <c r="G189" i="2"/>
  <c r="W189" i="2"/>
  <c r="AM189" i="2"/>
  <c r="BC189" i="2"/>
  <c r="M190" i="2"/>
  <c r="AC190" i="2"/>
  <c r="AS190" i="2"/>
  <c r="C191" i="2"/>
  <c r="S191" i="2"/>
  <c r="AI191" i="2"/>
  <c r="AY191" i="2"/>
  <c r="I192" i="2"/>
  <c r="Y192" i="2"/>
  <c r="AO192" i="2"/>
  <c r="BE192" i="2"/>
  <c r="O193" i="2"/>
  <c r="AE193" i="2"/>
  <c r="AU193" i="2"/>
  <c r="E194" i="2"/>
  <c r="U194" i="2"/>
  <c r="AK194" i="2"/>
  <c r="BA194" i="2"/>
  <c r="K195" i="2"/>
  <c r="AA195" i="2"/>
  <c r="AQ195" i="2"/>
  <c r="BG195" i="2"/>
  <c r="Q196" i="2"/>
  <c r="AG196" i="2"/>
  <c r="AW196" i="2"/>
  <c r="G197" i="2"/>
  <c r="W197" i="2"/>
  <c r="AM197" i="2"/>
  <c r="BC197" i="2"/>
  <c r="M198" i="2"/>
  <c r="AC198" i="2"/>
  <c r="AS198" i="2"/>
  <c r="C199" i="2"/>
  <c r="S199" i="2"/>
  <c r="AI199" i="2"/>
  <c r="AY199" i="2"/>
  <c r="I200" i="2"/>
  <c r="J115" i="2"/>
  <c r="AD128" i="2"/>
  <c r="Z133" i="2"/>
  <c r="I137" i="2"/>
  <c r="AX140" i="2"/>
  <c r="Z143" i="2"/>
  <c r="X145" i="2"/>
  <c r="E147" i="2"/>
  <c r="W148" i="2"/>
  <c r="AB149" i="2"/>
  <c r="O150" i="2"/>
  <c r="BG150" i="2"/>
  <c r="AW151" i="2"/>
  <c r="AV152" i="2"/>
  <c r="AG153" i="2"/>
  <c r="Q154" i="2"/>
  <c r="BF154" i="2"/>
  <c r="AK155" i="2"/>
  <c r="O156" i="2"/>
  <c r="AT156" i="2"/>
  <c r="V157" i="2"/>
  <c r="C158" i="2"/>
  <c r="AK158" i="2"/>
  <c r="M159" i="2"/>
  <c r="AN159" i="2"/>
  <c r="P160" i="2"/>
  <c r="AX160" i="2"/>
  <c r="V161" i="2"/>
  <c r="AT161" i="2"/>
  <c r="O162" i="2"/>
  <c r="AQ162" i="2"/>
  <c r="H163" i="2"/>
  <c r="AJ163" i="2"/>
  <c r="BF163" i="2"/>
  <c r="X164" i="2"/>
  <c r="AW164" i="2"/>
  <c r="K165" i="2"/>
  <c r="AE165" i="2"/>
  <c r="BC165" i="2"/>
  <c r="Q166" i="2"/>
  <c r="AK166" i="2"/>
  <c r="C167" i="2"/>
  <c r="W167" i="2"/>
  <c r="AQ167" i="2"/>
  <c r="I168" i="2"/>
  <c r="AC168" i="2"/>
  <c r="AW168" i="2"/>
  <c r="O169" i="2"/>
  <c r="AI169" i="2"/>
  <c r="BC169" i="2"/>
  <c r="U170" i="2"/>
  <c r="AO170" i="2"/>
  <c r="C171" i="2"/>
  <c r="AA171" i="2"/>
  <c r="AU171" i="2"/>
  <c r="I172" i="2"/>
  <c r="AG172" i="2"/>
  <c r="BA172" i="2"/>
  <c r="O173" i="2"/>
  <c r="AM173" i="2"/>
  <c r="BG173" i="2"/>
  <c r="U174" i="2"/>
  <c r="AS174" i="2"/>
  <c r="G175" i="2"/>
  <c r="AA175" i="2"/>
  <c r="AY175" i="2"/>
  <c r="L176" i="2"/>
  <c r="AE176" i="2"/>
  <c r="AZ176" i="2"/>
  <c r="N177" i="2"/>
  <c r="AG177" i="2"/>
  <c r="AZ177" i="2"/>
  <c r="M178" i="2"/>
  <c r="AI178" i="2"/>
  <c r="BB178" i="2"/>
  <c r="O179" i="2"/>
  <c r="AH179" i="2"/>
  <c r="BB179" i="2"/>
  <c r="N180" i="2"/>
  <c r="AF180" i="2"/>
  <c r="AX180" i="2"/>
  <c r="J181" i="2"/>
  <c r="AB181" i="2"/>
  <c r="AT181" i="2"/>
  <c r="H182" i="2"/>
  <c r="Z182" i="2"/>
  <c r="AR182" i="2"/>
  <c r="D183" i="2"/>
  <c r="V183" i="2"/>
  <c r="AN183" i="2"/>
  <c r="BF183" i="2"/>
  <c r="T184" i="2"/>
  <c r="AK184" i="2"/>
  <c r="BB184" i="2"/>
  <c r="M185" i="2"/>
  <c r="AD185" i="2"/>
  <c r="AU185" i="2"/>
  <c r="F186" i="2"/>
  <c r="V186" i="2"/>
  <c r="AL186" i="2"/>
  <c r="BB186" i="2"/>
  <c r="L187" i="2"/>
  <c r="AB187" i="2"/>
  <c r="AR187" i="2"/>
  <c r="BH187" i="2"/>
  <c r="R188" i="2"/>
  <c r="AH188" i="2"/>
  <c r="AX188" i="2"/>
  <c r="H189" i="2"/>
  <c r="X189" i="2"/>
  <c r="AN189" i="2"/>
  <c r="BD189" i="2"/>
  <c r="N190" i="2"/>
  <c r="X117" i="2"/>
  <c r="AH129" i="2"/>
  <c r="AA133" i="2"/>
  <c r="AT137" i="2"/>
  <c r="BA140" i="2"/>
  <c r="AF143" i="2"/>
  <c r="AA145" i="2"/>
  <c r="K147" i="2"/>
  <c r="X148" i="2"/>
  <c r="AD149" i="2"/>
  <c r="R150" i="2"/>
  <c r="BH150" i="2"/>
  <c r="BH151" i="2"/>
  <c r="AW152" i="2"/>
  <c r="AJ153" i="2"/>
  <c r="R154" i="2"/>
  <c r="BG154" i="2"/>
  <c r="AL155" i="2"/>
  <c r="P156" i="2"/>
  <c r="BC156" i="2"/>
  <c r="Y157" i="2"/>
  <c r="D158" i="2"/>
  <c r="AL158" i="2"/>
  <c r="N159" i="2"/>
  <c r="AQ159" i="2"/>
  <c r="Q160" i="2"/>
  <c r="AY160" i="2"/>
  <c r="X161" i="2"/>
  <c r="AW161" i="2"/>
  <c r="R162" i="2"/>
  <c r="AR162" i="2"/>
  <c r="M163" i="2"/>
  <c r="AK163" i="2"/>
  <c r="C164" i="2"/>
  <c r="AA164" i="2"/>
  <c r="AX164" i="2"/>
  <c r="L165" i="2"/>
  <c r="AH165" i="2"/>
  <c r="BD165" i="2"/>
  <c r="R166" i="2"/>
  <c r="AN166" i="2"/>
  <c r="D167" i="2"/>
  <c r="X167" i="2"/>
  <c r="AT167" i="2"/>
  <c r="J168" i="2"/>
  <c r="AD168" i="2"/>
  <c r="AZ168" i="2"/>
  <c r="P169" i="2"/>
  <c r="AJ169" i="2"/>
  <c r="BF169" i="2"/>
  <c r="V170" i="2"/>
  <c r="AP170" i="2"/>
  <c r="F171" i="2"/>
  <c r="AB171" i="2"/>
  <c r="AV171" i="2"/>
  <c r="L172" i="2"/>
  <c r="AH172" i="2"/>
  <c r="BB172" i="2"/>
  <c r="R173" i="2"/>
  <c r="AN173" i="2"/>
  <c r="BH173" i="2"/>
  <c r="X174" i="2"/>
  <c r="AT174" i="2"/>
  <c r="H175" i="2"/>
  <c r="AD175" i="2"/>
  <c r="AZ175" i="2"/>
  <c r="M176" i="2"/>
  <c r="AF176" i="2"/>
  <c r="BA176" i="2"/>
  <c r="O177" i="2"/>
  <c r="AH177" i="2"/>
  <c r="BA177" i="2"/>
  <c r="P178" i="2"/>
  <c r="AJ178" i="2"/>
  <c r="BC178" i="2"/>
  <c r="P179" i="2"/>
  <c r="AI179" i="2"/>
  <c r="BC179" i="2"/>
  <c r="O180" i="2"/>
  <c r="AG180" i="2"/>
  <c r="AY180" i="2"/>
  <c r="K181" i="2"/>
  <c r="AC181" i="2"/>
  <c r="AU181" i="2"/>
  <c r="I182" i="2"/>
  <c r="AA182" i="2"/>
  <c r="AS182" i="2"/>
  <c r="E183" i="2"/>
  <c r="W183" i="2"/>
  <c r="AO183" i="2"/>
  <c r="BG183" i="2"/>
  <c r="U184" i="2"/>
  <c r="AL184" i="2"/>
  <c r="BC184" i="2"/>
  <c r="N185" i="2"/>
  <c r="AE185" i="2"/>
  <c r="AV185" i="2"/>
  <c r="G186" i="2"/>
  <c r="W186" i="2"/>
  <c r="AM186" i="2"/>
  <c r="BC186" i="2"/>
  <c r="M187" i="2"/>
  <c r="AC187" i="2"/>
  <c r="AS187" i="2"/>
  <c r="C188" i="2"/>
  <c r="S188" i="2"/>
  <c r="AI188" i="2"/>
  <c r="AY188" i="2"/>
  <c r="I189" i="2"/>
  <c r="Y189" i="2"/>
  <c r="AO189" i="2"/>
  <c r="BE189" i="2"/>
  <c r="O190" i="2"/>
  <c r="AE190" i="2"/>
  <c r="AU190" i="2"/>
  <c r="AI117" i="2"/>
  <c r="AK129" i="2"/>
  <c r="G134" i="2"/>
  <c r="AW137" i="2"/>
  <c r="BB140" i="2"/>
  <c r="AK143" i="2"/>
  <c r="AB145" i="2"/>
  <c r="L147" i="2"/>
  <c r="AB148" i="2"/>
  <c r="AE149" i="2"/>
  <c r="S150" i="2"/>
  <c r="I151" i="2"/>
  <c r="D152" i="2"/>
  <c r="AX152" i="2"/>
  <c r="AK153" i="2"/>
  <c r="S154" i="2"/>
  <c r="BH154" i="2"/>
  <c r="AM155" i="2"/>
  <c r="S156" i="2"/>
  <c r="BD156" i="2"/>
  <c r="AC157" i="2"/>
  <c r="E158" i="2"/>
  <c r="AM158" i="2"/>
  <c r="O159" i="2"/>
  <c r="AW159" i="2"/>
  <c r="R160" i="2"/>
  <c r="AZ160" i="2"/>
  <c r="Y161" i="2"/>
  <c r="AX161" i="2"/>
  <c r="T162" i="2"/>
  <c r="AS162" i="2"/>
  <c r="P163" i="2"/>
  <c r="AL163" i="2"/>
  <c r="D164" i="2"/>
  <c r="AD164" i="2"/>
  <c r="AY164" i="2"/>
  <c r="M165" i="2"/>
  <c r="AK165" i="2"/>
  <c r="BE165" i="2"/>
  <c r="S166" i="2"/>
  <c r="AQ166" i="2"/>
  <c r="E167" i="2"/>
  <c r="Y167" i="2"/>
  <c r="AW167" i="2"/>
  <c r="K168" i="2"/>
  <c r="AE168" i="2"/>
  <c r="BC168" i="2"/>
  <c r="Q169" i="2"/>
  <c r="AK169" i="2"/>
  <c r="C170" i="2"/>
  <c r="W170" i="2"/>
  <c r="AQ170" i="2"/>
  <c r="I171" i="2"/>
  <c r="AC171" i="2"/>
  <c r="AW171" i="2"/>
  <c r="O172" i="2"/>
  <c r="AI172" i="2"/>
  <c r="BC172" i="2"/>
  <c r="U173" i="2"/>
  <c r="AO173" i="2"/>
  <c r="C174" i="2"/>
  <c r="AA174" i="2"/>
  <c r="AU174" i="2"/>
  <c r="I175" i="2"/>
  <c r="AG175" i="2"/>
  <c r="BA175" i="2"/>
  <c r="N176" i="2"/>
  <c r="AG176" i="2"/>
  <c r="BC176" i="2"/>
  <c r="P177" i="2"/>
  <c r="AI177" i="2"/>
  <c r="BB177" i="2"/>
  <c r="Q178" i="2"/>
  <c r="AK178" i="2"/>
  <c r="BD178" i="2"/>
  <c r="Q179" i="2"/>
  <c r="AL179" i="2"/>
  <c r="BD179" i="2"/>
  <c r="P180" i="2"/>
  <c r="AH180" i="2"/>
  <c r="AZ180" i="2"/>
  <c r="L181" i="2"/>
  <c r="AD181" i="2"/>
  <c r="AX181" i="2"/>
  <c r="J182" i="2"/>
  <c r="AB182" i="2"/>
  <c r="AT182" i="2"/>
  <c r="F183" i="2"/>
  <c r="X183" i="2"/>
  <c r="AP183" i="2"/>
  <c r="D184" i="2"/>
  <c r="V184" i="2"/>
  <c r="AM184" i="2"/>
  <c r="BD184" i="2"/>
  <c r="O185" i="2"/>
  <c r="AF185" i="2"/>
  <c r="AW185" i="2"/>
  <c r="H186" i="2"/>
  <c r="X186" i="2"/>
  <c r="AN186" i="2"/>
  <c r="BD186" i="2"/>
  <c r="N187" i="2"/>
  <c r="AD187" i="2"/>
  <c r="AT187" i="2"/>
  <c r="D188" i="2"/>
  <c r="T188" i="2"/>
  <c r="AJ188" i="2"/>
  <c r="AZ188" i="2"/>
  <c r="J189" i="2"/>
  <c r="Z189" i="2"/>
  <c r="AP189" i="2"/>
  <c r="BF189" i="2"/>
  <c r="AD119" i="2"/>
  <c r="W130" i="2"/>
  <c r="L134" i="2"/>
  <c r="AX137" i="2"/>
  <c r="S141" i="2"/>
  <c r="BB143" i="2"/>
  <c r="AR145" i="2"/>
  <c r="O147" i="2"/>
  <c r="AM148" i="2"/>
  <c r="AF149" i="2"/>
  <c r="T150" i="2"/>
  <c r="P151" i="2"/>
  <c r="E152" i="2"/>
  <c r="AY152" i="2"/>
  <c r="AL153" i="2"/>
  <c r="T154" i="2"/>
  <c r="C155" i="2"/>
  <c r="AN155" i="2"/>
  <c r="U156" i="2"/>
  <c r="BE156" i="2"/>
  <c r="AI157" i="2"/>
  <c r="F158" i="2"/>
  <c r="AN158" i="2"/>
  <c r="P159" i="2"/>
  <c r="AX159" i="2"/>
  <c r="U160" i="2"/>
  <c r="BA160" i="2"/>
  <c r="Z161" i="2"/>
  <c r="AY161" i="2"/>
  <c r="W162" i="2"/>
  <c r="AT162" i="2"/>
  <c r="Q163" i="2"/>
  <c r="AM163" i="2"/>
  <c r="E164" i="2"/>
  <c r="AE164" i="2"/>
  <c r="AZ164" i="2"/>
  <c r="N165" i="2"/>
  <c r="AL165" i="2"/>
  <c r="BF165" i="2"/>
  <c r="T166" i="2"/>
  <c r="AR166" i="2"/>
  <c r="F167" i="2"/>
  <c r="Z167" i="2"/>
  <c r="AX167" i="2"/>
  <c r="L168" i="2"/>
  <c r="AF168" i="2"/>
  <c r="BD168" i="2"/>
  <c r="R169" i="2"/>
  <c r="AL169" i="2"/>
  <c r="D170" i="2"/>
  <c r="X170" i="2"/>
  <c r="AR170" i="2"/>
  <c r="J171" i="2"/>
  <c r="AD171" i="2"/>
  <c r="AX171" i="2"/>
  <c r="P172" i="2"/>
  <c r="AJ172" i="2"/>
  <c r="BD172" i="2"/>
  <c r="V173" i="2"/>
  <c r="AP173" i="2"/>
  <c r="D174" i="2"/>
  <c r="AB174" i="2"/>
  <c r="AV174" i="2"/>
  <c r="J175" i="2"/>
  <c r="AH175" i="2"/>
  <c r="BB175" i="2"/>
  <c r="O176" i="2"/>
  <c r="AJ176" i="2"/>
  <c r="BD176" i="2"/>
  <c r="Q177" i="2"/>
  <c r="AJ177" i="2"/>
  <c r="BC177" i="2"/>
  <c r="S178" i="2"/>
  <c r="AL178" i="2"/>
  <c r="BE178" i="2"/>
  <c r="R179" i="2"/>
  <c r="AM179" i="2"/>
  <c r="BE179" i="2"/>
  <c r="AF119" i="2"/>
  <c r="AA130" i="2"/>
  <c r="M134" i="2"/>
  <c r="U138" i="2"/>
  <c r="AC141" i="2"/>
  <c r="BD143" i="2"/>
  <c r="AT145" i="2"/>
  <c r="AB147" i="2"/>
  <c r="AP148" i="2"/>
  <c r="AG149" i="2"/>
  <c r="W150" i="2"/>
  <c r="R151" i="2"/>
  <c r="F152" i="2"/>
  <c r="AZ152" i="2"/>
  <c r="AO153" i="2"/>
  <c r="Z154" i="2"/>
  <c r="F155" i="2"/>
  <c r="AO155" i="2"/>
  <c r="V156" i="2"/>
  <c r="BF156" i="2"/>
  <c r="AJ157" i="2"/>
  <c r="I158" i="2"/>
  <c r="AO158" i="2"/>
  <c r="Q159" i="2"/>
  <c r="BA159" i="2"/>
  <c r="AC160" i="2"/>
  <c r="BB160" i="2"/>
  <c r="AA161" i="2"/>
  <c r="AZ161" i="2"/>
  <c r="X162" i="2"/>
  <c r="AU162" i="2"/>
  <c r="R163" i="2"/>
  <c r="AN163" i="2"/>
  <c r="F164" i="2"/>
  <c r="AF164" i="2"/>
  <c r="BA164" i="2"/>
  <c r="O165" i="2"/>
  <c r="AM165" i="2"/>
  <c r="BG165" i="2"/>
  <c r="U166" i="2"/>
  <c r="AS166" i="2"/>
  <c r="G167" i="2"/>
  <c r="BE120" i="2"/>
  <c r="AE130" i="2"/>
  <c r="AW134" i="2"/>
  <c r="AD138" i="2"/>
  <c r="AD141" i="2"/>
  <c r="BH143" i="2"/>
  <c r="AW145" i="2"/>
  <c r="AD147" i="2"/>
  <c r="AR148" i="2"/>
  <c r="AH149" i="2"/>
  <c r="AH150" i="2"/>
  <c r="U151" i="2"/>
  <c r="G152" i="2"/>
  <c r="BC152" i="2"/>
  <c r="AW153" i="2"/>
  <c r="AF154" i="2"/>
  <c r="O155" i="2"/>
  <c r="AU155" i="2"/>
  <c r="W156" i="2"/>
  <c r="BG156" i="2"/>
  <c r="AK157" i="2"/>
  <c r="Q158" i="2"/>
  <c r="AP158" i="2"/>
  <c r="R159" i="2"/>
  <c r="BB159" i="2"/>
  <c r="AD160" i="2"/>
  <c r="BG160" i="2"/>
  <c r="AB161" i="2"/>
  <c r="BC161" i="2"/>
  <c r="Y162" i="2"/>
  <c r="AV162" i="2"/>
  <c r="S163" i="2"/>
  <c r="AO163" i="2"/>
  <c r="I164" i="2"/>
  <c r="AH164" i="2"/>
  <c r="BB164" i="2"/>
  <c r="R165" i="2"/>
  <c r="AN165" i="2"/>
  <c r="BH165" i="2"/>
  <c r="X166" i="2"/>
  <c r="AT166" i="2"/>
  <c r="H167" i="2"/>
  <c r="AD167" i="2"/>
  <c r="AZ167" i="2"/>
  <c r="N168" i="2"/>
  <c r="AJ168" i="2"/>
  <c r="BF168" i="2"/>
  <c r="T169" i="2"/>
  <c r="AP169" i="2"/>
  <c r="F170" i="2"/>
  <c r="Z170" i="2"/>
  <c r="AV170" i="2"/>
  <c r="L171" i="2"/>
  <c r="AF171" i="2"/>
  <c r="BB171" i="2"/>
  <c r="R172" i="2"/>
  <c r="AL172" i="2"/>
  <c r="BH172" i="2"/>
  <c r="X173" i="2"/>
  <c r="AR173" i="2"/>
  <c r="H174" i="2"/>
  <c r="AD174" i="2"/>
  <c r="AX174" i="2"/>
  <c r="BF120" i="2"/>
  <c r="K131" i="2"/>
  <c r="AZ134" i="2"/>
  <c r="AE138" i="2"/>
  <c r="BA141" i="2"/>
  <c r="C144" i="2"/>
  <c r="AZ145" i="2"/>
  <c r="AG147" i="2"/>
  <c r="AS148" i="2"/>
  <c r="AK149" i="2"/>
  <c r="AS122" i="2"/>
  <c r="N131" i="2"/>
  <c r="BC134" i="2"/>
  <c r="BC138" i="2"/>
  <c r="BF141" i="2"/>
  <c r="T144" i="2"/>
  <c r="H146" i="2"/>
  <c r="AH147" i="2"/>
  <c r="AT148" i="2"/>
  <c r="AV149" i="2"/>
  <c r="AK150" i="2"/>
  <c r="Y151" i="2"/>
  <c r="O152" i="2"/>
  <c r="J153" i="2"/>
  <c r="BB153" i="2"/>
  <c r="AI154" i="2"/>
  <c r="R155" i="2"/>
  <c r="BB155" i="2"/>
  <c r="AA156" i="2"/>
  <c r="C157" i="2"/>
  <c r="AO157" i="2"/>
  <c r="S158" i="2"/>
  <c r="BA158" i="2"/>
  <c r="V159" i="2"/>
  <c r="BD159" i="2"/>
  <c r="AF160" i="2"/>
  <c r="G161" i="2"/>
  <c r="AD161" i="2"/>
  <c r="BH161" i="2"/>
  <c r="AA162" i="2"/>
  <c r="BD162" i="2"/>
  <c r="U163" i="2"/>
  <c r="AU122" i="2"/>
  <c r="O131" i="2"/>
  <c r="AI135" i="2"/>
  <c r="J139" i="2"/>
  <c r="G142" i="2"/>
  <c r="V144" i="2"/>
  <c r="P146" i="2"/>
  <c r="AQ147" i="2"/>
  <c r="BA148" i="2"/>
  <c r="AX149" i="2"/>
  <c r="AL150" i="2"/>
  <c r="Z151" i="2"/>
  <c r="V152" i="2"/>
  <c r="K153" i="2"/>
  <c r="BC153" i="2"/>
  <c r="AJ154" i="2"/>
  <c r="S155" i="2"/>
  <c r="BC155" i="2"/>
  <c r="AI156" i="2"/>
  <c r="D157" i="2"/>
  <c r="AQ157" i="2"/>
  <c r="T158" i="2"/>
  <c r="BB158" i="2"/>
  <c r="Y159" i="2"/>
  <c r="BE159" i="2"/>
  <c r="AG160" i="2"/>
  <c r="H161" i="2"/>
  <c r="AG161" i="2"/>
  <c r="C162" i="2"/>
  <c r="AB162" i="2"/>
  <c r="BF162" i="2"/>
  <c r="V163" i="2"/>
  <c r="AB124" i="2"/>
  <c r="C149" i="2"/>
  <c r="AZ153" i="2"/>
  <c r="I157" i="2"/>
  <c r="C160" i="2"/>
  <c r="AY162" i="2"/>
  <c r="AI164" i="2"/>
  <c r="AP165" i="2"/>
  <c r="AW166" i="2"/>
  <c r="BB167" i="2"/>
  <c r="AT168" i="2"/>
  <c r="AS169" i="2"/>
  <c r="AC170" i="2"/>
  <c r="Q171" i="2"/>
  <c r="Q172" i="2"/>
  <c r="F173" i="2"/>
  <c r="AX173" i="2"/>
  <c r="AN174" i="2"/>
  <c r="AI175" i="2"/>
  <c r="P176" i="2"/>
  <c r="BE176" i="2"/>
  <c r="AK177" i="2"/>
  <c r="T178" i="2"/>
  <c r="BF178" i="2"/>
  <c r="AN179" i="2"/>
  <c r="Q180" i="2"/>
  <c r="AR180" i="2"/>
  <c r="T181" i="2"/>
  <c r="BB181" i="2"/>
  <c r="AD182" i="2"/>
  <c r="BG182" i="2"/>
  <c r="AG183" i="2"/>
  <c r="I184" i="2"/>
  <c r="AP184" i="2"/>
  <c r="P185" i="2"/>
  <c r="AN185" i="2"/>
  <c r="N186" i="2"/>
  <c r="AR186" i="2"/>
  <c r="P187" i="2"/>
  <c r="AO187" i="2"/>
  <c r="K188" i="2"/>
  <c r="AO188" i="2"/>
  <c r="M189" i="2"/>
  <c r="AQ189" i="2"/>
  <c r="H190" i="2"/>
  <c r="AI190" i="2"/>
  <c r="BD190" i="2"/>
  <c r="V191" i="2"/>
  <c r="AP191" i="2"/>
  <c r="D192" i="2"/>
  <c r="AB192" i="2"/>
  <c r="AV192" i="2"/>
  <c r="J193" i="2"/>
  <c r="AH193" i="2"/>
  <c r="BB193" i="2"/>
  <c r="P194" i="2"/>
  <c r="AN194" i="2"/>
  <c r="BH194" i="2"/>
  <c r="V195" i="2"/>
  <c r="AT195" i="2"/>
  <c r="H196" i="2"/>
  <c r="AB196" i="2"/>
  <c r="AZ196" i="2"/>
  <c r="N197" i="2"/>
  <c r="AH197" i="2"/>
  <c r="BF197" i="2"/>
  <c r="T198" i="2"/>
  <c r="AN198" i="2"/>
  <c r="F199" i="2"/>
  <c r="Z199" i="2"/>
  <c r="AT199" i="2"/>
  <c r="L200" i="2"/>
  <c r="AE200" i="2"/>
  <c r="AX200" i="2"/>
  <c r="M201" i="2"/>
  <c r="AG201" i="2"/>
  <c r="AZ201" i="2"/>
  <c r="M202" i="2"/>
  <c r="AF202" i="2"/>
  <c r="BB202" i="2"/>
  <c r="O203" i="2"/>
  <c r="AH203" i="2"/>
  <c r="AZ203" i="2"/>
  <c r="L204" i="2"/>
  <c r="AF204" i="2"/>
  <c r="AX204" i="2"/>
  <c r="J205" i="2"/>
  <c r="AB205" i="2"/>
  <c r="AT205" i="2"/>
  <c r="F206" i="2"/>
  <c r="W206" i="2"/>
  <c r="AN206" i="2"/>
  <c r="BE206" i="2"/>
  <c r="P207" i="2"/>
  <c r="AF207" i="2"/>
  <c r="AV207" i="2"/>
  <c r="F208" i="2"/>
  <c r="V208" i="2"/>
  <c r="AL208" i="2"/>
  <c r="BB208" i="2"/>
  <c r="L209" i="2"/>
  <c r="AB209" i="2"/>
  <c r="AR209" i="2"/>
  <c r="BH209" i="2"/>
  <c r="R210" i="2"/>
  <c r="AH210" i="2"/>
  <c r="AX210" i="2"/>
  <c r="H211" i="2"/>
  <c r="X211" i="2"/>
  <c r="AN211" i="2"/>
  <c r="BD211" i="2"/>
  <c r="N212" i="2"/>
  <c r="AD212" i="2"/>
  <c r="AT212" i="2"/>
  <c r="D213" i="2"/>
  <c r="T213" i="2"/>
  <c r="AJ213" i="2"/>
  <c r="AZ213" i="2"/>
  <c r="J214" i="2"/>
  <c r="Z214" i="2"/>
  <c r="AP214" i="2"/>
  <c r="BF214" i="2"/>
  <c r="P215" i="2"/>
  <c r="AF215" i="2"/>
  <c r="AV215" i="2"/>
  <c r="F216" i="2"/>
  <c r="V216" i="2"/>
  <c r="AL216" i="2"/>
  <c r="BB216" i="2"/>
  <c r="L217" i="2"/>
  <c r="AB217" i="2"/>
  <c r="AR217" i="2"/>
  <c r="BH217" i="2"/>
  <c r="R218" i="2"/>
  <c r="AH218" i="2"/>
  <c r="AX218" i="2"/>
  <c r="H219" i="2"/>
  <c r="X219" i="2"/>
  <c r="AN219" i="2"/>
  <c r="BD219" i="2"/>
  <c r="N220" i="2"/>
  <c r="AD220" i="2"/>
  <c r="AT220" i="2"/>
  <c r="D221" i="2"/>
  <c r="T221" i="2"/>
  <c r="AJ221" i="2"/>
  <c r="AZ221" i="2"/>
  <c r="J222" i="2"/>
  <c r="Z222" i="2"/>
  <c r="AP222" i="2"/>
  <c r="BF222" i="2"/>
  <c r="P223" i="2"/>
  <c r="AF223" i="2"/>
  <c r="AV223" i="2"/>
  <c r="F224" i="2"/>
  <c r="V224" i="2"/>
  <c r="AL224" i="2"/>
  <c r="BB224" i="2"/>
  <c r="L225" i="2"/>
  <c r="AB225" i="2"/>
  <c r="AR225" i="2"/>
  <c r="BH225" i="2"/>
  <c r="R226" i="2"/>
  <c r="AH226" i="2"/>
  <c r="AX226" i="2"/>
  <c r="H227" i="2"/>
  <c r="X227" i="2"/>
  <c r="AN227" i="2"/>
  <c r="AF124" i="2"/>
  <c r="E149" i="2"/>
  <c r="BD153" i="2"/>
  <c r="P157" i="2"/>
  <c r="AE160" i="2"/>
  <c r="BG162" i="2"/>
  <c r="AJ164" i="2"/>
  <c r="AQ165" i="2"/>
  <c r="AX166" i="2"/>
  <c r="BC167" i="2"/>
  <c r="BE168" i="2"/>
  <c r="AT169" i="2"/>
  <c r="AF170" i="2"/>
  <c r="V171" i="2"/>
  <c r="S172" i="2"/>
  <c r="G173" i="2"/>
  <c r="BA173" i="2"/>
  <c r="AW174" i="2"/>
  <c r="AJ175" i="2"/>
  <c r="Q176" i="2"/>
  <c r="BF176" i="2"/>
  <c r="AL177" i="2"/>
  <c r="U178" i="2"/>
  <c r="BG178" i="2"/>
  <c r="AO179" i="2"/>
  <c r="R180" i="2"/>
  <c r="AU180" i="2"/>
  <c r="U181" i="2"/>
  <c r="BC181" i="2"/>
  <c r="AE182" i="2"/>
  <c r="G183" i="2"/>
  <c r="AH183" i="2"/>
  <c r="J184" i="2"/>
  <c r="AQ184" i="2"/>
  <c r="Q185" i="2"/>
  <c r="AR185" i="2"/>
  <c r="O186" i="2"/>
  <c r="AS186" i="2"/>
  <c r="Q187" i="2"/>
  <c r="AU187" i="2"/>
  <c r="L188" i="2"/>
  <c r="AP188" i="2"/>
  <c r="N189" i="2"/>
  <c r="AR189" i="2"/>
  <c r="K190" i="2"/>
  <c r="AJ190" i="2"/>
  <c r="BG190" i="2"/>
  <c r="W191" i="2"/>
  <c r="AQ191" i="2"/>
  <c r="G192" i="2"/>
  <c r="AC192" i="2"/>
  <c r="AW192" i="2"/>
  <c r="M193" i="2"/>
  <c r="AI193" i="2"/>
  <c r="BC193" i="2"/>
  <c r="S194" i="2"/>
  <c r="AO194" i="2"/>
  <c r="C195" i="2"/>
  <c r="Y195" i="2"/>
  <c r="AU195" i="2"/>
  <c r="I196" i="2"/>
  <c r="AE196" i="2"/>
  <c r="BA196" i="2"/>
  <c r="O197" i="2"/>
  <c r="AK197" i="2"/>
  <c r="BG197" i="2"/>
  <c r="U198" i="2"/>
  <c r="AQ198" i="2"/>
  <c r="G199" i="2"/>
  <c r="AA199" i="2"/>
  <c r="AW199" i="2"/>
  <c r="M200" i="2"/>
  <c r="AF200" i="2"/>
  <c r="AY200" i="2"/>
  <c r="O201" i="2"/>
  <c r="AH201" i="2"/>
  <c r="BA201" i="2"/>
  <c r="N202" i="2"/>
  <c r="AI202" i="2"/>
  <c r="BC202" i="2"/>
  <c r="P203" i="2"/>
  <c r="AI203" i="2"/>
  <c r="BA203" i="2"/>
  <c r="O204" i="2"/>
  <c r="AG204" i="2"/>
  <c r="AY204" i="2"/>
  <c r="K205" i="2"/>
  <c r="AC205" i="2"/>
  <c r="AU205" i="2"/>
  <c r="G206" i="2"/>
  <c r="X206" i="2"/>
  <c r="AO206" i="2"/>
  <c r="BG206" i="2"/>
  <c r="Q207" i="2"/>
  <c r="AG207" i="2"/>
  <c r="AW207" i="2"/>
  <c r="G208" i="2"/>
  <c r="W208" i="2"/>
  <c r="AM208" i="2"/>
  <c r="BC208" i="2"/>
  <c r="M209" i="2"/>
  <c r="AC209" i="2"/>
  <c r="AS209" i="2"/>
  <c r="C210" i="2"/>
  <c r="S210" i="2"/>
  <c r="AI210" i="2"/>
  <c r="AY210" i="2"/>
  <c r="I211" i="2"/>
  <c r="Y211" i="2"/>
  <c r="AO211" i="2"/>
  <c r="BE211" i="2"/>
  <c r="O212" i="2"/>
  <c r="AE212" i="2"/>
  <c r="AU212" i="2"/>
  <c r="E213" i="2"/>
  <c r="U213" i="2"/>
  <c r="AK213" i="2"/>
  <c r="BA213" i="2"/>
  <c r="K214" i="2"/>
  <c r="AA214" i="2"/>
  <c r="AQ214" i="2"/>
  <c r="BG214" i="2"/>
  <c r="Q215" i="2"/>
  <c r="AG215" i="2"/>
  <c r="AW215" i="2"/>
  <c r="G216" i="2"/>
  <c r="W216" i="2"/>
  <c r="AM216" i="2"/>
  <c r="BC216" i="2"/>
  <c r="M217" i="2"/>
  <c r="AC217" i="2"/>
  <c r="AS217" i="2"/>
  <c r="C218" i="2"/>
  <c r="S218" i="2"/>
  <c r="AI218" i="2"/>
  <c r="AY218" i="2"/>
  <c r="I219" i="2"/>
  <c r="Y219" i="2"/>
  <c r="AO219" i="2"/>
  <c r="BE219" i="2"/>
  <c r="O220" i="2"/>
  <c r="AE220" i="2"/>
  <c r="AU220" i="2"/>
  <c r="E221" i="2"/>
  <c r="U221" i="2"/>
  <c r="AK221" i="2"/>
  <c r="BA221" i="2"/>
  <c r="K222" i="2"/>
  <c r="AA222" i="2"/>
  <c r="AQ222" i="2"/>
  <c r="BG222" i="2"/>
  <c r="Q223" i="2"/>
  <c r="AG223" i="2"/>
  <c r="AW223" i="2"/>
  <c r="G224" i="2"/>
  <c r="W224" i="2"/>
  <c r="AM224" i="2"/>
  <c r="BC224" i="2"/>
  <c r="M225" i="2"/>
  <c r="AC225" i="2"/>
  <c r="AS225" i="2"/>
  <c r="C226" i="2"/>
  <c r="S226" i="2"/>
  <c r="AI226" i="2"/>
  <c r="AY226" i="2"/>
  <c r="I227" i="2"/>
  <c r="Y227" i="2"/>
  <c r="BA131" i="2"/>
  <c r="AY149" i="2"/>
  <c r="BE153" i="2"/>
  <c r="AL157" i="2"/>
  <c r="AH160" i="2"/>
  <c r="BH162" i="2"/>
  <c r="AK164" i="2"/>
  <c r="AR165" i="2"/>
  <c r="AY166" i="2"/>
  <c r="BD167" i="2"/>
  <c r="BG168" i="2"/>
  <c r="AU169" i="2"/>
  <c r="AI170" i="2"/>
  <c r="AE171" i="2"/>
  <c r="T172" i="2"/>
  <c r="H173" i="2"/>
  <c r="BD173" i="2"/>
  <c r="AY174" i="2"/>
  <c r="AK175" i="2"/>
  <c r="T176" i="2"/>
  <c r="BG176" i="2"/>
  <c r="AM177" i="2"/>
  <c r="V178" i="2"/>
  <c r="BH178" i="2"/>
  <c r="AP179" i="2"/>
  <c r="S180" i="2"/>
  <c r="BA180" i="2"/>
  <c r="V181" i="2"/>
  <c r="BD181" i="2"/>
  <c r="AF182" i="2"/>
  <c r="H183" i="2"/>
  <c r="AK183" i="2"/>
  <c r="K184" i="2"/>
  <c r="AR184" i="2"/>
  <c r="R185" i="2"/>
  <c r="AX185" i="2"/>
  <c r="P186" i="2"/>
  <c r="AT186" i="2"/>
  <c r="BF131" i="2"/>
  <c r="AZ149" i="2"/>
  <c r="AG154" i="2"/>
  <c r="AR157" i="2"/>
  <c r="AI160" i="2"/>
  <c r="T163" i="2"/>
  <c r="AL164" i="2"/>
  <c r="AS165" i="2"/>
  <c r="I167" i="2"/>
  <c r="BE167" i="2"/>
  <c r="BH168" i="2"/>
  <c r="AV169" i="2"/>
  <c r="AL170" i="2"/>
  <c r="AG171" i="2"/>
  <c r="U172" i="2"/>
  <c r="I173" i="2"/>
  <c r="E174" i="2"/>
  <c r="AZ174" i="2"/>
  <c r="AL175" i="2"/>
  <c r="U176" i="2"/>
  <c r="BH176" i="2"/>
  <c r="AP177" i="2"/>
  <c r="W178" i="2"/>
  <c r="C179" i="2"/>
  <c r="AQ179" i="2"/>
  <c r="T180" i="2"/>
  <c r="BB180" i="2"/>
  <c r="Y181" i="2"/>
  <c r="BE181" i="2"/>
  <c r="AG182" i="2"/>
  <c r="I183" i="2"/>
  <c r="AQ183" i="2"/>
  <c r="L184" i="2"/>
  <c r="AS184" i="2"/>
  <c r="S185" i="2"/>
  <c r="AY185" i="2"/>
  <c r="S186" i="2"/>
  <c r="AU186" i="2"/>
  <c r="S187" i="2"/>
  <c r="AW187" i="2"/>
  <c r="U188" i="2"/>
  <c r="AR188" i="2"/>
  <c r="P189" i="2"/>
  <c r="AT189" i="2"/>
  <c r="Q190" i="2"/>
  <c r="AL190" i="2"/>
  <c r="E191" i="2"/>
  <c r="Y191" i="2"/>
  <c r="AS191" i="2"/>
  <c r="K192" i="2"/>
  <c r="AE192" i="2"/>
  <c r="AY192" i="2"/>
  <c r="Q193" i="2"/>
  <c r="AK193" i="2"/>
  <c r="BE193" i="2"/>
  <c r="W194" i="2"/>
  <c r="AQ194" i="2"/>
  <c r="E195" i="2"/>
  <c r="AC195" i="2"/>
  <c r="AW195" i="2"/>
  <c r="K196" i="2"/>
  <c r="AI196" i="2"/>
  <c r="BC196" i="2"/>
  <c r="Q197" i="2"/>
  <c r="AO197" i="2"/>
  <c r="C198" i="2"/>
  <c r="W198" i="2"/>
  <c r="AU198" i="2"/>
  <c r="I199" i="2"/>
  <c r="AC199" i="2"/>
  <c r="BA199" i="2"/>
  <c r="O200" i="2"/>
  <c r="AH200" i="2"/>
  <c r="BC200" i="2"/>
  <c r="Q201" i="2"/>
  <c r="AJ201" i="2"/>
  <c r="BC201" i="2"/>
  <c r="P202" i="2"/>
  <c r="AL202" i="2"/>
  <c r="BE202" i="2"/>
  <c r="R203" i="2"/>
  <c r="AK203" i="2"/>
  <c r="BE203" i="2"/>
  <c r="Q204" i="2"/>
  <c r="AI204" i="2"/>
  <c r="BA204" i="2"/>
  <c r="M205" i="2"/>
  <c r="AE205" i="2"/>
  <c r="AW205" i="2"/>
  <c r="I206" i="2"/>
  <c r="AA206" i="2"/>
  <c r="AR206" i="2"/>
  <c r="C207" i="2"/>
  <c r="S207" i="2"/>
  <c r="AI207" i="2"/>
  <c r="AY207" i="2"/>
  <c r="I208" i="2"/>
  <c r="Y208" i="2"/>
  <c r="AO208" i="2"/>
  <c r="BE208" i="2"/>
  <c r="O209" i="2"/>
  <c r="AE209" i="2"/>
  <c r="AU209" i="2"/>
  <c r="E210" i="2"/>
  <c r="U210" i="2"/>
  <c r="AK210" i="2"/>
  <c r="BA210" i="2"/>
  <c r="K211" i="2"/>
  <c r="AA211" i="2"/>
  <c r="AQ211" i="2"/>
  <c r="BG211" i="2"/>
  <c r="Q212" i="2"/>
  <c r="AG212" i="2"/>
  <c r="AW212" i="2"/>
  <c r="G213" i="2"/>
  <c r="W213" i="2"/>
  <c r="AM213" i="2"/>
  <c r="BC213" i="2"/>
  <c r="M214" i="2"/>
  <c r="AC214" i="2"/>
  <c r="AS214" i="2"/>
  <c r="C215" i="2"/>
  <c r="S215" i="2"/>
  <c r="AI215" i="2"/>
  <c r="AY215" i="2"/>
  <c r="I216" i="2"/>
  <c r="Y216" i="2"/>
  <c r="AO216" i="2"/>
  <c r="BE216" i="2"/>
  <c r="O217" i="2"/>
  <c r="AE217" i="2"/>
  <c r="AU217" i="2"/>
  <c r="E218" i="2"/>
  <c r="U218" i="2"/>
  <c r="AK218" i="2"/>
  <c r="BA218" i="2"/>
  <c r="K219" i="2"/>
  <c r="AA219" i="2"/>
  <c r="AQ219" i="2"/>
  <c r="BG219" i="2"/>
  <c r="Q220" i="2"/>
  <c r="AG220" i="2"/>
  <c r="AL135" i="2"/>
  <c r="AJ150" i="2"/>
  <c r="AM154" i="2"/>
  <c r="AS157" i="2"/>
  <c r="D161" i="2"/>
  <c r="W163" i="2"/>
  <c r="AM164" i="2"/>
  <c r="C166" i="2"/>
  <c r="J167" i="2"/>
  <c r="M168" i="2"/>
  <c r="C169" i="2"/>
  <c r="AW169" i="2"/>
  <c r="AS170" i="2"/>
  <c r="AH171" i="2"/>
  <c r="V172" i="2"/>
  <c r="L173" i="2"/>
  <c r="K174" i="2"/>
  <c r="BA174" i="2"/>
  <c r="AM175" i="2"/>
  <c r="W176" i="2"/>
  <c r="C177" i="2"/>
  <c r="AQ177" i="2"/>
  <c r="X178" i="2"/>
  <c r="F179" i="2"/>
  <c r="AR179" i="2"/>
  <c r="U180" i="2"/>
  <c r="BC180" i="2"/>
  <c r="AE181" i="2"/>
  <c r="BF181" i="2"/>
  <c r="AH182" i="2"/>
  <c r="J183" i="2"/>
  <c r="AT183" i="2"/>
  <c r="O184" i="2"/>
  <c r="AT184" i="2"/>
  <c r="T185" i="2"/>
  <c r="AZ185" i="2"/>
  <c r="Y186" i="2"/>
  <c r="AV186" i="2"/>
  <c r="T187" i="2"/>
  <c r="AX187" i="2"/>
  <c r="V188" i="2"/>
  <c r="AU188" i="2"/>
  <c r="Q189" i="2"/>
  <c r="AU189" i="2"/>
  <c r="R190" i="2"/>
  <c r="AM190" i="2"/>
  <c r="F191" i="2"/>
  <c r="Z191" i="2"/>
  <c r="AT191" i="2"/>
  <c r="L192" i="2"/>
  <c r="AF192" i="2"/>
  <c r="AZ192" i="2"/>
  <c r="R193" i="2"/>
  <c r="AL193" i="2"/>
  <c r="BF193" i="2"/>
  <c r="X194" i="2"/>
  <c r="AR194" i="2"/>
  <c r="F195" i="2"/>
  <c r="AD195" i="2"/>
  <c r="AX195" i="2"/>
  <c r="L196" i="2"/>
  <c r="AJ196" i="2"/>
  <c r="BD196" i="2"/>
  <c r="R197" i="2"/>
  <c r="AP197" i="2"/>
  <c r="D198" i="2"/>
  <c r="X198" i="2"/>
  <c r="AV198" i="2"/>
  <c r="J199" i="2"/>
  <c r="AD199" i="2"/>
  <c r="BB199" i="2"/>
  <c r="P200" i="2"/>
  <c r="AI200" i="2"/>
  <c r="BE200" i="2"/>
  <c r="R201" i="2"/>
  <c r="AK201" i="2"/>
  <c r="BD201" i="2"/>
  <c r="S202" i="2"/>
  <c r="AM202" i="2"/>
  <c r="BF202" i="2"/>
  <c r="S203" i="2"/>
  <c r="AL203" i="2"/>
  <c r="BF203" i="2"/>
  <c r="R204" i="2"/>
  <c r="AJ204" i="2"/>
  <c r="BB204" i="2"/>
  <c r="N205" i="2"/>
  <c r="AF205" i="2"/>
  <c r="AX205" i="2"/>
  <c r="K206" i="2"/>
  <c r="AB206" i="2"/>
  <c r="AS206" i="2"/>
  <c r="D207" i="2"/>
  <c r="T207" i="2"/>
  <c r="AJ207" i="2"/>
  <c r="AZ207" i="2"/>
  <c r="J208" i="2"/>
  <c r="Z208" i="2"/>
  <c r="AP208" i="2"/>
  <c r="BF208" i="2"/>
  <c r="P209" i="2"/>
  <c r="AF209" i="2"/>
  <c r="AV209" i="2"/>
  <c r="F210" i="2"/>
  <c r="V210" i="2"/>
  <c r="AL210" i="2"/>
  <c r="BB210" i="2"/>
  <c r="L211" i="2"/>
  <c r="AB211" i="2"/>
  <c r="AR211" i="2"/>
  <c r="BH211" i="2"/>
  <c r="R212" i="2"/>
  <c r="AH212" i="2"/>
  <c r="AX212" i="2"/>
  <c r="H213" i="2"/>
  <c r="X213" i="2"/>
  <c r="AN213" i="2"/>
  <c r="BD213" i="2"/>
  <c r="N214" i="2"/>
  <c r="AD214" i="2"/>
  <c r="AT214" i="2"/>
  <c r="D215" i="2"/>
  <c r="T215" i="2"/>
  <c r="AJ215" i="2"/>
  <c r="AZ215" i="2"/>
  <c r="J216" i="2"/>
  <c r="Z216" i="2"/>
  <c r="AP216" i="2"/>
  <c r="BF216" i="2"/>
  <c r="P217" i="2"/>
  <c r="AF217" i="2"/>
  <c r="AV217" i="2"/>
  <c r="F218" i="2"/>
  <c r="V218" i="2"/>
  <c r="AL218" i="2"/>
  <c r="BB218" i="2"/>
  <c r="L219" i="2"/>
  <c r="AM135" i="2"/>
  <c r="AM150" i="2"/>
  <c r="AO154" i="2"/>
  <c r="R158" i="2"/>
  <c r="I161" i="2"/>
  <c r="X163" i="2"/>
  <c r="BC164" i="2"/>
  <c r="D166" i="2"/>
  <c r="K167" i="2"/>
  <c r="O168" i="2"/>
  <c r="D169" i="2"/>
  <c r="AZ169" i="2"/>
  <c r="AY170" i="2"/>
  <c r="AI171" i="2"/>
  <c r="W172" i="2"/>
  <c r="W173" i="2"/>
  <c r="L174" i="2"/>
  <c r="BD174" i="2"/>
  <c r="AN175" i="2"/>
  <c r="X176" i="2"/>
  <c r="D177" i="2"/>
  <c r="AS177" i="2"/>
  <c r="Y178" i="2"/>
  <c r="G179" i="2"/>
  <c r="AS179" i="2"/>
  <c r="V180" i="2"/>
  <c r="BD180" i="2"/>
  <c r="AH181" i="2"/>
  <c r="C182" i="2"/>
  <c r="AI182" i="2"/>
  <c r="K183" i="2"/>
  <c r="AU183" i="2"/>
  <c r="W184" i="2"/>
  <c r="AU184" i="2"/>
  <c r="U185" i="2"/>
  <c r="BA185" i="2"/>
  <c r="Z186" i="2"/>
  <c r="AY186" i="2"/>
  <c r="U187" i="2"/>
  <c r="AY187" i="2"/>
  <c r="W188" i="2"/>
  <c r="BA188" i="2"/>
  <c r="R189" i="2"/>
  <c r="AV189" i="2"/>
  <c r="S190" i="2"/>
  <c r="AN190" i="2"/>
  <c r="G191" i="2"/>
  <c r="AA191" i="2"/>
  <c r="AW191" i="2"/>
  <c r="M192" i="2"/>
  <c r="AG192" i="2"/>
  <c r="BC192" i="2"/>
  <c r="S193" i="2"/>
  <c r="AM193" i="2"/>
  <c r="C194" i="2"/>
  <c r="Y194" i="2"/>
  <c r="AS194" i="2"/>
  <c r="I195" i="2"/>
  <c r="AE195" i="2"/>
  <c r="AY195" i="2"/>
  <c r="O196" i="2"/>
  <c r="AK196" i="2"/>
  <c r="BE196" i="2"/>
  <c r="U197" i="2"/>
  <c r="AQ197" i="2"/>
  <c r="E198" i="2"/>
  <c r="AA198" i="2"/>
  <c r="AW198" i="2"/>
  <c r="K199" i="2"/>
  <c r="AG199" i="2"/>
  <c r="BC199" i="2"/>
  <c r="Q200" i="2"/>
  <c r="AJ200" i="2"/>
  <c r="BF200" i="2"/>
  <c r="S201" i="2"/>
  <c r="AL201" i="2"/>
  <c r="BE201" i="2"/>
  <c r="U202" i="2"/>
  <c r="AN202" i="2"/>
  <c r="BG202" i="2"/>
  <c r="T203" i="2"/>
  <c r="AO203" i="2"/>
  <c r="BG203" i="2"/>
  <c r="S204" i="2"/>
  <c r="AK204" i="2"/>
  <c r="BC204" i="2"/>
  <c r="O205" i="2"/>
  <c r="AG205" i="2"/>
  <c r="BA205" i="2"/>
  <c r="L206" i="2"/>
  <c r="AC206" i="2"/>
  <c r="AT206" i="2"/>
  <c r="E207" i="2"/>
  <c r="U207" i="2"/>
  <c r="AK207" i="2"/>
  <c r="BA207" i="2"/>
  <c r="K208" i="2"/>
  <c r="AA208" i="2"/>
  <c r="AQ208" i="2"/>
  <c r="BG208" i="2"/>
  <c r="Q209" i="2"/>
  <c r="AG209" i="2"/>
  <c r="AW209" i="2"/>
  <c r="G210" i="2"/>
  <c r="W210" i="2"/>
  <c r="AM210" i="2"/>
  <c r="BC210" i="2"/>
  <c r="M211" i="2"/>
  <c r="AC211" i="2"/>
  <c r="AS211" i="2"/>
  <c r="K139" i="2"/>
  <c r="AN150" i="2"/>
  <c r="P155" i="2"/>
  <c r="U158" i="2"/>
  <c r="J161" i="2"/>
  <c r="AP163" i="2"/>
  <c r="BD164" i="2"/>
  <c r="E166" i="2"/>
  <c r="N167" i="2"/>
  <c r="P168" i="2"/>
  <c r="E169" i="2"/>
  <c r="E170" i="2"/>
  <c r="AZ170" i="2"/>
  <c r="AL171" i="2"/>
  <c r="AB172" i="2"/>
  <c r="Y173" i="2"/>
  <c r="M174" i="2"/>
  <c r="BG174" i="2"/>
  <c r="AO175" i="2"/>
  <c r="Y176" i="2"/>
  <c r="E177" i="2"/>
  <c r="AT177" i="2"/>
  <c r="Z178" i="2"/>
  <c r="I179" i="2"/>
  <c r="AT179" i="2"/>
  <c r="W180" i="2"/>
  <c r="BE180" i="2"/>
  <c r="AI181" i="2"/>
  <c r="K182" i="2"/>
  <c r="AJ182" i="2"/>
  <c r="N183" i="2"/>
  <c r="AV183" i="2"/>
  <c r="X184" i="2"/>
  <c r="AX184" i="2"/>
  <c r="V185" i="2"/>
  <c r="BB185" i="2"/>
  <c r="AA186" i="2"/>
  <c r="BE186" i="2"/>
  <c r="V187" i="2"/>
  <c r="AZ187" i="2"/>
  <c r="X188" i="2"/>
  <c r="BB188" i="2"/>
  <c r="U189" i="2"/>
  <c r="AW189" i="2"/>
  <c r="T190" i="2"/>
  <c r="AQ190" i="2"/>
  <c r="H191" i="2"/>
  <c r="AB191" i="2"/>
  <c r="AZ191" i="2"/>
  <c r="N192" i="2"/>
  <c r="AH192" i="2"/>
  <c r="BF192" i="2"/>
  <c r="T193" i="2"/>
  <c r="AN193" i="2"/>
  <c r="F194" i="2"/>
  <c r="Z194" i="2"/>
  <c r="AT194" i="2"/>
  <c r="L195" i="2"/>
  <c r="AF195" i="2"/>
  <c r="AZ195" i="2"/>
  <c r="R196" i="2"/>
  <c r="AL196" i="2"/>
  <c r="BF196" i="2"/>
  <c r="X197" i="2"/>
  <c r="AR197" i="2"/>
  <c r="F198" i="2"/>
  <c r="AD198" i="2"/>
  <c r="AX198" i="2"/>
  <c r="L199" i="2"/>
  <c r="AJ199" i="2"/>
  <c r="BD199" i="2"/>
  <c r="R200" i="2"/>
  <c r="AM200" i="2"/>
  <c r="BG200" i="2"/>
  <c r="T201" i="2"/>
  <c r="AM201" i="2"/>
  <c r="BF201" i="2"/>
  <c r="V202" i="2"/>
  <c r="AO202" i="2"/>
  <c r="BH202" i="2"/>
  <c r="U203" i="2"/>
  <c r="AP203" i="2"/>
  <c r="BH203" i="2"/>
  <c r="T204" i="2"/>
  <c r="AL204" i="2"/>
  <c r="BD204" i="2"/>
  <c r="P205" i="2"/>
  <c r="AH205" i="2"/>
  <c r="BB205" i="2"/>
  <c r="M206" i="2"/>
  <c r="AD206" i="2"/>
  <c r="AU206" i="2"/>
  <c r="F207" i="2"/>
  <c r="V207" i="2"/>
  <c r="AL207" i="2"/>
  <c r="BB207" i="2"/>
  <c r="L208" i="2"/>
  <c r="AB208" i="2"/>
  <c r="AR208" i="2"/>
  <c r="BH208" i="2"/>
  <c r="R209" i="2"/>
  <c r="AH209" i="2"/>
  <c r="AX209" i="2"/>
  <c r="H210" i="2"/>
  <c r="X210" i="2"/>
  <c r="AN210" i="2"/>
  <c r="BD210" i="2"/>
  <c r="N211" i="2"/>
  <c r="AD211" i="2"/>
  <c r="AT211" i="2"/>
  <c r="D212" i="2"/>
  <c r="T212" i="2"/>
  <c r="AJ212" i="2"/>
  <c r="AZ212" i="2"/>
  <c r="J213" i="2"/>
  <c r="Z213" i="2"/>
  <c r="AP213" i="2"/>
  <c r="BF213" i="2"/>
  <c r="P214" i="2"/>
  <c r="AG139" i="2"/>
  <c r="X151" i="2"/>
  <c r="T155" i="2"/>
  <c r="V158" i="2"/>
  <c r="AC161" i="2"/>
  <c r="AS163" i="2"/>
  <c r="BE164" i="2"/>
  <c r="H166" i="2"/>
  <c r="Q167" i="2"/>
  <c r="Q168" i="2"/>
  <c r="J169" i="2"/>
  <c r="G170" i="2"/>
  <c r="BA170" i="2"/>
  <c r="AO171" i="2"/>
  <c r="AK172" i="2"/>
  <c r="Z173" i="2"/>
  <c r="N174" i="2"/>
  <c r="D175" i="2"/>
  <c r="AT175" i="2"/>
  <c r="AB176" i="2"/>
  <c r="J177" i="2"/>
  <c r="AW177" i="2"/>
  <c r="AC178" i="2"/>
  <c r="L179" i="2"/>
  <c r="AW179" i="2"/>
  <c r="X180" i="2"/>
  <c r="BH180" i="2"/>
  <c r="AJ181" i="2"/>
  <c r="L182" i="2"/>
  <c r="AO182" i="2"/>
  <c r="O183" i="2"/>
  <c r="AW183" i="2"/>
  <c r="Y184" i="2"/>
  <c r="BE184" i="2"/>
  <c r="W185" i="2"/>
  <c r="BC185" i="2"/>
  <c r="AB186" i="2"/>
  <c r="BF186" i="2"/>
  <c r="Y187" i="2"/>
  <c r="BA187" i="2"/>
  <c r="Y188" i="2"/>
  <c r="BC188" i="2"/>
  <c r="AA189" i="2"/>
  <c r="AX189" i="2"/>
  <c r="U190" i="2"/>
  <c r="AT190" i="2"/>
  <c r="I191" i="2"/>
  <c r="AC191" i="2"/>
  <c r="BA191" i="2"/>
  <c r="O192" i="2"/>
  <c r="AI192" i="2"/>
  <c r="BG192" i="2"/>
  <c r="U193" i="2"/>
  <c r="AO193" i="2"/>
  <c r="G194" i="2"/>
  <c r="AA194" i="2"/>
  <c r="AU194" i="2"/>
  <c r="M195" i="2"/>
  <c r="AG195" i="2"/>
  <c r="BA195" i="2"/>
  <c r="S196" i="2"/>
  <c r="AM196" i="2"/>
  <c r="BG196" i="2"/>
  <c r="Y197" i="2"/>
  <c r="AS197" i="2"/>
  <c r="G198" i="2"/>
  <c r="AE198" i="2"/>
  <c r="AY198" i="2"/>
  <c r="M199" i="2"/>
  <c r="AK199" i="2"/>
  <c r="BE199" i="2"/>
  <c r="S200" i="2"/>
  <c r="AO200" i="2"/>
  <c r="BH200" i="2"/>
  <c r="U201" i="2"/>
  <c r="AN201" i="2"/>
  <c r="C202" i="2"/>
  <c r="W202" i="2"/>
  <c r="AP202" i="2"/>
  <c r="C203" i="2"/>
  <c r="V203" i="2"/>
  <c r="AQ203" i="2"/>
  <c r="C204" i="2"/>
  <c r="U204" i="2"/>
  <c r="AM204" i="2"/>
  <c r="BE204" i="2"/>
  <c r="Q205" i="2"/>
  <c r="AK205" i="2"/>
  <c r="BC205" i="2"/>
  <c r="N206" i="2"/>
  <c r="AE206" i="2"/>
  <c r="AV206" i="2"/>
  <c r="AC142" i="2"/>
  <c r="AC151" i="2"/>
  <c r="U155" i="2"/>
  <c r="AU158" i="2"/>
  <c r="AH161" i="2"/>
  <c r="AT163" i="2"/>
  <c r="BH164" i="2"/>
  <c r="K166" i="2"/>
  <c r="AA167" i="2"/>
  <c r="T168" i="2"/>
  <c r="S169" i="2"/>
  <c r="H170" i="2"/>
  <c r="BB170" i="2"/>
  <c r="AR171" i="2"/>
  <c r="AM172" i="2"/>
  <c r="AA173" i="2"/>
  <c r="O174" i="2"/>
  <c r="K175" i="2"/>
  <c r="BC175" i="2"/>
  <c r="AK176" i="2"/>
  <c r="R177" i="2"/>
  <c r="BF177" i="2"/>
  <c r="AM178" i="2"/>
  <c r="S179" i="2"/>
  <c r="BF179" i="2"/>
  <c r="AC180" i="2"/>
  <c r="C181" i="2"/>
  <c r="AK181" i="2"/>
  <c r="M182" i="2"/>
  <c r="AU182" i="2"/>
  <c r="P183" i="2"/>
  <c r="AX183" i="2"/>
  <c r="Z184" i="2"/>
  <c r="BF184" i="2"/>
  <c r="AA185" i="2"/>
  <c r="BD185" i="2"/>
  <c r="AC186" i="2"/>
  <c r="BG186" i="2"/>
  <c r="AE187" i="2"/>
  <c r="BB187" i="2"/>
  <c r="Z188" i="2"/>
  <c r="BD188" i="2"/>
  <c r="AB189" i="2"/>
  <c r="BA189" i="2"/>
  <c r="V190" i="2"/>
  <c r="AV190" i="2"/>
  <c r="J191" i="2"/>
  <c r="AD191" i="2"/>
  <c r="BB191" i="2"/>
  <c r="P192" i="2"/>
  <c r="AJ192" i="2"/>
  <c r="BH192" i="2"/>
  <c r="V193" i="2"/>
  <c r="AP193" i="2"/>
  <c r="H194" i="2"/>
  <c r="AB194" i="2"/>
  <c r="AV194" i="2"/>
  <c r="N195" i="2"/>
  <c r="AH195" i="2"/>
  <c r="BB195" i="2"/>
  <c r="T196" i="2"/>
  <c r="AN196" i="2"/>
  <c r="BH196" i="2"/>
  <c r="Z197" i="2"/>
  <c r="AT197" i="2"/>
  <c r="H198" i="2"/>
  <c r="AF198" i="2"/>
  <c r="AZ198" i="2"/>
  <c r="N199" i="2"/>
  <c r="AL199" i="2"/>
  <c r="BF199" i="2"/>
  <c r="T200" i="2"/>
  <c r="AP200" i="2"/>
  <c r="C201" i="2"/>
  <c r="V201" i="2"/>
  <c r="AO201" i="2"/>
  <c r="E202" i="2"/>
  <c r="X202" i="2"/>
  <c r="AQ202" i="2"/>
  <c r="D203" i="2"/>
  <c r="Y203" i="2"/>
  <c r="AR203" i="2"/>
  <c r="D204" i="2"/>
  <c r="V204" i="2"/>
  <c r="AN204" i="2"/>
  <c r="AF142" i="2"/>
  <c r="AN151" i="2"/>
  <c r="BA155" i="2"/>
  <c r="BC158" i="2"/>
  <c r="AK161" i="2"/>
  <c r="AW163" i="2"/>
  <c r="E165" i="2"/>
  <c r="AA166" i="2"/>
  <c r="AG167" i="2"/>
  <c r="W168" i="2"/>
  <c r="U169" i="2"/>
  <c r="I170" i="2"/>
  <c r="BC170" i="2"/>
  <c r="AY171" i="2"/>
  <c r="AN172" i="2"/>
  <c r="AB173" i="2"/>
  <c r="R174" i="2"/>
  <c r="N175" i="2"/>
  <c r="BD175" i="2"/>
  <c r="AM176" i="2"/>
  <c r="S177" i="2"/>
  <c r="BG177" i="2"/>
  <c r="AN178" i="2"/>
  <c r="V179" i="2"/>
  <c r="BG179" i="2"/>
  <c r="AI180" i="2"/>
  <c r="D181" i="2"/>
  <c r="AL181" i="2"/>
  <c r="N182" i="2"/>
  <c r="AV182" i="2"/>
  <c r="S183" i="2"/>
  <c r="AY183" i="2"/>
  <c r="AA184" i="2"/>
  <c r="BG184" i="2"/>
  <c r="AG185" i="2"/>
  <c r="BF185" i="2"/>
  <c r="AD186" i="2"/>
  <c r="BH186" i="2"/>
  <c r="AF187" i="2"/>
  <c r="BE187" i="2"/>
  <c r="AA188" i="2"/>
  <c r="BE188" i="2"/>
  <c r="AE144" i="2"/>
  <c r="H152" i="2"/>
  <c r="BD155" i="2"/>
  <c r="BD158" i="2"/>
  <c r="BF161" i="2"/>
  <c r="AZ163" i="2"/>
  <c r="U165" i="2"/>
  <c r="AB166" i="2"/>
  <c r="AH167" i="2"/>
  <c r="AG168" i="2"/>
  <c r="V169" i="2"/>
  <c r="J170" i="2"/>
  <c r="BF170" i="2"/>
  <c r="BE171" i="2"/>
  <c r="AO172" i="2"/>
  <c r="AC173" i="2"/>
  <c r="AC174" i="2"/>
  <c r="Q175" i="2"/>
  <c r="BE175" i="2"/>
  <c r="AN176" i="2"/>
  <c r="T177" i="2"/>
  <c r="C178" i="2"/>
  <c r="AO178" i="2"/>
  <c r="W179" i="2"/>
  <c r="BH179" i="2"/>
  <c r="AJ180" i="2"/>
  <c r="G181" i="2"/>
  <c r="AM181" i="2"/>
  <c r="O182" i="2"/>
  <c r="AW182" i="2"/>
  <c r="Y183" i="2"/>
  <c r="AZ183" i="2"/>
  <c r="AB184" i="2"/>
  <c r="BH184" i="2"/>
  <c r="AH185" i="2"/>
  <c r="C186" i="2"/>
  <c r="AE186" i="2"/>
  <c r="C187" i="2"/>
  <c r="AG187" i="2"/>
  <c r="E188" i="2"/>
  <c r="AB188" i="2"/>
  <c r="BF188" i="2"/>
  <c r="AD189" i="2"/>
  <c r="BH189" i="2"/>
  <c r="X190" i="2"/>
  <c r="AX190" i="2"/>
  <c r="L191" i="2"/>
  <c r="AJ191" i="2"/>
  <c r="BD191" i="2"/>
  <c r="R192" i="2"/>
  <c r="AP192" i="2"/>
  <c r="D193" i="2"/>
  <c r="X193" i="2"/>
  <c r="AV193" i="2"/>
  <c r="J194" i="2"/>
  <c r="AD194" i="2"/>
  <c r="BB194" i="2"/>
  <c r="P195" i="2"/>
  <c r="AJ195" i="2"/>
  <c r="BH195" i="2"/>
  <c r="V196" i="2"/>
  <c r="AP196" i="2"/>
  <c r="H197" i="2"/>
  <c r="AB197" i="2"/>
  <c r="AV197" i="2"/>
  <c r="N198" i="2"/>
  <c r="AH198" i="2"/>
  <c r="AF144" i="2"/>
  <c r="X152" i="2"/>
  <c r="BE155" i="2"/>
  <c r="U159" i="2"/>
  <c r="D162" i="2"/>
  <c r="L164" i="2"/>
  <c r="V165" i="2"/>
  <c r="AC166" i="2"/>
  <c r="AI167" i="2"/>
  <c r="AM168" i="2"/>
  <c r="S146" i="2"/>
  <c r="AA152" i="2"/>
  <c r="X156" i="2"/>
  <c r="AE159" i="2"/>
  <c r="G162" i="2"/>
  <c r="M164" i="2"/>
  <c r="W165" i="2"/>
  <c r="AD166" i="2"/>
  <c r="AJ167" i="2"/>
  <c r="AN168" i="2"/>
  <c r="Z169" i="2"/>
  <c r="P170" i="2"/>
  <c r="M171" i="2"/>
  <c r="BG171" i="2"/>
  <c r="AU172" i="2"/>
  <c r="AQ173" i="2"/>
  <c r="AF174" i="2"/>
  <c r="S175" i="2"/>
  <c r="BG175" i="2"/>
  <c r="AP176" i="2"/>
  <c r="V177" i="2"/>
  <c r="E178" i="2"/>
  <c r="AQ178" i="2"/>
  <c r="Z179" i="2"/>
  <c r="D180" i="2"/>
  <c r="AL180" i="2"/>
  <c r="N181" i="2"/>
  <c r="AQ181" i="2"/>
  <c r="Q182" i="2"/>
  <c r="AY182" i="2"/>
  <c r="AA183" i="2"/>
  <c r="E184" i="2"/>
  <c r="AD184" i="2"/>
  <c r="D185" i="2"/>
  <c r="AJ185" i="2"/>
  <c r="J186" i="2"/>
  <c r="AI186" i="2"/>
  <c r="E187" i="2"/>
  <c r="T146" i="2"/>
  <c r="H153" i="2"/>
  <c r="AK156" i="2"/>
  <c r="AF159" i="2"/>
  <c r="Z162" i="2"/>
  <c r="N164" i="2"/>
  <c r="X165" i="2"/>
  <c r="AE166" i="2"/>
  <c r="AK167" i="2"/>
  <c r="AO168" i="2"/>
  <c r="AC169" i="2"/>
  <c r="Y170" i="2"/>
  <c r="N171" i="2"/>
  <c r="BH171" i="2"/>
  <c r="AX172" i="2"/>
  <c r="AS173" i="2"/>
  <c r="AG174" i="2"/>
  <c r="T175" i="2"/>
  <c r="D176" i="2"/>
  <c r="AQ176" i="2"/>
  <c r="W177" i="2"/>
  <c r="F178" i="2"/>
  <c r="AR178" i="2"/>
  <c r="AA179" i="2"/>
  <c r="E180" i="2"/>
  <c r="AM180" i="2"/>
  <c r="O181" i="2"/>
  <c r="AY181" i="2"/>
  <c r="R182" i="2"/>
  <c r="AZ182" i="2"/>
  <c r="AD183" i="2"/>
  <c r="F184" i="2"/>
  <c r="AG184" i="2"/>
  <c r="E185" i="2"/>
  <c r="AK185" i="2"/>
  <c r="K186" i="2"/>
  <c r="AO186" i="2"/>
  <c r="F187" i="2"/>
  <c r="AJ187" i="2"/>
  <c r="H188" i="2"/>
  <c r="AL188" i="2"/>
  <c r="E189" i="2"/>
  <c r="AG189" i="2"/>
  <c r="E190" i="2"/>
  <c r="AF190" i="2"/>
  <c r="BA190" i="2"/>
  <c r="Q191" i="2"/>
  <c r="AX147" i="2"/>
  <c r="AY167" i="2"/>
  <c r="AR172" i="2"/>
  <c r="AR176" i="2"/>
  <c r="I180" i="2"/>
  <c r="Z183" i="2"/>
  <c r="L186" i="2"/>
  <c r="I188" i="2"/>
  <c r="AH189" i="2"/>
  <c r="AY190" i="2"/>
  <c r="AO191" i="2"/>
  <c r="AM192" i="2"/>
  <c r="Z193" i="2"/>
  <c r="N194" i="2"/>
  <c r="D195" i="2"/>
  <c r="C196" i="2"/>
  <c r="AU196" i="2"/>
  <c r="AG197" i="2"/>
  <c r="AG198" i="2"/>
  <c r="T199" i="2"/>
  <c r="BH199" i="2"/>
  <c r="AR200" i="2"/>
  <c r="X201" i="2"/>
  <c r="G202" i="2"/>
  <c r="AS202" i="2"/>
  <c r="AB203" i="2"/>
  <c r="F204" i="2"/>
  <c r="AP204" i="2"/>
  <c r="R205" i="2"/>
  <c r="AS205" i="2"/>
  <c r="T206" i="2"/>
  <c r="AZ206" i="2"/>
  <c r="W207" i="2"/>
  <c r="AS207" i="2"/>
  <c r="O208" i="2"/>
  <c r="AK208" i="2"/>
  <c r="G209" i="2"/>
  <c r="AI209" i="2"/>
  <c r="BE209" i="2"/>
  <c r="AA210" i="2"/>
  <c r="AW210" i="2"/>
  <c r="S211" i="2"/>
  <c r="AU211" i="2"/>
  <c r="J212" i="2"/>
  <c r="AI212" i="2"/>
  <c r="BE212" i="2"/>
  <c r="V213" i="2"/>
  <c r="AT213" i="2"/>
  <c r="I214" i="2"/>
  <c r="AH214" i="2"/>
  <c r="BB214" i="2"/>
  <c r="R215" i="2"/>
  <c r="AN215" i="2"/>
  <c r="BH215" i="2"/>
  <c r="X216" i="2"/>
  <c r="AT216" i="2"/>
  <c r="H217" i="2"/>
  <c r="AD217" i="2"/>
  <c r="AZ217" i="2"/>
  <c r="N218" i="2"/>
  <c r="AJ218" i="2"/>
  <c r="BF218" i="2"/>
  <c r="T219" i="2"/>
  <c r="AM219" i="2"/>
  <c r="C220" i="2"/>
  <c r="V220" i="2"/>
  <c r="AO220" i="2"/>
  <c r="BG220" i="2"/>
  <c r="S221" i="2"/>
  <c r="AM221" i="2"/>
  <c r="BE221" i="2"/>
  <c r="Q222" i="2"/>
  <c r="AI222" i="2"/>
  <c r="BA222" i="2"/>
  <c r="M223" i="2"/>
  <c r="AE223" i="2"/>
  <c r="AY223" i="2"/>
  <c r="K224" i="2"/>
  <c r="AC224" i="2"/>
  <c r="AU224" i="2"/>
  <c r="G225" i="2"/>
  <c r="Y225" i="2"/>
  <c r="AQ225" i="2"/>
  <c r="E226" i="2"/>
  <c r="W226" i="2"/>
  <c r="AO226" i="2"/>
  <c r="BG226" i="2"/>
  <c r="S227" i="2"/>
  <c r="AK227" i="2"/>
  <c r="BB227" i="2"/>
  <c r="L228" i="2"/>
  <c r="AB228" i="2"/>
  <c r="AR228" i="2"/>
  <c r="BH228" i="2"/>
  <c r="R229" i="2"/>
  <c r="AH229" i="2"/>
  <c r="AX229" i="2"/>
  <c r="H230" i="2"/>
  <c r="X230" i="2"/>
  <c r="AN230" i="2"/>
  <c r="BD230" i="2"/>
  <c r="N231" i="2"/>
  <c r="AD231" i="2"/>
  <c r="AT231" i="2"/>
  <c r="D232" i="2"/>
  <c r="T232" i="2"/>
  <c r="AJ232" i="2"/>
  <c r="AZ232" i="2"/>
  <c r="J233" i="2"/>
  <c r="Z233" i="2"/>
  <c r="AP233" i="2"/>
  <c r="BF233" i="2"/>
  <c r="P234" i="2"/>
  <c r="AF234" i="2"/>
  <c r="AV234" i="2"/>
  <c r="F235" i="2"/>
  <c r="V235" i="2"/>
  <c r="AL235" i="2"/>
  <c r="BB235" i="2"/>
  <c r="L236" i="2"/>
  <c r="AB236" i="2"/>
  <c r="AR236" i="2"/>
  <c r="BH236" i="2"/>
  <c r="R237" i="2"/>
  <c r="AH237" i="2"/>
  <c r="AX237" i="2"/>
  <c r="H238" i="2"/>
  <c r="X238" i="2"/>
  <c r="AN238" i="2"/>
  <c r="BD238" i="2"/>
  <c r="N239" i="2"/>
  <c r="AD239" i="2"/>
  <c r="AT239" i="2"/>
  <c r="D240" i="2"/>
  <c r="T240" i="2"/>
  <c r="AJ240" i="2"/>
  <c r="AZ240" i="2"/>
  <c r="J241" i="2"/>
  <c r="Z241" i="2"/>
  <c r="AP241" i="2"/>
  <c r="BF241" i="2"/>
  <c r="P242" i="2"/>
  <c r="AF242" i="2"/>
  <c r="AV242" i="2"/>
  <c r="F243" i="2"/>
  <c r="V243" i="2"/>
  <c r="AL243" i="2"/>
  <c r="BB243" i="2"/>
  <c r="L244" i="2"/>
  <c r="AB244" i="2"/>
  <c r="BA147" i="2"/>
  <c r="BA167" i="2"/>
  <c r="BE172" i="2"/>
  <c r="AU176" i="2"/>
  <c r="AK180" i="2"/>
  <c r="AE183" i="2"/>
  <c r="M186" i="2"/>
  <c r="J188" i="2"/>
  <c r="AK189" i="2"/>
  <c r="AZ190" i="2"/>
  <c r="AR191" i="2"/>
  <c r="AQ192" i="2"/>
  <c r="AC193" i="2"/>
  <c r="O194" i="2"/>
  <c r="O195" i="2"/>
  <c r="D196" i="2"/>
  <c r="AX196" i="2"/>
  <c r="AN197" i="2"/>
  <c r="AI198" i="2"/>
  <c r="U199" i="2"/>
  <c r="C200" i="2"/>
  <c r="AS200" i="2"/>
  <c r="Y201" i="2"/>
  <c r="H202" i="2"/>
  <c r="AT202" i="2"/>
  <c r="AC203" i="2"/>
  <c r="G204" i="2"/>
  <c r="AQ204" i="2"/>
  <c r="U205" i="2"/>
  <c r="AV205" i="2"/>
  <c r="U206" i="2"/>
  <c r="BA206" i="2"/>
  <c r="X207" i="2"/>
  <c r="AT207" i="2"/>
  <c r="P208" i="2"/>
  <c r="AN208" i="2"/>
  <c r="H209" i="2"/>
  <c r="AJ209" i="2"/>
  <c r="BF209" i="2"/>
  <c r="AB210" i="2"/>
  <c r="AZ210" i="2"/>
  <c r="T211" i="2"/>
  <c r="AV211" i="2"/>
  <c r="K212" i="2"/>
  <c r="AK212" i="2"/>
  <c r="BF212" i="2"/>
  <c r="Y213" i="2"/>
  <c r="AU213" i="2"/>
  <c r="L214" i="2"/>
  <c r="AI214" i="2"/>
  <c r="BC214" i="2"/>
  <c r="U215" i="2"/>
  <c r="AO215" i="2"/>
  <c r="C216" i="2"/>
  <c r="AA216" i="2"/>
  <c r="AU216" i="2"/>
  <c r="I217" i="2"/>
  <c r="AG217" i="2"/>
  <c r="BA217" i="2"/>
  <c r="O218" i="2"/>
  <c r="AM218" i="2"/>
  <c r="BG218" i="2"/>
  <c r="U219" i="2"/>
  <c r="AP219" i="2"/>
  <c r="D220" i="2"/>
  <c r="W220" i="2"/>
  <c r="AP220" i="2"/>
  <c r="BH220" i="2"/>
  <c r="V221" i="2"/>
  <c r="AN221" i="2"/>
  <c r="BF221" i="2"/>
  <c r="R222" i="2"/>
  <c r="AJ222" i="2"/>
  <c r="BB222" i="2"/>
  <c r="N223" i="2"/>
  <c r="AH223" i="2"/>
  <c r="AZ223" i="2"/>
  <c r="L224" i="2"/>
  <c r="AD224" i="2"/>
  <c r="AV224" i="2"/>
  <c r="H225" i="2"/>
  <c r="Z225" i="2"/>
  <c r="AT225" i="2"/>
  <c r="F226" i="2"/>
  <c r="X226" i="2"/>
  <c r="AP226" i="2"/>
  <c r="BH226" i="2"/>
  <c r="T227" i="2"/>
  <c r="AL227" i="2"/>
  <c r="BC227" i="2"/>
  <c r="M228" i="2"/>
  <c r="AC228" i="2"/>
  <c r="AS228" i="2"/>
  <c r="C229" i="2"/>
  <c r="S229" i="2"/>
  <c r="AI229" i="2"/>
  <c r="AY229" i="2"/>
  <c r="I230" i="2"/>
  <c r="Y230" i="2"/>
  <c r="AO230" i="2"/>
  <c r="BE230" i="2"/>
  <c r="O231" i="2"/>
  <c r="AE231" i="2"/>
  <c r="AU231" i="2"/>
  <c r="E232" i="2"/>
  <c r="U232" i="2"/>
  <c r="AK232" i="2"/>
  <c r="BA232" i="2"/>
  <c r="K233" i="2"/>
  <c r="AA233" i="2"/>
  <c r="AQ233" i="2"/>
  <c r="BG233" i="2"/>
  <c r="Q234" i="2"/>
  <c r="AG234" i="2"/>
  <c r="AW234" i="2"/>
  <c r="G235" i="2"/>
  <c r="W235" i="2"/>
  <c r="AM235" i="2"/>
  <c r="BC235" i="2"/>
  <c r="M236" i="2"/>
  <c r="AC236" i="2"/>
  <c r="AS236" i="2"/>
  <c r="C237" i="2"/>
  <c r="S237" i="2"/>
  <c r="AI237" i="2"/>
  <c r="AY237" i="2"/>
  <c r="I238" i="2"/>
  <c r="Y238" i="2"/>
  <c r="AO238" i="2"/>
  <c r="BE238" i="2"/>
  <c r="O239" i="2"/>
  <c r="AE239" i="2"/>
  <c r="AU239" i="2"/>
  <c r="E240" i="2"/>
  <c r="U240" i="2"/>
  <c r="AK240" i="2"/>
  <c r="BA240" i="2"/>
  <c r="K241" i="2"/>
  <c r="AA241" i="2"/>
  <c r="AQ241" i="2"/>
  <c r="BG241" i="2"/>
  <c r="Q242" i="2"/>
  <c r="AG242" i="2"/>
  <c r="AW242" i="2"/>
  <c r="G243" i="2"/>
  <c r="W243" i="2"/>
  <c r="AM243" i="2"/>
  <c r="BC243" i="2"/>
  <c r="M244" i="2"/>
  <c r="AC244" i="2"/>
  <c r="AS244" i="2"/>
  <c r="C245" i="2"/>
  <c r="S245" i="2"/>
  <c r="AI245" i="2"/>
  <c r="AY245" i="2"/>
  <c r="I246" i="2"/>
  <c r="Y246" i="2"/>
  <c r="AO246" i="2"/>
  <c r="BE246" i="2"/>
  <c r="L153" i="2"/>
  <c r="AP168" i="2"/>
  <c r="E173" i="2"/>
  <c r="U177" i="2"/>
  <c r="AN180" i="2"/>
  <c r="AF183" i="2"/>
  <c r="AF186" i="2"/>
  <c r="O188" i="2"/>
  <c r="AS189" i="2"/>
  <c r="BB190" i="2"/>
  <c r="BC191" i="2"/>
  <c r="AR192" i="2"/>
  <c r="AF193" i="2"/>
  <c r="V194" i="2"/>
  <c r="Q195" i="2"/>
  <c r="E196" i="2"/>
  <c r="AY196" i="2"/>
  <c r="AU197" i="2"/>
  <c r="AJ198" i="2"/>
  <c r="V199" i="2"/>
  <c r="D200" i="2"/>
  <c r="AT200" i="2"/>
  <c r="Z201" i="2"/>
  <c r="I202" i="2"/>
  <c r="AU202" i="2"/>
  <c r="AD203" i="2"/>
  <c r="H204" i="2"/>
  <c r="AR204" i="2"/>
  <c r="V205" i="2"/>
  <c r="BD205" i="2"/>
  <c r="V206" i="2"/>
  <c r="BB206" i="2"/>
  <c r="Y207" i="2"/>
  <c r="AU207" i="2"/>
  <c r="Q208" i="2"/>
  <c r="AS208" i="2"/>
  <c r="I209" i="2"/>
  <c r="AK209" i="2"/>
  <c r="BG209" i="2"/>
  <c r="AC210" i="2"/>
  <c r="BE210" i="2"/>
  <c r="U211" i="2"/>
  <c r="AW211" i="2"/>
  <c r="L212" i="2"/>
  <c r="AL212" i="2"/>
  <c r="BG212" i="2"/>
  <c r="AA213" i="2"/>
  <c r="AV213" i="2"/>
  <c r="O214" i="2"/>
  <c r="AJ214" i="2"/>
  <c r="BD214" i="2"/>
  <c r="V215" i="2"/>
  <c r="AP215" i="2"/>
  <c r="D216" i="2"/>
  <c r="AB216" i="2"/>
  <c r="AV216" i="2"/>
  <c r="J217" i="2"/>
  <c r="AH217" i="2"/>
  <c r="BB217" i="2"/>
  <c r="P218" i="2"/>
  <c r="AN218" i="2"/>
  <c r="BH218" i="2"/>
  <c r="V219" i="2"/>
  <c r="AR219" i="2"/>
  <c r="E220" i="2"/>
  <c r="X220" i="2"/>
  <c r="AQ220" i="2"/>
  <c r="C221" i="2"/>
  <c r="W221" i="2"/>
  <c r="AO221" i="2"/>
  <c r="BG221" i="2"/>
  <c r="S222" i="2"/>
  <c r="AK222" i="2"/>
  <c r="BC222" i="2"/>
  <c r="O223" i="2"/>
  <c r="AI223" i="2"/>
  <c r="BA223" i="2"/>
  <c r="M224" i="2"/>
  <c r="AE224" i="2"/>
  <c r="AW224" i="2"/>
  <c r="I225" i="2"/>
  <c r="AA225" i="2"/>
  <c r="AU225" i="2"/>
  <c r="G226" i="2"/>
  <c r="Y226" i="2"/>
  <c r="AQ226" i="2"/>
  <c r="C227" i="2"/>
  <c r="U227" i="2"/>
  <c r="AM227" i="2"/>
  <c r="BD227" i="2"/>
  <c r="N228" i="2"/>
  <c r="AD228" i="2"/>
  <c r="AT228" i="2"/>
  <c r="D229" i="2"/>
  <c r="T229" i="2"/>
  <c r="AJ229" i="2"/>
  <c r="AZ229" i="2"/>
  <c r="J230" i="2"/>
  <c r="Z230" i="2"/>
  <c r="AP230" i="2"/>
  <c r="BF230" i="2"/>
  <c r="P231" i="2"/>
  <c r="AF231" i="2"/>
  <c r="AV231" i="2"/>
  <c r="F232" i="2"/>
  <c r="V232" i="2"/>
  <c r="AL232" i="2"/>
  <c r="BB232" i="2"/>
  <c r="L233" i="2"/>
  <c r="AB233" i="2"/>
  <c r="AR233" i="2"/>
  <c r="BH233" i="2"/>
  <c r="R234" i="2"/>
  <c r="AH234" i="2"/>
  <c r="AX234" i="2"/>
  <c r="H235" i="2"/>
  <c r="X235" i="2"/>
  <c r="AN235" i="2"/>
  <c r="BD235" i="2"/>
  <c r="N236" i="2"/>
  <c r="AD236" i="2"/>
  <c r="AT236" i="2"/>
  <c r="D237" i="2"/>
  <c r="T237" i="2"/>
  <c r="AJ237" i="2"/>
  <c r="AZ237" i="2"/>
  <c r="J238" i="2"/>
  <c r="Z238" i="2"/>
  <c r="AP238" i="2"/>
  <c r="BF238" i="2"/>
  <c r="P239" i="2"/>
  <c r="AF239" i="2"/>
  <c r="AV239" i="2"/>
  <c r="F240" i="2"/>
  <c r="V240" i="2"/>
  <c r="AL240" i="2"/>
  <c r="BB240" i="2"/>
  <c r="L241" i="2"/>
  <c r="AB241" i="2"/>
  <c r="AR241" i="2"/>
  <c r="BH241" i="2"/>
  <c r="R242" i="2"/>
  <c r="AH242" i="2"/>
  <c r="AX242" i="2"/>
  <c r="H243" i="2"/>
  <c r="X243" i="2"/>
  <c r="AN243" i="2"/>
  <c r="BD243" i="2"/>
  <c r="N244" i="2"/>
  <c r="AD244" i="2"/>
  <c r="AT244" i="2"/>
  <c r="D245" i="2"/>
  <c r="T245" i="2"/>
  <c r="AJ245" i="2"/>
  <c r="AZ245" i="2"/>
  <c r="J246" i="2"/>
  <c r="Z246" i="2"/>
  <c r="AP246" i="2"/>
  <c r="BF246" i="2"/>
  <c r="P247" i="2"/>
  <c r="AF247" i="2"/>
  <c r="AV247" i="2"/>
  <c r="M153" i="2"/>
  <c r="AQ168" i="2"/>
  <c r="AH173" i="2"/>
  <c r="Z177" i="2"/>
  <c r="AO180" i="2"/>
  <c r="BC183" i="2"/>
  <c r="AP186" i="2"/>
  <c r="AE188" i="2"/>
  <c r="BG189" i="2"/>
  <c r="BC190" i="2"/>
  <c r="BE191" i="2"/>
  <c r="AS192" i="2"/>
  <c r="AG193" i="2"/>
  <c r="AC194" i="2"/>
  <c r="R195" i="2"/>
  <c r="F196" i="2"/>
  <c r="BB196" i="2"/>
  <c r="AW197" i="2"/>
  <c r="AK198" i="2"/>
  <c r="W199" i="2"/>
  <c r="G200" i="2"/>
  <c r="AU200" i="2"/>
  <c r="AC201" i="2"/>
  <c r="J202" i="2"/>
  <c r="AV202" i="2"/>
  <c r="AE203" i="2"/>
  <c r="I204" i="2"/>
  <c r="AU204" i="2"/>
  <c r="W205" i="2"/>
  <c r="BE205" i="2"/>
  <c r="Y206" i="2"/>
  <c r="BC206" i="2"/>
  <c r="Z207" i="2"/>
  <c r="AX207" i="2"/>
  <c r="R208" i="2"/>
  <c r="AT208" i="2"/>
  <c r="J209" i="2"/>
  <c r="AL209" i="2"/>
  <c r="D210" i="2"/>
  <c r="AD210" i="2"/>
  <c r="BF210" i="2"/>
  <c r="V211" i="2"/>
  <c r="AX211" i="2"/>
  <c r="M212" i="2"/>
  <c r="AM212" i="2"/>
  <c r="BH212" i="2"/>
  <c r="AB213" i="2"/>
  <c r="AW213" i="2"/>
  <c r="Q214" i="2"/>
  <c r="AK214" i="2"/>
  <c r="BE214" i="2"/>
  <c r="W215" i="2"/>
  <c r="AQ215" i="2"/>
  <c r="E216" i="2"/>
  <c r="AC216" i="2"/>
  <c r="AW216" i="2"/>
  <c r="K217" i="2"/>
  <c r="AI217" i="2"/>
  <c r="BC217" i="2"/>
  <c r="Q218" i="2"/>
  <c r="AO218" i="2"/>
  <c r="C219" i="2"/>
  <c r="W219" i="2"/>
  <c r="AS219" i="2"/>
  <c r="F220" i="2"/>
  <c r="Y220" i="2"/>
  <c r="AR220" i="2"/>
  <c r="F221" i="2"/>
  <c r="X221" i="2"/>
  <c r="AP221" i="2"/>
  <c r="BH221" i="2"/>
  <c r="T222" i="2"/>
  <c r="AL222" i="2"/>
  <c r="BD222" i="2"/>
  <c r="R223" i="2"/>
  <c r="AJ223" i="2"/>
  <c r="BB223" i="2"/>
  <c r="N224" i="2"/>
  <c r="AF224" i="2"/>
  <c r="AX224" i="2"/>
  <c r="J225" i="2"/>
  <c r="AD225" i="2"/>
  <c r="AV225" i="2"/>
  <c r="H226" i="2"/>
  <c r="Z226" i="2"/>
  <c r="AR226" i="2"/>
  <c r="D227" i="2"/>
  <c r="V227" i="2"/>
  <c r="AO227" i="2"/>
  <c r="BE227" i="2"/>
  <c r="O228" i="2"/>
  <c r="AE228" i="2"/>
  <c r="AU228" i="2"/>
  <c r="E229" i="2"/>
  <c r="U229" i="2"/>
  <c r="AK229" i="2"/>
  <c r="BA229" i="2"/>
  <c r="K230" i="2"/>
  <c r="AA230" i="2"/>
  <c r="AQ230" i="2"/>
  <c r="BG230" i="2"/>
  <c r="Q231" i="2"/>
  <c r="AG231" i="2"/>
  <c r="AW231" i="2"/>
  <c r="G232" i="2"/>
  <c r="W232" i="2"/>
  <c r="AM232" i="2"/>
  <c r="BC232" i="2"/>
  <c r="M233" i="2"/>
  <c r="AC233" i="2"/>
  <c r="AS233" i="2"/>
  <c r="C234" i="2"/>
  <c r="S234" i="2"/>
  <c r="AI234" i="2"/>
  <c r="AY234" i="2"/>
  <c r="I235" i="2"/>
  <c r="Y235" i="2"/>
  <c r="AO235" i="2"/>
  <c r="BE235" i="2"/>
  <c r="O236" i="2"/>
  <c r="AE236" i="2"/>
  <c r="AU236" i="2"/>
  <c r="E237" i="2"/>
  <c r="U237" i="2"/>
  <c r="AK237" i="2"/>
  <c r="BA237" i="2"/>
  <c r="K238" i="2"/>
  <c r="AL156" i="2"/>
  <c r="W169" i="2"/>
  <c r="AT173" i="2"/>
  <c r="AD177" i="2"/>
  <c r="M181" i="2"/>
  <c r="G184" i="2"/>
  <c r="AQ186" i="2"/>
  <c r="AK188" i="2"/>
  <c r="C190" i="2"/>
  <c r="D191" i="2"/>
  <c r="BF191" i="2"/>
  <c r="AT192" i="2"/>
  <c r="AJ193" i="2"/>
  <c r="AE194" i="2"/>
  <c r="S195" i="2"/>
  <c r="G196" i="2"/>
  <c r="E197" i="2"/>
  <c r="AX197" i="2"/>
  <c r="AL198" i="2"/>
  <c r="X199" i="2"/>
  <c r="J200" i="2"/>
  <c r="AV200" i="2"/>
  <c r="AE201" i="2"/>
  <c r="K202" i="2"/>
  <c r="AY202" i="2"/>
  <c r="AF203" i="2"/>
  <c r="J204" i="2"/>
  <c r="AV204" i="2"/>
  <c r="X205" i="2"/>
  <c r="BF205" i="2"/>
  <c r="AF206" i="2"/>
  <c r="BD206" i="2"/>
  <c r="AA207" i="2"/>
  <c r="BC207" i="2"/>
  <c r="S208" i="2"/>
  <c r="AU208" i="2"/>
  <c r="K209" i="2"/>
  <c r="AM209" i="2"/>
  <c r="I210" i="2"/>
  <c r="AE210" i="2"/>
  <c r="BG210" i="2"/>
  <c r="W211" i="2"/>
  <c r="AY211" i="2"/>
  <c r="P212" i="2"/>
  <c r="AN212" i="2"/>
  <c r="C213" i="2"/>
  <c r="AC213" i="2"/>
  <c r="AX213" i="2"/>
  <c r="R214" i="2"/>
  <c r="AL214" i="2"/>
  <c r="BH214" i="2"/>
  <c r="X215" i="2"/>
  <c r="AR215" i="2"/>
  <c r="H216" i="2"/>
  <c r="AD216" i="2"/>
  <c r="AX216" i="2"/>
  <c r="N217" i="2"/>
  <c r="AJ217" i="2"/>
  <c r="BD217" i="2"/>
  <c r="T218" i="2"/>
  <c r="AP218" i="2"/>
  <c r="D219" i="2"/>
  <c r="Z219" i="2"/>
  <c r="AT219" i="2"/>
  <c r="G220" i="2"/>
  <c r="Z220" i="2"/>
  <c r="AS220" i="2"/>
  <c r="G221" i="2"/>
  <c r="Y221" i="2"/>
  <c r="AQ221" i="2"/>
  <c r="C222" i="2"/>
  <c r="U222" i="2"/>
  <c r="AM222" i="2"/>
  <c r="BE222" i="2"/>
  <c r="BH156" i="2"/>
  <c r="AF169" i="2"/>
  <c r="AU173" i="2"/>
  <c r="D178" i="2"/>
  <c r="R181" i="2"/>
  <c r="H184" i="2"/>
  <c r="D187" i="2"/>
  <c r="AM188" i="2"/>
  <c r="D190" i="2"/>
  <c r="K191" i="2"/>
  <c r="BG191" i="2"/>
  <c r="AU192" i="2"/>
  <c r="AS193" i="2"/>
  <c r="AF194" i="2"/>
  <c r="T195" i="2"/>
  <c r="J196" i="2"/>
  <c r="I197" i="2"/>
  <c r="BA197" i="2"/>
  <c r="AM198" i="2"/>
  <c r="Y199" i="2"/>
  <c r="K200" i="2"/>
  <c r="AW200" i="2"/>
  <c r="AF201" i="2"/>
  <c r="L202" i="2"/>
  <c r="BA202" i="2"/>
  <c r="AG203" i="2"/>
  <c r="K204" i="2"/>
  <c r="AW204" i="2"/>
  <c r="Y205" i="2"/>
  <c r="BG205" i="2"/>
  <c r="AG206" i="2"/>
  <c r="BH206" i="2"/>
  <c r="AB207" i="2"/>
  <c r="BD207" i="2"/>
  <c r="T208" i="2"/>
  <c r="AV208" i="2"/>
  <c r="N209" i="2"/>
  <c r="AN209" i="2"/>
  <c r="J210" i="2"/>
  <c r="AF210" i="2"/>
  <c r="BH210" i="2"/>
  <c r="Z211" i="2"/>
  <c r="AZ211" i="2"/>
  <c r="S212" i="2"/>
  <c r="AO212" i="2"/>
  <c r="F213" i="2"/>
  <c r="AD213" i="2"/>
  <c r="AY213" i="2"/>
  <c r="S214" i="2"/>
  <c r="AM214" i="2"/>
  <c r="E215" i="2"/>
  <c r="Y215" i="2"/>
  <c r="AS215" i="2"/>
  <c r="K216" i="2"/>
  <c r="AE216" i="2"/>
  <c r="AY216" i="2"/>
  <c r="Q217" i="2"/>
  <c r="AK217" i="2"/>
  <c r="BE217" i="2"/>
  <c r="W218" i="2"/>
  <c r="AQ218" i="2"/>
  <c r="E219" i="2"/>
  <c r="AB219" i="2"/>
  <c r="AU219" i="2"/>
  <c r="H220" i="2"/>
  <c r="AA220" i="2"/>
  <c r="AV220" i="2"/>
  <c r="H221" i="2"/>
  <c r="Z221" i="2"/>
  <c r="AR221" i="2"/>
  <c r="D222" i="2"/>
  <c r="V222" i="2"/>
  <c r="AN222" i="2"/>
  <c r="BH222" i="2"/>
  <c r="T223" i="2"/>
  <c r="AL223" i="2"/>
  <c r="BD223" i="2"/>
  <c r="P224" i="2"/>
  <c r="AH224" i="2"/>
  <c r="AZ224" i="2"/>
  <c r="N225" i="2"/>
  <c r="AF225" i="2"/>
  <c r="AX225" i="2"/>
  <c r="J226" i="2"/>
  <c r="AB226" i="2"/>
  <c r="AT226" i="2"/>
  <c r="F227" i="2"/>
  <c r="Z227" i="2"/>
  <c r="AQ227" i="2"/>
  <c r="BG227" i="2"/>
  <c r="Q228" i="2"/>
  <c r="AG228" i="2"/>
  <c r="AW228" i="2"/>
  <c r="G229" i="2"/>
  <c r="W229" i="2"/>
  <c r="AM229" i="2"/>
  <c r="BC229" i="2"/>
  <c r="M230" i="2"/>
  <c r="AC230" i="2"/>
  <c r="AS230" i="2"/>
  <c r="C231" i="2"/>
  <c r="S231" i="2"/>
  <c r="AI231" i="2"/>
  <c r="AY231" i="2"/>
  <c r="I232" i="2"/>
  <c r="Y232" i="2"/>
  <c r="AO232" i="2"/>
  <c r="BE232" i="2"/>
  <c r="O233" i="2"/>
  <c r="AE233" i="2"/>
  <c r="AU233" i="2"/>
  <c r="E234" i="2"/>
  <c r="U234" i="2"/>
  <c r="AK234" i="2"/>
  <c r="BA234" i="2"/>
  <c r="K235" i="2"/>
  <c r="AA235" i="2"/>
  <c r="AQ235" i="2"/>
  <c r="BG235" i="2"/>
  <c r="Q236" i="2"/>
  <c r="AG236" i="2"/>
  <c r="AW236" i="2"/>
  <c r="G237" i="2"/>
  <c r="BC159" i="2"/>
  <c r="AM169" i="2"/>
  <c r="AE174" i="2"/>
  <c r="G178" i="2"/>
  <c r="S181" i="2"/>
  <c r="AC184" i="2"/>
  <c r="I187" i="2"/>
  <c r="AN188" i="2"/>
  <c r="F190" i="2"/>
  <c r="M191" i="2"/>
  <c r="BH191" i="2"/>
  <c r="AX192" i="2"/>
  <c r="AW193" i="2"/>
  <c r="AI194" i="2"/>
  <c r="U195" i="2"/>
  <c r="U196" i="2"/>
  <c r="J197" i="2"/>
  <c r="BD197" i="2"/>
  <c r="AT198" i="2"/>
  <c r="AB199" i="2"/>
  <c r="N200" i="2"/>
  <c r="AZ200" i="2"/>
  <c r="AI201" i="2"/>
  <c r="O202" i="2"/>
  <c r="BD202" i="2"/>
  <c r="AJ203" i="2"/>
  <c r="P204" i="2"/>
  <c r="AZ204" i="2"/>
  <c r="Z205" i="2"/>
  <c r="BH205" i="2"/>
  <c r="AH206" i="2"/>
  <c r="G207" i="2"/>
  <c r="AC207" i="2"/>
  <c r="BE207" i="2"/>
  <c r="U208" i="2"/>
  <c r="AW208" i="2"/>
  <c r="S209" i="2"/>
  <c r="AO209" i="2"/>
  <c r="K210" i="2"/>
  <c r="AG210" i="2"/>
  <c r="C211" i="2"/>
  <c r="AE211" i="2"/>
  <c r="BA211" i="2"/>
  <c r="U212" i="2"/>
  <c r="AP212" i="2"/>
  <c r="I213" i="2"/>
  <c r="AE213" i="2"/>
  <c r="BB213" i="2"/>
  <c r="T214" i="2"/>
  <c r="AN214" i="2"/>
  <c r="F215" i="2"/>
  <c r="Z215" i="2"/>
  <c r="AT215" i="2"/>
  <c r="L216" i="2"/>
  <c r="AF216" i="2"/>
  <c r="AZ216" i="2"/>
  <c r="R217" i="2"/>
  <c r="AL217" i="2"/>
  <c r="BF217" i="2"/>
  <c r="X218" i="2"/>
  <c r="AR218" i="2"/>
  <c r="F219" i="2"/>
  <c r="AC219" i="2"/>
  <c r="AV219" i="2"/>
  <c r="I220" i="2"/>
  <c r="AB220" i="2"/>
  <c r="AW220" i="2"/>
  <c r="I221" i="2"/>
  <c r="AA221" i="2"/>
  <c r="AS221" i="2"/>
  <c r="E222" i="2"/>
  <c r="W222" i="2"/>
  <c r="AO222" i="2"/>
  <c r="C223" i="2"/>
  <c r="U223" i="2"/>
  <c r="AM223" i="2"/>
  <c r="BE223" i="2"/>
  <c r="Q224" i="2"/>
  <c r="AI224" i="2"/>
  <c r="BA224" i="2"/>
  <c r="O225" i="2"/>
  <c r="AG225" i="2"/>
  <c r="AY225" i="2"/>
  <c r="K226" i="2"/>
  <c r="AC226" i="2"/>
  <c r="AU226" i="2"/>
  <c r="G227" i="2"/>
  <c r="AA227" i="2"/>
  <c r="AR227" i="2"/>
  <c r="BF159" i="2"/>
  <c r="K170" i="2"/>
  <c r="AH174" i="2"/>
  <c r="J178" i="2"/>
  <c r="AN181" i="2"/>
  <c r="AN184" i="2"/>
  <c r="O187" i="2"/>
  <c r="AQ188" i="2"/>
  <c r="G190" i="2"/>
  <c r="N191" i="2"/>
  <c r="C192" i="2"/>
  <c r="C193" i="2"/>
  <c r="AX193" i="2"/>
  <c r="AL194" i="2"/>
  <c r="AB195" i="2"/>
  <c r="W196" i="2"/>
  <c r="K197" i="2"/>
  <c r="BE197" i="2"/>
  <c r="BA198" i="2"/>
  <c r="AM199" i="2"/>
  <c r="W200" i="2"/>
  <c r="D201" i="2"/>
  <c r="AP201" i="2"/>
  <c r="Y202" i="2"/>
  <c r="E203" i="2"/>
  <c r="AS203" i="2"/>
  <c r="W204" i="2"/>
  <c r="BF204" i="2"/>
  <c r="AA205" i="2"/>
  <c r="C206" i="2"/>
  <c r="AI206" i="2"/>
  <c r="H207" i="2"/>
  <c r="AD207" i="2"/>
  <c r="BF207" i="2"/>
  <c r="X208" i="2"/>
  <c r="AX208" i="2"/>
  <c r="T209" i="2"/>
  <c r="AP209" i="2"/>
  <c r="L210" i="2"/>
  <c r="AJ210" i="2"/>
  <c r="D211" i="2"/>
  <c r="AF211" i="2"/>
  <c r="BB211" i="2"/>
  <c r="V212" i="2"/>
  <c r="AQ212" i="2"/>
  <c r="K213" i="2"/>
  <c r="AF213" i="2"/>
  <c r="BE213" i="2"/>
  <c r="U214" i="2"/>
  <c r="AO214" i="2"/>
  <c r="G215" i="2"/>
  <c r="AA215" i="2"/>
  <c r="AU215" i="2"/>
  <c r="M216" i="2"/>
  <c r="AG216" i="2"/>
  <c r="BA216" i="2"/>
  <c r="S217" i="2"/>
  <c r="AM217" i="2"/>
  <c r="BG217" i="2"/>
  <c r="Y218" i="2"/>
  <c r="AS218" i="2"/>
  <c r="G219" i="2"/>
  <c r="AD219" i="2"/>
  <c r="AW219" i="2"/>
  <c r="J220" i="2"/>
  <c r="AC220" i="2"/>
  <c r="AX220" i="2"/>
  <c r="J221" i="2"/>
  <c r="AB221" i="2"/>
  <c r="AT221" i="2"/>
  <c r="F222" i="2"/>
  <c r="X222" i="2"/>
  <c r="AR222" i="2"/>
  <c r="D223" i="2"/>
  <c r="V223" i="2"/>
  <c r="AN223" i="2"/>
  <c r="BF223" i="2"/>
  <c r="R224" i="2"/>
  <c r="AJ224" i="2"/>
  <c r="BD224" i="2"/>
  <c r="P225" i="2"/>
  <c r="AH225" i="2"/>
  <c r="AZ225" i="2"/>
  <c r="L226" i="2"/>
  <c r="AD226" i="2"/>
  <c r="AV226" i="2"/>
  <c r="J227" i="2"/>
  <c r="AB227" i="2"/>
  <c r="AS227" i="2"/>
  <c r="AC162" i="2"/>
  <c r="AA170" i="2"/>
  <c r="AI174" i="2"/>
  <c r="AP178" i="2"/>
  <c r="AZ181" i="2"/>
  <c r="AO184" i="2"/>
  <c r="R187" i="2"/>
  <c r="BG188" i="2"/>
  <c r="P190" i="2"/>
  <c r="T191" i="2"/>
  <c r="J192" i="2"/>
  <c r="E193" i="2"/>
  <c r="AY193" i="2"/>
  <c r="AM194" i="2"/>
  <c r="AI195" i="2"/>
  <c r="X196" i="2"/>
  <c r="L197" i="2"/>
  <c r="BH197" i="2"/>
  <c r="BB198" i="2"/>
  <c r="AN199" i="2"/>
  <c r="Y200" i="2"/>
  <c r="E201" i="2"/>
  <c r="AS201" i="2"/>
  <c r="Z202" i="2"/>
  <c r="F203" i="2"/>
  <c r="AT203" i="2"/>
  <c r="X204" i="2"/>
  <c r="BG204" i="2"/>
  <c r="AD205" i="2"/>
  <c r="D206" i="2"/>
  <c r="AJ206" i="2"/>
  <c r="I207" i="2"/>
  <c r="AE207" i="2"/>
  <c r="BG207" i="2"/>
  <c r="AC208" i="2"/>
  <c r="AY208" i="2"/>
  <c r="U209" i="2"/>
  <c r="AQ209" i="2"/>
  <c r="M210" i="2"/>
  <c r="AO210" i="2"/>
  <c r="E211" i="2"/>
  <c r="AG211" i="2"/>
  <c r="BC211" i="2"/>
  <c r="W212" i="2"/>
  <c r="AR212" i="2"/>
  <c r="L213" i="2"/>
  <c r="AG213" i="2"/>
  <c r="BG213" i="2"/>
  <c r="V214" i="2"/>
  <c r="AR214" i="2"/>
  <c r="H215" i="2"/>
  <c r="AB215" i="2"/>
  <c r="AX215" i="2"/>
  <c r="N216" i="2"/>
  <c r="AH216" i="2"/>
  <c r="BD216" i="2"/>
  <c r="T217" i="2"/>
  <c r="AN217" i="2"/>
  <c r="D218" i="2"/>
  <c r="Z218" i="2"/>
  <c r="AT218" i="2"/>
  <c r="J219" i="2"/>
  <c r="AE219" i="2"/>
  <c r="AX219" i="2"/>
  <c r="K220" i="2"/>
  <c r="AF220" i="2"/>
  <c r="AY220" i="2"/>
  <c r="K221" i="2"/>
  <c r="AC221" i="2"/>
  <c r="AU221" i="2"/>
  <c r="G222" i="2"/>
  <c r="Y222" i="2"/>
  <c r="AS222" i="2"/>
  <c r="E223" i="2"/>
  <c r="W223" i="2"/>
  <c r="AO223" i="2"/>
  <c r="BG223" i="2"/>
  <c r="S224" i="2"/>
  <c r="AK224" i="2"/>
  <c r="BE224" i="2"/>
  <c r="Q225" i="2"/>
  <c r="AI225" i="2"/>
  <c r="BA225" i="2"/>
  <c r="M226" i="2"/>
  <c r="AE226" i="2"/>
  <c r="AW226" i="2"/>
  <c r="K227" i="2"/>
  <c r="AC227" i="2"/>
  <c r="AT227" i="2"/>
  <c r="D228" i="2"/>
  <c r="T228" i="2"/>
  <c r="AJ228" i="2"/>
  <c r="AZ228" i="2"/>
  <c r="J229" i="2"/>
  <c r="Z229" i="2"/>
  <c r="AD162" i="2"/>
  <c r="AB170" i="2"/>
  <c r="R175" i="2"/>
  <c r="AS178" i="2"/>
  <c r="BA181" i="2"/>
  <c r="C185" i="2"/>
  <c r="AH187" i="2"/>
  <c r="BH188" i="2"/>
  <c r="W190" i="2"/>
  <c r="U191" i="2"/>
  <c r="Q192" i="2"/>
  <c r="F193" i="2"/>
  <c r="AZ193" i="2"/>
  <c r="AP194" i="2"/>
  <c r="AK195" i="2"/>
  <c r="Y196" i="2"/>
  <c r="M197" i="2"/>
  <c r="K198" i="2"/>
  <c r="BC198" i="2"/>
  <c r="AO199" i="2"/>
  <c r="Z200" i="2"/>
  <c r="F201" i="2"/>
  <c r="AU201" i="2"/>
  <c r="AA202" i="2"/>
  <c r="I203" i="2"/>
  <c r="AU203" i="2"/>
  <c r="Y204" i="2"/>
  <c r="BH204" i="2"/>
  <c r="AL205" i="2"/>
  <c r="E206" i="2"/>
  <c r="AK206" i="2"/>
  <c r="J207" i="2"/>
  <c r="AH207" i="2"/>
  <c r="BH207" i="2"/>
  <c r="AD208" i="2"/>
  <c r="AZ208" i="2"/>
  <c r="V209" i="2"/>
  <c r="AT209" i="2"/>
  <c r="N210" i="2"/>
  <c r="AP210" i="2"/>
  <c r="F211" i="2"/>
  <c r="AH211" i="2"/>
  <c r="BF211" i="2"/>
  <c r="X212" i="2"/>
  <c r="AS212" i="2"/>
  <c r="M213" i="2"/>
  <c r="AH213" i="2"/>
  <c r="BH213" i="2"/>
  <c r="W214" i="2"/>
  <c r="AU214" i="2"/>
  <c r="I215" i="2"/>
  <c r="AC215" i="2"/>
  <c r="BA215" i="2"/>
  <c r="O216" i="2"/>
  <c r="AI216" i="2"/>
  <c r="BG216" i="2"/>
  <c r="U217" i="2"/>
  <c r="AO217" i="2"/>
  <c r="G218" i="2"/>
  <c r="AA218" i="2"/>
  <c r="AU218" i="2"/>
  <c r="M219" i="2"/>
  <c r="AF219" i="2"/>
  <c r="AY219" i="2"/>
  <c r="L220" i="2"/>
  <c r="AH220" i="2"/>
  <c r="AZ220" i="2"/>
  <c r="L221" i="2"/>
  <c r="AD221" i="2"/>
  <c r="AV221" i="2"/>
  <c r="H222" i="2"/>
  <c r="AB222" i="2"/>
  <c r="AT222" i="2"/>
  <c r="F223" i="2"/>
  <c r="X223" i="2"/>
  <c r="AP223" i="2"/>
  <c r="BH223" i="2"/>
  <c r="T224" i="2"/>
  <c r="AN224" i="2"/>
  <c r="BF224" i="2"/>
  <c r="R225" i="2"/>
  <c r="AJ225" i="2"/>
  <c r="BB225" i="2"/>
  <c r="N226" i="2"/>
  <c r="AF226" i="2"/>
  <c r="O164" i="2"/>
  <c r="K171" i="2"/>
  <c r="U175" i="2"/>
  <c r="AY178" i="2"/>
  <c r="P182" i="2"/>
  <c r="F185" i="2"/>
  <c r="AI187" i="2"/>
  <c r="K189" i="2"/>
  <c r="AA190" i="2"/>
  <c r="X191" i="2"/>
  <c r="S192" i="2"/>
  <c r="G193" i="2"/>
  <c r="BA193" i="2"/>
  <c r="AY194" i="2"/>
  <c r="AL195" i="2"/>
  <c r="Z196" i="2"/>
  <c r="P197" i="2"/>
  <c r="O198" i="2"/>
  <c r="BD198" i="2"/>
  <c r="AP199" i="2"/>
  <c r="AA200" i="2"/>
  <c r="G201" i="2"/>
  <c r="AV201" i="2"/>
  <c r="AB202" i="2"/>
  <c r="K203" i="2"/>
  <c r="AV203" i="2"/>
  <c r="Z204" i="2"/>
  <c r="E205" i="2"/>
  <c r="AM205" i="2"/>
  <c r="H206" i="2"/>
  <c r="AL206" i="2"/>
  <c r="K207" i="2"/>
  <c r="AM207" i="2"/>
  <c r="C208" i="2"/>
  <c r="AE208" i="2"/>
  <c r="BA208" i="2"/>
  <c r="W209" i="2"/>
  <c r="AY209" i="2"/>
  <c r="O210" i="2"/>
  <c r="AQ210" i="2"/>
  <c r="G211" i="2"/>
  <c r="AI211" i="2"/>
  <c r="C212" i="2"/>
  <c r="Y212" i="2"/>
  <c r="AV212" i="2"/>
  <c r="N213" i="2"/>
  <c r="AI213" i="2"/>
  <c r="C214" i="2"/>
  <c r="X214" i="2"/>
  <c r="AV214" i="2"/>
  <c r="J215" i="2"/>
  <c r="AD215" i="2"/>
  <c r="BB215" i="2"/>
  <c r="P216" i="2"/>
  <c r="AJ216" i="2"/>
  <c r="BH216" i="2"/>
  <c r="V217" i="2"/>
  <c r="AP217" i="2"/>
  <c r="H218" i="2"/>
  <c r="AB218" i="2"/>
  <c r="AV218" i="2"/>
  <c r="N219" i="2"/>
  <c r="AG219" i="2"/>
  <c r="AZ219" i="2"/>
  <c r="M220" i="2"/>
  <c r="AI220" i="2"/>
  <c r="BA220" i="2"/>
  <c r="M221" i="2"/>
  <c r="AE221" i="2"/>
  <c r="AW221" i="2"/>
  <c r="I222" i="2"/>
  <c r="AC222" i="2"/>
  <c r="AU222" i="2"/>
  <c r="G223" i="2"/>
  <c r="Y223" i="2"/>
  <c r="AQ223" i="2"/>
  <c r="C224" i="2"/>
  <c r="U224" i="2"/>
  <c r="AO224" i="2"/>
  <c r="BG224" i="2"/>
  <c r="S225" i="2"/>
  <c r="AK225" i="2"/>
  <c r="BC225" i="2"/>
  <c r="O226" i="2"/>
  <c r="P164" i="2"/>
  <c r="O171" i="2"/>
  <c r="X175" i="2"/>
  <c r="Y179" i="2"/>
  <c r="U182" i="2"/>
  <c r="J185" i="2"/>
  <c r="AK187" i="2"/>
  <c r="L189" i="2"/>
  <c r="AD190" i="2"/>
  <c r="AG191" i="2"/>
  <c r="T192" i="2"/>
  <c r="H193" i="2"/>
  <c r="BD193" i="2"/>
  <c r="BC194" i="2"/>
  <c r="AO195" i="2"/>
  <c r="AA196" i="2"/>
  <c r="AA197" i="2"/>
  <c r="P198" i="2"/>
  <c r="BG198" i="2"/>
  <c r="AQ199" i="2"/>
  <c r="AB200" i="2"/>
  <c r="H201" i="2"/>
  <c r="AW201" i="2"/>
  <c r="AC202" i="2"/>
  <c r="L203" i="2"/>
  <c r="AW203" i="2"/>
  <c r="AA204" i="2"/>
  <c r="F205" i="2"/>
  <c r="AN205" i="2"/>
  <c r="O206" i="2"/>
  <c r="AM206" i="2"/>
  <c r="L207" i="2"/>
  <c r="AN207" i="2"/>
  <c r="D208" i="2"/>
  <c r="AF208" i="2"/>
  <c r="BD208" i="2"/>
  <c r="X209" i="2"/>
  <c r="AZ209" i="2"/>
  <c r="P210" i="2"/>
  <c r="AR210" i="2"/>
  <c r="J211" i="2"/>
  <c r="AJ211" i="2"/>
  <c r="E212" i="2"/>
  <c r="Z212" i="2"/>
  <c r="AY212" i="2"/>
  <c r="O213" i="2"/>
  <c r="AL213" i="2"/>
  <c r="D214" i="2"/>
  <c r="Y214" i="2"/>
  <c r="AW214" i="2"/>
  <c r="K215" i="2"/>
  <c r="AE215" i="2"/>
  <c r="BC215" i="2"/>
  <c r="Q216" i="2"/>
  <c r="AK216" i="2"/>
  <c r="C217" i="2"/>
  <c r="W217" i="2"/>
  <c r="AQ217" i="2"/>
  <c r="I218" i="2"/>
  <c r="AC218" i="2"/>
  <c r="AW218" i="2"/>
  <c r="O219" i="2"/>
  <c r="AH219" i="2"/>
  <c r="Y165" i="2"/>
  <c r="P171" i="2"/>
  <c r="BF175" i="2"/>
  <c r="AB179" i="2"/>
  <c r="AC182" i="2"/>
  <c r="AI185" i="2"/>
  <c r="AL187" i="2"/>
  <c r="O189" i="2"/>
  <c r="AG190" i="2"/>
  <c r="AK191" i="2"/>
  <c r="W192" i="2"/>
  <c r="I193" i="2"/>
  <c r="I194" i="2"/>
  <c r="BD194" i="2"/>
  <c r="AR195" i="2"/>
  <c r="AH196" i="2"/>
  <c r="AC197" i="2"/>
  <c r="Q198" i="2"/>
  <c r="D199" i="2"/>
  <c r="AR199" i="2"/>
  <c r="AC200" i="2"/>
  <c r="I201" i="2"/>
  <c r="AX201" i="2"/>
  <c r="AD202" i="2"/>
  <c r="M203" i="2"/>
  <c r="AX203" i="2"/>
  <c r="AB204" i="2"/>
  <c r="G205" i="2"/>
  <c r="AO205" i="2"/>
  <c r="P206" i="2"/>
  <c r="AQ206" i="2"/>
  <c r="M207" i="2"/>
  <c r="AO207" i="2"/>
  <c r="E208" i="2"/>
  <c r="AG208" i="2"/>
  <c r="C209" i="2"/>
  <c r="Y209" i="2"/>
  <c r="BA209" i="2"/>
  <c r="Q210" i="2"/>
  <c r="AS210" i="2"/>
  <c r="O211" i="2"/>
  <c r="AK211" i="2"/>
  <c r="F212" i="2"/>
  <c r="AA212" i="2"/>
  <c r="BA212" i="2"/>
  <c r="P213" i="2"/>
  <c r="AO213" i="2"/>
  <c r="E214" i="2"/>
  <c r="AB214" i="2"/>
  <c r="AX214" i="2"/>
  <c r="L215" i="2"/>
  <c r="AH215" i="2"/>
  <c r="BD215" i="2"/>
  <c r="R216" i="2"/>
  <c r="AN216" i="2"/>
  <c r="D217" i="2"/>
  <c r="X217" i="2"/>
  <c r="AT217" i="2"/>
  <c r="J218" i="2"/>
  <c r="AD218" i="2"/>
  <c r="AZ218" i="2"/>
  <c r="P219" i="2"/>
  <c r="AI219" i="2"/>
  <c r="BB219" i="2"/>
  <c r="R220" i="2"/>
  <c r="AK220" i="2"/>
  <c r="BC220" i="2"/>
  <c r="O221" i="2"/>
  <c r="AG221" i="2"/>
  <c r="AY221" i="2"/>
  <c r="M222" i="2"/>
  <c r="AO165" i="2"/>
  <c r="BF171" i="2"/>
  <c r="E176" i="2"/>
  <c r="AE179" i="2"/>
  <c r="AX182" i="2"/>
  <c r="AL185" i="2"/>
  <c r="AV187" i="2"/>
  <c r="AC189" i="2"/>
  <c r="AH190" i="2"/>
  <c r="AL191" i="2"/>
  <c r="Z192" i="2"/>
  <c r="P193" i="2"/>
  <c r="K194" i="2"/>
  <c r="BE194" i="2"/>
  <c r="AS195" i="2"/>
  <c r="AO196" i="2"/>
  <c r="AD197" i="2"/>
  <c r="R198" i="2"/>
  <c r="E199" i="2"/>
  <c r="AS199" i="2"/>
  <c r="AD200" i="2"/>
  <c r="J201" i="2"/>
  <c r="AY201" i="2"/>
  <c r="AE202" i="2"/>
  <c r="N203" i="2"/>
  <c r="AY203" i="2"/>
  <c r="AE204" i="2"/>
  <c r="H205" i="2"/>
  <c r="AP205" i="2"/>
  <c r="Q206" i="2"/>
  <c r="AW206" i="2"/>
  <c r="N207" i="2"/>
  <c r="AP207" i="2"/>
  <c r="H208" i="2"/>
  <c r="AH208" i="2"/>
  <c r="D209" i="2"/>
  <c r="Z209" i="2"/>
  <c r="BB209" i="2"/>
  <c r="T210" i="2"/>
  <c r="AT210" i="2"/>
  <c r="P211" i="2"/>
  <c r="AL211" i="2"/>
  <c r="G212" i="2"/>
  <c r="AB212" i="2"/>
  <c r="BB212" i="2"/>
  <c r="Q213" i="2"/>
  <c r="AQ213" i="2"/>
  <c r="F214" i="2"/>
  <c r="AE214" i="2"/>
  <c r="AY214" i="2"/>
  <c r="M215" i="2"/>
  <c r="AK215" i="2"/>
  <c r="BE215" i="2"/>
  <c r="S216" i="2"/>
  <c r="AQ216" i="2"/>
  <c r="E217" i="2"/>
  <c r="Y217" i="2"/>
  <c r="AW217" i="2"/>
  <c r="K218" i="2"/>
  <c r="AE218" i="2"/>
  <c r="BC218" i="2"/>
  <c r="Q219" i="2"/>
  <c r="AJ219" i="2"/>
  <c r="BC219" i="2"/>
  <c r="AU166" i="2"/>
  <c r="AK190" i="2"/>
  <c r="AE197" i="2"/>
  <c r="Q203" i="2"/>
  <c r="AQ207" i="2"/>
  <c r="Q211" i="2"/>
  <c r="AF214" i="2"/>
  <c r="Z217" i="2"/>
  <c r="BH219" i="2"/>
  <c r="R221" i="2"/>
  <c r="AG222" i="2"/>
  <c r="AC223" i="2"/>
  <c r="Y224" i="2"/>
  <c r="K225" i="2"/>
  <c r="BG225" i="2"/>
  <c r="AZ226" i="2"/>
  <c r="AD227" i="2"/>
  <c r="BH227" i="2"/>
  <c r="Y228" i="2"/>
  <c r="BA228" i="2"/>
  <c r="Q229" i="2"/>
  <c r="AR229" i="2"/>
  <c r="G230" i="2"/>
  <c r="AG230" i="2"/>
  <c r="BB230" i="2"/>
  <c r="V231" i="2"/>
  <c r="AQ231" i="2"/>
  <c r="K232" i="2"/>
  <c r="AF232" i="2"/>
  <c r="BF232" i="2"/>
  <c r="U233" i="2"/>
  <c r="AT233" i="2"/>
  <c r="J234" i="2"/>
  <c r="AE234" i="2"/>
  <c r="BE234" i="2"/>
  <c r="T235" i="2"/>
  <c r="AT235" i="2"/>
  <c r="I236" i="2"/>
  <c r="AI236" i="2"/>
  <c r="BD236" i="2"/>
  <c r="W237" i="2"/>
  <c r="AQ237" i="2"/>
  <c r="E238" i="2"/>
  <c r="AB238" i="2"/>
  <c r="AU238" i="2"/>
  <c r="H239" i="2"/>
  <c r="AA239" i="2"/>
  <c r="AW239" i="2"/>
  <c r="J240" i="2"/>
  <c r="AC240" i="2"/>
  <c r="AV240" i="2"/>
  <c r="I241" i="2"/>
  <c r="AE241" i="2"/>
  <c r="AX241" i="2"/>
  <c r="K242" i="2"/>
  <c r="AD242" i="2"/>
  <c r="AZ242" i="2"/>
  <c r="M243" i="2"/>
  <c r="AF243" i="2"/>
  <c r="AY243" i="2"/>
  <c r="O244" i="2"/>
  <c r="AH244" i="2"/>
  <c r="AZ244" i="2"/>
  <c r="L245" i="2"/>
  <c r="AD245" i="2"/>
  <c r="AV245" i="2"/>
  <c r="H246" i="2"/>
  <c r="AB246" i="2"/>
  <c r="AT246" i="2"/>
  <c r="F247" i="2"/>
  <c r="W247" i="2"/>
  <c r="AN247" i="2"/>
  <c r="BE247" i="2"/>
  <c r="O248" i="2"/>
  <c r="AE248" i="2"/>
  <c r="AU248" i="2"/>
  <c r="E249" i="2"/>
  <c r="U249" i="2"/>
  <c r="AK249" i="2"/>
  <c r="BA249" i="2"/>
  <c r="K250" i="2"/>
  <c r="AA250" i="2"/>
  <c r="AQ250" i="2"/>
  <c r="BG250" i="2"/>
  <c r="Q251" i="2"/>
  <c r="AG251" i="2"/>
  <c r="AW251" i="2"/>
  <c r="G252" i="2"/>
  <c r="W252" i="2"/>
  <c r="AM252" i="2"/>
  <c r="BC252" i="2"/>
  <c r="M253" i="2"/>
  <c r="AC253" i="2"/>
  <c r="AS253" i="2"/>
  <c r="C254" i="2"/>
  <c r="S254" i="2"/>
  <c r="AI254" i="2"/>
  <c r="AY254" i="2"/>
  <c r="I255" i="2"/>
  <c r="Y255" i="2"/>
  <c r="AO255" i="2"/>
  <c r="BE255" i="2"/>
  <c r="O256" i="2"/>
  <c r="AE256" i="2"/>
  <c r="AU256" i="2"/>
  <c r="E257" i="2"/>
  <c r="U257" i="2"/>
  <c r="AK257" i="2"/>
  <c r="BA257" i="2"/>
  <c r="K258" i="2"/>
  <c r="AA258" i="2"/>
  <c r="AQ258" i="2"/>
  <c r="BG258" i="2"/>
  <c r="Q259" i="2"/>
  <c r="AG259" i="2"/>
  <c r="AW259" i="2"/>
  <c r="G260" i="2"/>
  <c r="W260" i="2"/>
  <c r="AM260" i="2"/>
  <c r="BC260" i="2"/>
  <c r="M261" i="2"/>
  <c r="AC261" i="2"/>
  <c r="AS261" i="2"/>
  <c r="C262" i="2"/>
  <c r="S262" i="2"/>
  <c r="AI262" i="2"/>
  <c r="AY262" i="2"/>
  <c r="I263" i="2"/>
  <c r="Y263" i="2"/>
  <c r="AO263" i="2"/>
  <c r="BE263" i="2"/>
  <c r="O264" i="2"/>
  <c r="AE264" i="2"/>
  <c r="AU264" i="2"/>
  <c r="E265" i="2"/>
  <c r="U265" i="2"/>
  <c r="AK265" i="2"/>
  <c r="BA265" i="2"/>
  <c r="K266" i="2"/>
  <c r="AA266" i="2"/>
  <c r="AQ266" i="2"/>
  <c r="BG266" i="2"/>
  <c r="Q267" i="2"/>
  <c r="AG267" i="2"/>
  <c r="AW267" i="2"/>
  <c r="G268" i="2"/>
  <c r="W268" i="2"/>
  <c r="AM268" i="2"/>
  <c r="BC268" i="2"/>
  <c r="M269" i="2"/>
  <c r="AC269" i="2"/>
  <c r="AS269" i="2"/>
  <c r="C270" i="2"/>
  <c r="S270" i="2"/>
  <c r="AI270" i="2"/>
  <c r="AY270" i="2"/>
  <c r="I271" i="2"/>
  <c r="Y271" i="2"/>
  <c r="AO271" i="2"/>
  <c r="BE271" i="2"/>
  <c r="O272" i="2"/>
  <c r="AE272" i="2"/>
  <c r="AU272" i="2"/>
  <c r="E273" i="2"/>
  <c r="U273" i="2"/>
  <c r="AK273" i="2"/>
  <c r="BA273" i="2"/>
  <c r="K274" i="2"/>
  <c r="C172" i="2"/>
  <c r="AM191" i="2"/>
  <c r="S198" i="2"/>
  <c r="BB203" i="2"/>
  <c r="M208" i="2"/>
  <c r="AM211" i="2"/>
  <c r="AZ214" i="2"/>
  <c r="AX217" i="2"/>
  <c r="S220" i="2"/>
  <c r="AH221" i="2"/>
  <c r="AV222" i="2"/>
  <c r="AK223" i="2"/>
  <c r="AA224" i="2"/>
  <c r="U225" i="2"/>
  <c r="I226" i="2"/>
  <c r="BB226" i="2"/>
  <c r="AF227" i="2"/>
  <c r="E228" i="2"/>
  <c r="AA228" i="2"/>
  <c r="BC228" i="2"/>
  <c r="X229" i="2"/>
  <c r="AT229" i="2"/>
  <c r="N230" i="2"/>
  <c r="AI230" i="2"/>
  <c r="BH230" i="2"/>
  <c r="X231" i="2"/>
  <c r="AS231" i="2"/>
  <c r="M232" i="2"/>
  <c r="AH232" i="2"/>
  <c r="BH232" i="2"/>
  <c r="W233" i="2"/>
  <c r="AW233" i="2"/>
  <c r="L234" i="2"/>
  <c r="AL234" i="2"/>
  <c r="BG234" i="2"/>
  <c r="Z235" i="2"/>
  <c r="AV235" i="2"/>
  <c r="K236" i="2"/>
  <c r="AK236" i="2"/>
  <c r="BF236" i="2"/>
  <c r="Y237" i="2"/>
  <c r="AS237" i="2"/>
  <c r="G238" i="2"/>
  <c r="AD238" i="2"/>
  <c r="AW238" i="2"/>
  <c r="J239" i="2"/>
  <c r="AC239" i="2"/>
  <c r="AY239" i="2"/>
  <c r="L240" i="2"/>
  <c r="AE240" i="2"/>
  <c r="AX240" i="2"/>
  <c r="N241" i="2"/>
  <c r="AG241" i="2"/>
  <c r="AZ241" i="2"/>
  <c r="M242" i="2"/>
  <c r="AI242" i="2"/>
  <c r="BB242" i="2"/>
  <c r="O243" i="2"/>
  <c r="AH243" i="2"/>
  <c r="BA243" i="2"/>
  <c r="Q244" i="2"/>
  <c r="AJ244" i="2"/>
  <c r="BB244" i="2"/>
  <c r="N245" i="2"/>
  <c r="AF245" i="2"/>
  <c r="AX245" i="2"/>
  <c r="L246" i="2"/>
  <c r="AD246" i="2"/>
  <c r="AV246" i="2"/>
  <c r="H247" i="2"/>
  <c r="Y247" i="2"/>
  <c r="AP247" i="2"/>
  <c r="BG247" i="2"/>
  <c r="Q248" i="2"/>
  <c r="AG248" i="2"/>
  <c r="AW248" i="2"/>
  <c r="G249" i="2"/>
  <c r="W249" i="2"/>
  <c r="AM249" i="2"/>
  <c r="BC249" i="2"/>
  <c r="M250" i="2"/>
  <c r="AC250" i="2"/>
  <c r="AS250" i="2"/>
  <c r="C251" i="2"/>
  <c r="S251" i="2"/>
  <c r="AI251" i="2"/>
  <c r="AY251" i="2"/>
  <c r="I252" i="2"/>
  <c r="Y252" i="2"/>
  <c r="AO252" i="2"/>
  <c r="BE252" i="2"/>
  <c r="O253" i="2"/>
  <c r="AE253" i="2"/>
  <c r="AU253" i="2"/>
  <c r="E254" i="2"/>
  <c r="U254" i="2"/>
  <c r="AK254" i="2"/>
  <c r="BA254" i="2"/>
  <c r="K255" i="2"/>
  <c r="AA255" i="2"/>
  <c r="AQ255" i="2"/>
  <c r="BG255" i="2"/>
  <c r="Q256" i="2"/>
  <c r="AG256" i="2"/>
  <c r="AW256" i="2"/>
  <c r="G257" i="2"/>
  <c r="W257" i="2"/>
  <c r="AM257" i="2"/>
  <c r="BC257" i="2"/>
  <c r="M258" i="2"/>
  <c r="AC258" i="2"/>
  <c r="AS258" i="2"/>
  <c r="C259" i="2"/>
  <c r="S259" i="2"/>
  <c r="AI259" i="2"/>
  <c r="AY259" i="2"/>
  <c r="I260" i="2"/>
  <c r="Y260" i="2"/>
  <c r="AO260" i="2"/>
  <c r="BE260" i="2"/>
  <c r="O261" i="2"/>
  <c r="AE261" i="2"/>
  <c r="AU261" i="2"/>
  <c r="E262" i="2"/>
  <c r="U262" i="2"/>
  <c r="AK262" i="2"/>
  <c r="BA262" i="2"/>
  <c r="K263" i="2"/>
  <c r="AA263" i="2"/>
  <c r="AQ263" i="2"/>
  <c r="BG263" i="2"/>
  <c r="Q264" i="2"/>
  <c r="AG264" i="2"/>
  <c r="AW264" i="2"/>
  <c r="G265" i="2"/>
  <c r="W265" i="2"/>
  <c r="AM265" i="2"/>
  <c r="BC265" i="2"/>
  <c r="M266" i="2"/>
  <c r="AC266" i="2"/>
  <c r="AS266" i="2"/>
  <c r="C267" i="2"/>
  <c r="S267" i="2"/>
  <c r="AI267" i="2"/>
  <c r="AY267" i="2"/>
  <c r="I268" i="2"/>
  <c r="Y268" i="2"/>
  <c r="AO268" i="2"/>
  <c r="BE268" i="2"/>
  <c r="O269" i="2"/>
  <c r="AE269" i="2"/>
  <c r="AU269" i="2"/>
  <c r="E270" i="2"/>
  <c r="U270" i="2"/>
  <c r="AK270" i="2"/>
  <c r="BA270" i="2"/>
  <c r="K271" i="2"/>
  <c r="AA271" i="2"/>
  <c r="AQ271" i="2"/>
  <c r="BG271" i="2"/>
  <c r="Q272" i="2"/>
  <c r="AG272" i="2"/>
  <c r="AW272" i="2"/>
  <c r="G273" i="2"/>
  <c r="W273" i="2"/>
  <c r="F172" i="2"/>
  <c r="AN191" i="2"/>
  <c r="V198" i="2"/>
  <c r="E204" i="2"/>
  <c r="N208" i="2"/>
  <c r="AP211" i="2"/>
  <c r="BA214" i="2"/>
  <c r="AY217" i="2"/>
  <c r="T220" i="2"/>
  <c r="AI221" i="2"/>
  <c r="AW222" i="2"/>
  <c r="AR223" i="2"/>
  <c r="AB224" i="2"/>
  <c r="V225" i="2"/>
  <c r="P226" i="2"/>
  <c r="BC226" i="2"/>
  <c r="AG227" i="2"/>
  <c r="F228" i="2"/>
  <c r="AF228" i="2"/>
  <c r="BD228" i="2"/>
  <c r="Y229" i="2"/>
  <c r="AU229" i="2"/>
  <c r="O230" i="2"/>
  <c r="AJ230" i="2"/>
  <c r="D231" i="2"/>
  <c r="Y231" i="2"/>
  <c r="AX231" i="2"/>
  <c r="N232" i="2"/>
  <c r="AI232" i="2"/>
  <c r="C233" i="2"/>
  <c r="X233" i="2"/>
  <c r="AX233" i="2"/>
  <c r="M234" i="2"/>
  <c r="AM234" i="2"/>
  <c r="BH234" i="2"/>
  <c r="AB235" i="2"/>
  <c r="AW235" i="2"/>
  <c r="P236" i="2"/>
  <c r="AL236" i="2"/>
  <c r="BG236" i="2"/>
  <c r="Z237" i="2"/>
  <c r="AT237" i="2"/>
  <c r="L238" i="2"/>
  <c r="AE238" i="2"/>
  <c r="AX238" i="2"/>
  <c r="K239" i="2"/>
  <c r="AG239" i="2"/>
  <c r="AZ239" i="2"/>
  <c r="M240" i="2"/>
  <c r="AF240" i="2"/>
  <c r="AY240" i="2"/>
  <c r="O241" i="2"/>
  <c r="AH241" i="2"/>
  <c r="BA241" i="2"/>
  <c r="N242" i="2"/>
  <c r="AJ242" i="2"/>
  <c r="BC242" i="2"/>
  <c r="P243" i="2"/>
  <c r="AI243" i="2"/>
  <c r="BE243" i="2"/>
  <c r="R244" i="2"/>
  <c r="AK244" i="2"/>
  <c r="BC244" i="2"/>
  <c r="O245" i="2"/>
  <c r="AG245" i="2"/>
  <c r="BA245" i="2"/>
  <c r="M246" i="2"/>
  <c r="AE246" i="2"/>
  <c r="AW246" i="2"/>
  <c r="I247" i="2"/>
  <c r="Z247" i="2"/>
  <c r="AQ247" i="2"/>
  <c r="BH247" i="2"/>
  <c r="R248" i="2"/>
  <c r="AH248" i="2"/>
  <c r="AX248" i="2"/>
  <c r="H249" i="2"/>
  <c r="X249" i="2"/>
  <c r="AN249" i="2"/>
  <c r="BD249" i="2"/>
  <c r="N250" i="2"/>
  <c r="AD250" i="2"/>
  <c r="AT250" i="2"/>
  <c r="D251" i="2"/>
  <c r="T251" i="2"/>
  <c r="AJ251" i="2"/>
  <c r="AZ251" i="2"/>
  <c r="J252" i="2"/>
  <c r="Z252" i="2"/>
  <c r="AP252" i="2"/>
  <c r="BF252" i="2"/>
  <c r="P253" i="2"/>
  <c r="AF253" i="2"/>
  <c r="AV253" i="2"/>
  <c r="F254" i="2"/>
  <c r="V254" i="2"/>
  <c r="AL254" i="2"/>
  <c r="BB254" i="2"/>
  <c r="L255" i="2"/>
  <c r="AB255" i="2"/>
  <c r="AR255" i="2"/>
  <c r="BH255" i="2"/>
  <c r="R256" i="2"/>
  <c r="AH256" i="2"/>
  <c r="AX256" i="2"/>
  <c r="H257" i="2"/>
  <c r="X257" i="2"/>
  <c r="AN257" i="2"/>
  <c r="BD257" i="2"/>
  <c r="N258" i="2"/>
  <c r="AD258" i="2"/>
  <c r="AT258" i="2"/>
  <c r="D259" i="2"/>
  <c r="T259" i="2"/>
  <c r="AJ259" i="2"/>
  <c r="AZ259" i="2"/>
  <c r="J260" i="2"/>
  <c r="Z260" i="2"/>
  <c r="AP260" i="2"/>
  <c r="BF260" i="2"/>
  <c r="P261" i="2"/>
  <c r="AF261" i="2"/>
  <c r="AV261" i="2"/>
  <c r="F262" i="2"/>
  <c r="V262" i="2"/>
  <c r="AL262" i="2"/>
  <c r="BB262" i="2"/>
  <c r="L263" i="2"/>
  <c r="AB263" i="2"/>
  <c r="AR263" i="2"/>
  <c r="BH263" i="2"/>
  <c r="R264" i="2"/>
  <c r="AH264" i="2"/>
  <c r="AX264" i="2"/>
  <c r="H265" i="2"/>
  <c r="X265" i="2"/>
  <c r="AN265" i="2"/>
  <c r="BD265" i="2"/>
  <c r="N266" i="2"/>
  <c r="AD266" i="2"/>
  <c r="AT266" i="2"/>
  <c r="D267" i="2"/>
  <c r="T267" i="2"/>
  <c r="AJ267" i="2"/>
  <c r="AZ267" i="2"/>
  <c r="J268" i="2"/>
  <c r="Z268" i="2"/>
  <c r="AP268" i="2"/>
  <c r="BF268" i="2"/>
  <c r="P269" i="2"/>
  <c r="AF269" i="2"/>
  <c r="AV269" i="2"/>
  <c r="F270" i="2"/>
  <c r="V270" i="2"/>
  <c r="AL270" i="2"/>
  <c r="BB270" i="2"/>
  <c r="L271" i="2"/>
  <c r="AB271" i="2"/>
  <c r="AR271" i="2"/>
  <c r="BH271" i="2"/>
  <c r="R272" i="2"/>
  <c r="AH272" i="2"/>
  <c r="AX272" i="2"/>
  <c r="H273" i="2"/>
  <c r="X273" i="2"/>
  <c r="AN273" i="2"/>
  <c r="BD273" i="2"/>
  <c r="N274" i="2"/>
  <c r="AD274" i="2"/>
  <c r="AO176" i="2"/>
  <c r="AD192" i="2"/>
  <c r="Q199" i="2"/>
  <c r="AO204" i="2"/>
  <c r="AJ208" i="2"/>
  <c r="I212" i="2"/>
  <c r="O215" i="2"/>
  <c r="M218" i="2"/>
  <c r="AJ220" i="2"/>
  <c r="AX221" i="2"/>
  <c r="AY222" i="2"/>
  <c r="AT223" i="2"/>
  <c r="AP224" i="2"/>
  <c r="X225" i="2"/>
  <c r="T226" i="2"/>
  <c r="BE226" i="2"/>
  <c r="AI227" i="2"/>
  <c r="H228" i="2"/>
  <c r="AI228" i="2"/>
  <c r="BF228" i="2"/>
  <c r="AB229" i="2"/>
  <c r="AW229" i="2"/>
  <c r="Q230" i="2"/>
  <c r="AL230" i="2"/>
  <c r="F231" i="2"/>
  <c r="AA231" i="2"/>
  <c r="BA231" i="2"/>
  <c r="P232" i="2"/>
  <c r="AP232" i="2"/>
  <c r="E233" i="2"/>
  <c r="AD233" i="2"/>
  <c r="AZ233" i="2"/>
  <c r="O234" i="2"/>
  <c r="AO234" i="2"/>
  <c r="D235" i="2"/>
  <c r="AD235" i="2"/>
  <c r="AY235" i="2"/>
  <c r="S236" i="2"/>
  <c r="AN236" i="2"/>
  <c r="H237" i="2"/>
  <c r="AB237" i="2"/>
  <c r="AV237" i="2"/>
  <c r="N238" i="2"/>
  <c r="AG238" i="2"/>
  <c r="AZ238" i="2"/>
  <c r="M239" i="2"/>
  <c r="AI239" i="2"/>
  <c r="BB239" i="2"/>
  <c r="O240" i="2"/>
  <c r="AH240" i="2"/>
  <c r="BD240" i="2"/>
  <c r="Q241" i="2"/>
  <c r="AJ241" i="2"/>
  <c r="BC241" i="2"/>
  <c r="S242" i="2"/>
  <c r="AL242" i="2"/>
  <c r="BE242" i="2"/>
  <c r="R243" i="2"/>
  <c r="AK243" i="2"/>
  <c r="BG243" i="2"/>
  <c r="T244" i="2"/>
  <c r="AM244" i="2"/>
  <c r="BE244" i="2"/>
  <c r="Q245" i="2"/>
  <c r="AK245" i="2"/>
  <c r="BC245" i="2"/>
  <c r="O246" i="2"/>
  <c r="AG246" i="2"/>
  <c r="AY246" i="2"/>
  <c r="K247" i="2"/>
  <c r="AB247" i="2"/>
  <c r="AS247" i="2"/>
  <c r="D248" i="2"/>
  <c r="T248" i="2"/>
  <c r="AJ248" i="2"/>
  <c r="AZ248" i="2"/>
  <c r="J249" i="2"/>
  <c r="Z249" i="2"/>
  <c r="AP249" i="2"/>
  <c r="BF249" i="2"/>
  <c r="P250" i="2"/>
  <c r="AF250" i="2"/>
  <c r="AV250" i="2"/>
  <c r="F251" i="2"/>
  <c r="V251" i="2"/>
  <c r="AL251" i="2"/>
  <c r="BB251" i="2"/>
  <c r="L252" i="2"/>
  <c r="AB252" i="2"/>
  <c r="AR252" i="2"/>
  <c r="BH252" i="2"/>
  <c r="R253" i="2"/>
  <c r="AH253" i="2"/>
  <c r="AX253" i="2"/>
  <c r="H254" i="2"/>
  <c r="X254" i="2"/>
  <c r="AN254" i="2"/>
  <c r="BD254" i="2"/>
  <c r="N255" i="2"/>
  <c r="AD255" i="2"/>
  <c r="AT255" i="2"/>
  <c r="D256" i="2"/>
  <c r="T256" i="2"/>
  <c r="AJ256" i="2"/>
  <c r="AZ256" i="2"/>
  <c r="J257" i="2"/>
  <c r="Z257" i="2"/>
  <c r="AP257" i="2"/>
  <c r="BF257" i="2"/>
  <c r="P258" i="2"/>
  <c r="AF258" i="2"/>
  <c r="AV258" i="2"/>
  <c r="F259" i="2"/>
  <c r="V259" i="2"/>
  <c r="AL259" i="2"/>
  <c r="BB259" i="2"/>
  <c r="L260" i="2"/>
  <c r="AB260" i="2"/>
  <c r="AR260" i="2"/>
  <c r="BH260" i="2"/>
  <c r="R261" i="2"/>
  <c r="AH261" i="2"/>
  <c r="AX261" i="2"/>
  <c r="H262" i="2"/>
  <c r="X262" i="2"/>
  <c r="AN262" i="2"/>
  <c r="BD262" i="2"/>
  <c r="N263" i="2"/>
  <c r="AD263" i="2"/>
  <c r="AT263" i="2"/>
  <c r="D264" i="2"/>
  <c r="T264" i="2"/>
  <c r="AJ264" i="2"/>
  <c r="AZ264" i="2"/>
  <c r="J265" i="2"/>
  <c r="Z265" i="2"/>
  <c r="AP265" i="2"/>
  <c r="BF265" i="2"/>
  <c r="P266" i="2"/>
  <c r="AF266" i="2"/>
  <c r="AV266" i="2"/>
  <c r="F267" i="2"/>
  <c r="C180" i="2"/>
  <c r="W193" i="2"/>
  <c r="AZ199" i="2"/>
  <c r="I205" i="2"/>
  <c r="E209" i="2"/>
  <c r="AC212" i="2"/>
  <c r="AL215" i="2"/>
  <c r="AF218" i="2"/>
  <c r="AL220" i="2"/>
  <c r="BB221" i="2"/>
  <c r="AZ222" i="2"/>
  <c r="AU223" i="2"/>
  <c r="AQ224" i="2"/>
  <c r="AE225" i="2"/>
  <c r="U226" i="2"/>
  <c r="BF226" i="2"/>
  <c r="AJ227" i="2"/>
  <c r="I228" i="2"/>
  <c r="AK228" i="2"/>
  <c r="BG228" i="2"/>
  <c r="AC229" i="2"/>
  <c r="BB229" i="2"/>
  <c r="R230" i="2"/>
  <c r="AM230" i="2"/>
  <c r="G231" i="2"/>
  <c r="AB231" i="2"/>
  <c r="BB231" i="2"/>
  <c r="Q232" i="2"/>
  <c r="AQ232" i="2"/>
  <c r="F233" i="2"/>
  <c r="AF233" i="2"/>
  <c r="BA233" i="2"/>
  <c r="T234" i="2"/>
  <c r="AP234" i="2"/>
  <c r="E235" i="2"/>
  <c r="AE235" i="2"/>
  <c r="AZ235" i="2"/>
  <c r="T236" i="2"/>
  <c r="AO236" i="2"/>
  <c r="I237" i="2"/>
  <c r="AC237" i="2"/>
  <c r="AW237" i="2"/>
  <c r="O238" i="2"/>
  <c r="AH238" i="2"/>
  <c r="BA238" i="2"/>
  <c r="Q239" i="2"/>
  <c r="AJ239" i="2"/>
  <c r="BC239" i="2"/>
  <c r="P240" i="2"/>
  <c r="AI240" i="2"/>
  <c r="BE240" i="2"/>
  <c r="R241" i="2"/>
  <c r="AK241" i="2"/>
  <c r="BD241" i="2"/>
  <c r="T242" i="2"/>
  <c r="AM242" i="2"/>
  <c r="BF242" i="2"/>
  <c r="S243" i="2"/>
  <c r="AO243" i="2"/>
  <c r="BH243" i="2"/>
  <c r="U244" i="2"/>
  <c r="AN244" i="2"/>
  <c r="BF244" i="2"/>
  <c r="R245" i="2"/>
  <c r="AL245" i="2"/>
  <c r="BD245" i="2"/>
  <c r="P246" i="2"/>
  <c r="AH246" i="2"/>
  <c r="AZ246" i="2"/>
  <c r="L247" i="2"/>
  <c r="AC247" i="2"/>
  <c r="AT247" i="2"/>
  <c r="E248" i="2"/>
  <c r="U248" i="2"/>
  <c r="AK248" i="2"/>
  <c r="BA248" i="2"/>
  <c r="K249" i="2"/>
  <c r="AA249" i="2"/>
  <c r="AQ249" i="2"/>
  <c r="BG249" i="2"/>
  <c r="Q250" i="2"/>
  <c r="AG250" i="2"/>
  <c r="AW250" i="2"/>
  <c r="G251" i="2"/>
  <c r="W251" i="2"/>
  <c r="AM251" i="2"/>
  <c r="BC251" i="2"/>
  <c r="M252" i="2"/>
  <c r="AC252" i="2"/>
  <c r="AS252" i="2"/>
  <c r="C253" i="2"/>
  <c r="S253" i="2"/>
  <c r="AI253" i="2"/>
  <c r="AY253" i="2"/>
  <c r="I254" i="2"/>
  <c r="Y254" i="2"/>
  <c r="AO254" i="2"/>
  <c r="BE254" i="2"/>
  <c r="O255" i="2"/>
  <c r="AE255" i="2"/>
  <c r="AU255" i="2"/>
  <c r="E256" i="2"/>
  <c r="U256" i="2"/>
  <c r="AK256" i="2"/>
  <c r="BA256" i="2"/>
  <c r="K257" i="2"/>
  <c r="AA257" i="2"/>
  <c r="AQ257" i="2"/>
  <c r="BG257" i="2"/>
  <c r="Q258" i="2"/>
  <c r="AG258" i="2"/>
  <c r="AW258" i="2"/>
  <c r="G259" i="2"/>
  <c r="W259" i="2"/>
  <c r="AM259" i="2"/>
  <c r="BC259" i="2"/>
  <c r="M260" i="2"/>
  <c r="AC260" i="2"/>
  <c r="AS260" i="2"/>
  <c r="C261" i="2"/>
  <c r="S261" i="2"/>
  <c r="AI261" i="2"/>
  <c r="AY261" i="2"/>
  <c r="I262" i="2"/>
  <c r="Y262" i="2"/>
  <c r="AO262" i="2"/>
  <c r="BE262" i="2"/>
  <c r="O263" i="2"/>
  <c r="AE263" i="2"/>
  <c r="F180" i="2"/>
  <c r="Y193" i="2"/>
  <c r="BG199" i="2"/>
  <c r="L205" i="2"/>
  <c r="F209" i="2"/>
  <c r="AF212" i="2"/>
  <c r="AM215" i="2"/>
  <c r="AG218" i="2"/>
  <c r="AM220" i="2"/>
  <c r="BC221" i="2"/>
  <c r="H223" i="2"/>
  <c r="AX223" i="2"/>
  <c r="AR224" i="2"/>
  <c r="AL225" i="2"/>
  <c r="V226" i="2"/>
  <c r="E227" i="2"/>
  <c r="AP227" i="2"/>
  <c r="J228" i="2"/>
  <c r="AL228" i="2"/>
  <c r="F229" i="2"/>
  <c r="AD229" i="2"/>
  <c r="BD229" i="2"/>
  <c r="S230" i="2"/>
  <c r="AR230" i="2"/>
  <c r="H231" i="2"/>
  <c r="AC231" i="2"/>
  <c r="BC231" i="2"/>
  <c r="R232" i="2"/>
  <c r="AR232" i="2"/>
  <c r="G233" i="2"/>
  <c r="AG233" i="2"/>
  <c r="BB233" i="2"/>
  <c r="V234" i="2"/>
  <c r="AQ234" i="2"/>
  <c r="J235" i="2"/>
  <c r="AF235" i="2"/>
  <c r="BA235" i="2"/>
  <c r="U236" i="2"/>
  <c r="AP236" i="2"/>
  <c r="J237" i="2"/>
  <c r="AD237" i="2"/>
  <c r="BB237" i="2"/>
  <c r="P238" i="2"/>
  <c r="AI238" i="2"/>
  <c r="BB238" i="2"/>
  <c r="R239" i="2"/>
  <c r="AK239" i="2"/>
  <c r="BD239" i="2"/>
  <c r="Q240" i="2"/>
  <c r="AM240" i="2"/>
  <c r="BF240" i="2"/>
  <c r="S241" i="2"/>
  <c r="AL241" i="2"/>
  <c r="BE241" i="2"/>
  <c r="U242" i="2"/>
  <c r="AN242" i="2"/>
  <c r="BG242" i="2"/>
  <c r="T243" i="2"/>
  <c r="AP243" i="2"/>
  <c r="C244" i="2"/>
  <c r="V244" i="2"/>
  <c r="AO244" i="2"/>
  <c r="BG244" i="2"/>
  <c r="U245" i="2"/>
  <c r="AM245" i="2"/>
  <c r="BE245" i="2"/>
  <c r="Q246" i="2"/>
  <c r="AI246" i="2"/>
  <c r="BA246" i="2"/>
  <c r="M247" i="2"/>
  <c r="AD247" i="2"/>
  <c r="AU247" i="2"/>
  <c r="F248" i="2"/>
  <c r="V248" i="2"/>
  <c r="AL248" i="2"/>
  <c r="BB248" i="2"/>
  <c r="L249" i="2"/>
  <c r="AB249" i="2"/>
  <c r="AR249" i="2"/>
  <c r="BH249" i="2"/>
  <c r="R250" i="2"/>
  <c r="AH250" i="2"/>
  <c r="AX250" i="2"/>
  <c r="H251" i="2"/>
  <c r="X251" i="2"/>
  <c r="AN251" i="2"/>
  <c r="BD251" i="2"/>
  <c r="N252" i="2"/>
  <c r="AD252" i="2"/>
  <c r="AT252" i="2"/>
  <c r="D253" i="2"/>
  <c r="T253" i="2"/>
  <c r="AJ253" i="2"/>
  <c r="AZ253" i="2"/>
  <c r="J254" i="2"/>
  <c r="Z254" i="2"/>
  <c r="AP254" i="2"/>
  <c r="BF254" i="2"/>
  <c r="P255" i="2"/>
  <c r="AF255" i="2"/>
  <c r="AV255" i="2"/>
  <c r="F256" i="2"/>
  <c r="V256" i="2"/>
  <c r="AL256" i="2"/>
  <c r="BB256" i="2"/>
  <c r="L257" i="2"/>
  <c r="AB257" i="2"/>
  <c r="AR257" i="2"/>
  <c r="BH257" i="2"/>
  <c r="R258" i="2"/>
  <c r="AH258" i="2"/>
  <c r="AX258" i="2"/>
  <c r="H259" i="2"/>
  <c r="X259" i="2"/>
  <c r="AN259" i="2"/>
  <c r="BD259" i="2"/>
  <c r="N260" i="2"/>
  <c r="AD260" i="2"/>
  <c r="AT260" i="2"/>
  <c r="D261" i="2"/>
  <c r="T261" i="2"/>
  <c r="AJ261" i="2"/>
  <c r="AZ261" i="2"/>
  <c r="J262" i="2"/>
  <c r="Z262" i="2"/>
  <c r="BA182" i="2"/>
  <c r="L194" i="2"/>
  <c r="AG200" i="2"/>
  <c r="AQ205" i="2"/>
  <c r="AA209" i="2"/>
  <c r="BC212" i="2"/>
  <c r="BF215" i="2"/>
  <c r="BD218" i="2"/>
  <c r="AN220" i="2"/>
  <c r="BD221" i="2"/>
  <c r="I223" i="2"/>
  <c r="BC223" i="2"/>
  <c r="AS224" i="2"/>
  <c r="AM225" i="2"/>
  <c r="AA226" i="2"/>
  <c r="L227" i="2"/>
  <c r="AU227" i="2"/>
  <c r="K228" i="2"/>
  <c r="AM228" i="2"/>
  <c r="H229" i="2"/>
  <c r="AE229" i="2"/>
  <c r="BE229" i="2"/>
  <c r="T230" i="2"/>
  <c r="AT230" i="2"/>
  <c r="I231" i="2"/>
  <c r="AH231" i="2"/>
  <c r="BD231" i="2"/>
  <c r="S232" i="2"/>
  <c r="AS232" i="2"/>
  <c r="H233" i="2"/>
  <c r="AH233" i="2"/>
  <c r="BC233" i="2"/>
  <c r="W234" i="2"/>
  <c r="AR234" i="2"/>
  <c r="L235" i="2"/>
  <c r="AG235" i="2"/>
  <c r="BF235" i="2"/>
  <c r="V236" i="2"/>
  <c r="AQ236" i="2"/>
  <c r="K237" i="2"/>
  <c r="AE237" i="2"/>
  <c r="BC237" i="2"/>
  <c r="Q238" i="2"/>
  <c r="AJ238" i="2"/>
  <c r="BC238" i="2"/>
  <c r="S239" i="2"/>
  <c r="AL239" i="2"/>
  <c r="BE239" i="2"/>
  <c r="R240" i="2"/>
  <c r="AN240" i="2"/>
  <c r="BG240" i="2"/>
  <c r="T241" i="2"/>
  <c r="AM241" i="2"/>
  <c r="C242" i="2"/>
  <c r="BD182" i="2"/>
  <c r="M194" i="2"/>
  <c r="AQ200" i="2"/>
  <c r="AR205" i="2"/>
  <c r="AD209" i="2"/>
  <c r="BD212" i="2"/>
  <c r="BG215" i="2"/>
  <c r="BE218" i="2"/>
  <c r="BB220" i="2"/>
  <c r="L222" i="2"/>
  <c r="J223" i="2"/>
  <c r="D224" i="2"/>
  <c r="AT224" i="2"/>
  <c r="AN225" i="2"/>
  <c r="AG226" i="2"/>
  <c r="M227" i="2"/>
  <c r="AV227" i="2"/>
  <c r="P228" i="2"/>
  <c r="AN228" i="2"/>
  <c r="I229" i="2"/>
  <c r="AF229" i="2"/>
  <c r="BF229" i="2"/>
  <c r="U230" i="2"/>
  <c r="AU230" i="2"/>
  <c r="J231" i="2"/>
  <c r="AJ231" i="2"/>
  <c r="BE231" i="2"/>
  <c r="X232" i="2"/>
  <c r="AT232" i="2"/>
  <c r="I233" i="2"/>
  <c r="AI233" i="2"/>
  <c r="BD233" i="2"/>
  <c r="X234" i="2"/>
  <c r="AS234" i="2"/>
  <c r="M235" i="2"/>
  <c r="AH235" i="2"/>
  <c r="BH235" i="2"/>
  <c r="W236" i="2"/>
  <c r="AV236" i="2"/>
  <c r="L237" i="2"/>
  <c r="AF237" i="2"/>
  <c r="BD237" i="2"/>
  <c r="R238" i="2"/>
  <c r="AK238" i="2"/>
  <c r="BG238" i="2"/>
  <c r="T239" i="2"/>
  <c r="AM239" i="2"/>
  <c r="BF239" i="2"/>
  <c r="S240" i="2"/>
  <c r="AO240" i="2"/>
  <c r="BH240" i="2"/>
  <c r="U241" i="2"/>
  <c r="AN241" i="2"/>
  <c r="D242" i="2"/>
  <c r="W242" i="2"/>
  <c r="AP242" i="2"/>
  <c r="C243" i="2"/>
  <c r="Y243" i="2"/>
  <c r="AR243" i="2"/>
  <c r="E244" i="2"/>
  <c r="X244" i="2"/>
  <c r="AQ244" i="2"/>
  <c r="E245" i="2"/>
  <c r="W245" i="2"/>
  <c r="AO245" i="2"/>
  <c r="BG245" i="2"/>
  <c r="S246" i="2"/>
  <c r="AK246" i="2"/>
  <c r="BC246" i="2"/>
  <c r="O247" i="2"/>
  <c r="AG247" i="2"/>
  <c r="AX247" i="2"/>
  <c r="H248" i="2"/>
  <c r="X248" i="2"/>
  <c r="AN248" i="2"/>
  <c r="BD248" i="2"/>
  <c r="N249" i="2"/>
  <c r="AD249" i="2"/>
  <c r="AT249" i="2"/>
  <c r="D250" i="2"/>
  <c r="T250" i="2"/>
  <c r="AJ250" i="2"/>
  <c r="AZ250" i="2"/>
  <c r="J251" i="2"/>
  <c r="Z251" i="2"/>
  <c r="AP251" i="2"/>
  <c r="BF251" i="2"/>
  <c r="P252" i="2"/>
  <c r="AF252" i="2"/>
  <c r="AV252" i="2"/>
  <c r="F253" i="2"/>
  <c r="AM185" i="2"/>
  <c r="BF194" i="2"/>
  <c r="P201" i="2"/>
  <c r="R206" i="2"/>
  <c r="BC209" i="2"/>
  <c r="R213" i="2"/>
  <c r="T216" i="2"/>
  <c r="R219" i="2"/>
  <c r="BD220" i="2"/>
  <c r="N222" i="2"/>
  <c r="K223" i="2"/>
  <c r="E224" i="2"/>
  <c r="AY224" i="2"/>
  <c r="AO225" i="2"/>
  <c r="AJ226" i="2"/>
  <c r="N227" i="2"/>
  <c r="AW227" i="2"/>
  <c r="R228" i="2"/>
  <c r="AO228" i="2"/>
  <c r="K229" i="2"/>
  <c r="AG229" i="2"/>
  <c r="BG229" i="2"/>
  <c r="V230" i="2"/>
  <c r="AV230" i="2"/>
  <c r="K231" i="2"/>
  <c r="AK231" i="2"/>
  <c r="BF231" i="2"/>
  <c r="Z232" i="2"/>
  <c r="AU232" i="2"/>
  <c r="N233" i="2"/>
  <c r="AJ233" i="2"/>
  <c r="BE233" i="2"/>
  <c r="Y234" i="2"/>
  <c r="AT234" i="2"/>
  <c r="N235" i="2"/>
  <c r="AI235" i="2"/>
  <c r="C236" i="2"/>
  <c r="X236" i="2"/>
  <c r="AX236" i="2"/>
  <c r="M237" i="2"/>
  <c r="AG237" i="2"/>
  <c r="BE237" i="2"/>
  <c r="S238" i="2"/>
  <c r="AL238" i="2"/>
  <c r="BH238" i="2"/>
  <c r="U239" i="2"/>
  <c r="AN239" i="2"/>
  <c r="BG239" i="2"/>
  <c r="W240" i="2"/>
  <c r="AP240" i="2"/>
  <c r="C241" i="2"/>
  <c r="V241" i="2"/>
  <c r="AO241" i="2"/>
  <c r="E242" i="2"/>
  <c r="X242" i="2"/>
  <c r="AQ242" i="2"/>
  <c r="D243" i="2"/>
  <c r="Z243" i="2"/>
  <c r="AS243" i="2"/>
  <c r="F244" i="2"/>
  <c r="Y244" i="2"/>
  <c r="AR244" i="2"/>
  <c r="I186" i="2"/>
  <c r="BG194" i="2"/>
  <c r="W201" i="2"/>
  <c r="S206" i="2"/>
  <c r="BD209" i="2"/>
  <c r="S213" i="2"/>
  <c r="U216" i="2"/>
  <c r="S219" i="2"/>
  <c r="BE220" i="2"/>
  <c r="O222" i="2"/>
  <c r="L223" i="2"/>
  <c r="H224" i="2"/>
  <c r="BH224" i="2"/>
  <c r="AP225" i="2"/>
  <c r="AK226" i="2"/>
  <c r="O227" i="2"/>
  <c r="AX227" i="2"/>
  <c r="S228" i="2"/>
  <c r="AP228" i="2"/>
  <c r="L229" i="2"/>
  <c r="AL229" i="2"/>
  <c r="BH229" i="2"/>
  <c r="W230" i="2"/>
  <c r="AW230" i="2"/>
  <c r="L231" i="2"/>
  <c r="AL231" i="2"/>
  <c r="BG231" i="2"/>
  <c r="AA232" i="2"/>
  <c r="AV232" i="2"/>
  <c r="P233" i="2"/>
  <c r="AK233" i="2"/>
  <c r="D234" i="2"/>
  <c r="Z234" i="2"/>
  <c r="AU234" i="2"/>
  <c r="O235" i="2"/>
  <c r="AJ235" i="2"/>
  <c r="D236" i="2"/>
  <c r="Y236" i="2"/>
  <c r="AY236" i="2"/>
  <c r="N237" i="2"/>
  <c r="AL237" i="2"/>
  <c r="BF237" i="2"/>
  <c r="T238" i="2"/>
  <c r="AM238" i="2"/>
  <c r="C239" i="2"/>
  <c r="V239" i="2"/>
  <c r="AO239" i="2"/>
  <c r="BH239" i="2"/>
  <c r="X240" i="2"/>
  <c r="AQ240" i="2"/>
  <c r="D241" i="2"/>
  <c r="W241" i="2"/>
  <c r="AS241" i="2"/>
  <c r="F242" i="2"/>
  <c r="Y242" i="2"/>
  <c r="AR242" i="2"/>
  <c r="E243" i="2"/>
  <c r="AA243" i="2"/>
  <c r="AT243" i="2"/>
  <c r="G244" i="2"/>
  <c r="Z244" i="2"/>
  <c r="AU244" i="2"/>
  <c r="G245" i="2"/>
  <c r="Y245" i="2"/>
  <c r="AQ245" i="2"/>
  <c r="C246" i="2"/>
  <c r="U246" i="2"/>
  <c r="AM246" i="2"/>
  <c r="BG246" i="2"/>
  <c r="R247" i="2"/>
  <c r="AI247" i="2"/>
  <c r="AZ247" i="2"/>
  <c r="J248" i="2"/>
  <c r="Z248" i="2"/>
  <c r="AP248" i="2"/>
  <c r="BF248" i="2"/>
  <c r="P249" i="2"/>
  <c r="AF249" i="2"/>
  <c r="AV249" i="2"/>
  <c r="F250" i="2"/>
  <c r="V250" i="2"/>
  <c r="AL250" i="2"/>
  <c r="BB250" i="2"/>
  <c r="L251" i="2"/>
  <c r="AB251" i="2"/>
  <c r="F188" i="2"/>
  <c r="AV195" i="2"/>
  <c r="BB201" i="2"/>
  <c r="AX206" i="2"/>
  <c r="Y210" i="2"/>
  <c r="AR213" i="2"/>
  <c r="AR216" i="2"/>
  <c r="AK219" i="2"/>
  <c r="BF220" i="2"/>
  <c r="P222" i="2"/>
  <c r="S223" i="2"/>
  <c r="I224" i="2"/>
  <c r="C225" i="2"/>
  <c r="AW225" i="2"/>
  <c r="AL226" i="2"/>
  <c r="P227" i="2"/>
  <c r="AY227" i="2"/>
  <c r="U228" i="2"/>
  <c r="AQ228" i="2"/>
  <c r="M229" i="2"/>
  <c r="AN229" i="2"/>
  <c r="C230" i="2"/>
  <c r="AB230" i="2"/>
  <c r="AX230" i="2"/>
  <c r="M231" i="2"/>
  <c r="AM231" i="2"/>
  <c r="BH231" i="2"/>
  <c r="AB232" i="2"/>
  <c r="AW232" i="2"/>
  <c r="Q233" i="2"/>
  <c r="AL233" i="2"/>
  <c r="F234" i="2"/>
  <c r="AA234" i="2"/>
  <c r="AZ234" i="2"/>
  <c r="P235" i="2"/>
  <c r="AK235" i="2"/>
  <c r="E236" i="2"/>
  <c r="Z236" i="2"/>
  <c r="AZ236" i="2"/>
  <c r="O237" i="2"/>
  <c r="AM237" i="2"/>
  <c r="BG237" i="2"/>
  <c r="U238" i="2"/>
  <c r="AQ238" i="2"/>
  <c r="D239" i="2"/>
  <c r="W239" i="2"/>
  <c r="AP239" i="2"/>
  <c r="C240" i="2"/>
  <c r="Y240" i="2"/>
  <c r="AR240" i="2"/>
  <c r="E241" i="2"/>
  <c r="X241" i="2"/>
  <c r="AT241" i="2"/>
  <c r="G242" i="2"/>
  <c r="Z242" i="2"/>
  <c r="AS242" i="2"/>
  <c r="I243" i="2"/>
  <c r="AB243" i="2"/>
  <c r="AU243" i="2"/>
  <c r="H244" i="2"/>
  <c r="AA244" i="2"/>
  <c r="AV244" i="2"/>
  <c r="H245" i="2"/>
  <c r="Z245" i="2"/>
  <c r="AR245" i="2"/>
  <c r="D246" i="2"/>
  <c r="V246" i="2"/>
  <c r="AN246" i="2"/>
  <c r="BH246" i="2"/>
  <c r="S247" i="2"/>
  <c r="AJ247" i="2"/>
  <c r="BA247" i="2"/>
  <c r="K248" i="2"/>
  <c r="AA248" i="2"/>
  <c r="AQ248" i="2"/>
  <c r="BG248" i="2"/>
  <c r="Q249" i="2"/>
  <c r="AG249" i="2"/>
  <c r="AW249" i="2"/>
  <c r="G250" i="2"/>
  <c r="W250" i="2"/>
  <c r="AM250" i="2"/>
  <c r="BC250" i="2"/>
  <c r="G188" i="2"/>
  <c r="BE195" i="2"/>
  <c r="F202" i="2"/>
  <c r="AY206" i="2"/>
  <c r="Z210" i="2"/>
  <c r="AS213" i="2"/>
  <c r="AS216" i="2"/>
  <c r="AL219" i="2"/>
  <c r="N221" i="2"/>
  <c r="AD222" i="2"/>
  <c r="Z223" i="2"/>
  <c r="J224" i="2"/>
  <c r="D225" i="2"/>
  <c r="BD225" i="2"/>
  <c r="AM226" i="2"/>
  <c r="Q227" i="2"/>
  <c r="AZ227" i="2"/>
  <c r="V228" i="2"/>
  <c r="AV228" i="2"/>
  <c r="N229" i="2"/>
  <c r="AO229" i="2"/>
  <c r="D230" i="2"/>
  <c r="AD230" i="2"/>
  <c r="AY230" i="2"/>
  <c r="R231" i="2"/>
  <c r="AN231" i="2"/>
  <c r="C232" i="2"/>
  <c r="AC232" i="2"/>
  <c r="AX232" i="2"/>
  <c r="R233" i="2"/>
  <c r="AM233" i="2"/>
  <c r="G234" i="2"/>
  <c r="AB234" i="2"/>
  <c r="BB234" i="2"/>
  <c r="Q235" i="2"/>
  <c r="AP235" i="2"/>
  <c r="F236" i="2"/>
  <c r="AA236" i="2"/>
  <c r="BA236" i="2"/>
  <c r="P237" i="2"/>
  <c r="AN237" i="2"/>
  <c r="BH237" i="2"/>
  <c r="V238" i="2"/>
  <c r="AR238" i="2"/>
  <c r="AV166" i="2"/>
  <c r="AR207" i="2"/>
  <c r="P220" i="2"/>
  <c r="Z224" i="2"/>
  <c r="AE227" i="2"/>
  <c r="V229" i="2"/>
  <c r="BC230" i="2"/>
  <c r="AG232" i="2"/>
  <c r="K234" i="2"/>
  <c r="AU235" i="2"/>
  <c r="X237" i="2"/>
  <c r="AV238" i="2"/>
  <c r="BA239" i="2"/>
  <c r="F241" i="2"/>
  <c r="I242" i="2"/>
  <c r="BH242" i="2"/>
  <c r="AZ243" i="2"/>
  <c r="AX244" i="2"/>
  <c r="AE245" i="2"/>
  <c r="R246" i="2"/>
  <c r="C247" i="2"/>
  <c r="AM247" i="2"/>
  <c r="S248" i="2"/>
  <c r="BE248" i="2"/>
  <c r="AI249" i="2"/>
  <c r="L250" i="2"/>
  <c r="AY250" i="2"/>
  <c r="AA251" i="2"/>
  <c r="BE251" i="2"/>
  <c r="X252" i="2"/>
  <c r="BA252" i="2"/>
  <c r="X253" i="2"/>
  <c r="AW253" i="2"/>
  <c r="P254" i="2"/>
  <c r="AR254" i="2"/>
  <c r="H255" i="2"/>
  <c r="AJ255" i="2"/>
  <c r="C256" i="2"/>
  <c r="AB256" i="2"/>
  <c r="BD256" i="2"/>
  <c r="T257" i="2"/>
  <c r="AV257" i="2"/>
  <c r="O258" i="2"/>
  <c r="AN258" i="2"/>
  <c r="J259" i="2"/>
  <c r="AF259" i="2"/>
  <c r="BH259" i="2"/>
  <c r="AA260" i="2"/>
  <c r="AZ260" i="2"/>
  <c r="V261" i="2"/>
  <c r="AR261" i="2"/>
  <c r="N262" i="2"/>
  <c r="AM262" i="2"/>
  <c r="D263" i="2"/>
  <c r="Z263" i="2"/>
  <c r="AX263" i="2"/>
  <c r="L264" i="2"/>
  <c r="AI264" i="2"/>
  <c r="BD264" i="2"/>
  <c r="R265" i="2"/>
  <c r="AO265" i="2"/>
  <c r="D266" i="2"/>
  <c r="X266" i="2"/>
  <c r="AU266" i="2"/>
  <c r="J267" i="2"/>
  <c r="AC267" i="2"/>
  <c r="AV267" i="2"/>
  <c r="L268" i="2"/>
  <c r="AE268" i="2"/>
  <c r="AX268" i="2"/>
  <c r="K269" i="2"/>
  <c r="AG269" i="2"/>
  <c r="AZ269" i="2"/>
  <c r="M270" i="2"/>
  <c r="AF270" i="2"/>
  <c r="AZ270" i="2"/>
  <c r="O271" i="2"/>
  <c r="AH271" i="2"/>
  <c r="BA271" i="2"/>
  <c r="N272" i="2"/>
  <c r="AJ272" i="2"/>
  <c r="BC272" i="2"/>
  <c r="P273" i="2"/>
  <c r="AI273" i="2"/>
  <c r="BB273" i="2"/>
  <c r="O274" i="2"/>
  <c r="AF274" i="2"/>
  <c r="AV274" i="2"/>
  <c r="F275" i="2"/>
  <c r="V275" i="2"/>
  <c r="AL275" i="2"/>
  <c r="BB275" i="2"/>
  <c r="L276" i="2"/>
  <c r="AB276" i="2"/>
  <c r="AR276" i="2"/>
  <c r="BH276" i="2"/>
  <c r="R277" i="2"/>
  <c r="AH277" i="2"/>
  <c r="AX277" i="2"/>
  <c r="H278" i="2"/>
  <c r="X278" i="2"/>
  <c r="AN278" i="2"/>
  <c r="BD278" i="2"/>
  <c r="N279" i="2"/>
  <c r="AD279" i="2"/>
  <c r="AT279" i="2"/>
  <c r="D280" i="2"/>
  <c r="T280" i="2"/>
  <c r="AJ280" i="2"/>
  <c r="AZ280" i="2"/>
  <c r="J281" i="2"/>
  <c r="Z281" i="2"/>
  <c r="AP281" i="2"/>
  <c r="BF281" i="2"/>
  <c r="P282" i="2"/>
  <c r="AF282" i="2"/>
  <c r="AV282" i="2"/>
  <c r="F283" i="2"/>
  <c r="V283" i="2"/>
  <c r="AL283" i="2"/>
  <c r="BB283" i="2"/>
  <c r="L284" i="2"/>
  <c r="AB284" i="2"/>
  <c r="AR284" i="2"/>
  <c r="BH284" i="2"/>
  <c r="R285" i="2"/>
  <c r="AH285" i="2"/>
  <c r="AX285" i="2"/>
  <c r="H286" i="2"/>
  <c r="X286" i="2"/>
  <c r="AN286" i="2"/>
  <c r="BD286" i="2"/>
  <c r="N287" i="2"/>
  <c r="AD287" i="2"/>
  <c r="AT287" i="2"/>
  <c r="D288" i="2"/>
  <c r="T288" i="2"/>
  <c r="AJ288" i="2"/>
  <c r="AZ288" i="2"/>
  <c r="J289" i="2"/>
  <c r="Z289" i="2"/>
  <c r="AP289" i="2"/>
  <c r="BF289" i="2"/>
  <c r="P290" i="2"/>
  <c r="AF290" i="2"/>
  <c r="AV290" i="2"/>
  <c r="F291" i="2"/>
  <c r="V291" i="2"/>
  <c r="AL291" i="2"/>
  <c r="BB291" i="2"/>
  <c r="L292" i="2"/>
  <c r="AB292" i="2"/>
  <c r="AR292" i="2"/>
  <c r="BH292" i="2"/>
  <c r="R293" i="2"/>
  <c r="AH293" i="2"/>
  <c r="AX293" i="2"/>
  <c r="H294" i="2"/>
  <c r="X294" i="2"/>
  <c r="AN294" i="2"/>
  <c r="BD294" i="2"/>
  <c r="N295" i="2"/>
  <c r="AD295" i="2"/>
  <c r="AT295" i="2"/>
  <c r="D296" i="2"/>
  <c r="T296" i="2"/>
  <c r="AJ296" i="2"/>
  <c r="AZ296" i="2"/>
  <c r="J297" i="2"/>
  <c r="Z297" i="2"/>
  <c r="AP297" i="2"/>
  <c r="BF297" i="2"/>
  <c r="P298" i="2"/>
  <c r="AF298" i="2"/>
  <c r="AV298" i="2"/>
  <c r="F299" i="2"/>
  <c r="V299" i="2"/>
  <c r="AL299" i="2"/>
  <c r="BB299" i="2"/>
  <c r="L300" i="2"/>
  <c r="AB300" i="2"/>
  <c r="AR300" i="2"/>
  <c r="BH300" i="2"/>
  <c r="R301" i="2"/>
  <c r="AH301" i="2"/>
  <c r="AX301" i="2"/>
  <c r="H302" i="2"/>
  <c r="X302" i="2"/>
  <c r="I176" i="2"/>
  <c r="AI208" i="2"/>
  <c r="U220" i="2"/>
  <c r="AG224" i="2"/>
  <c r="AH227" i="2"/>
  <c r="AA229" i="2"/>
  <c r="E231" i="2"/>
  <c r="AN232" i="2"/>
  <c r="N234" i="2"/>
  <c r="AX235" i="2"/>
  <c r="AA237" i="2"/>
  <c r="AY238" i="2"/>
  <c r="G240" i="2"/>
  <c r="G241" i="2"/>
  <c r="J242" i="2"/>
  <c r="J243" i="2"/>
  <c r="BF243" i="2"/>
  <c r="AY244" i="2"/>
  <c r="AH245" i="2"/>
  <c r="T246" i="2"/>
  <c r="D247" i="2"/>
  <c r="AO247" i="2"/>
  <c r="W248" i="2"/>
  <c r="BH248" i="2"/>
  <c r="AJ249" i="2"/>
  <c r="O250" i="2"/>
  <c r="BA250" i="2"/>
  <c r="AC251" i="2"/>
  <c r="BG251" i="2"/>
  <c r="AA252" i="2"/>
  <c r="BB252" i="2"/>
  <c r="Y253" i="2"/>
  <c r="BA253" i="2"/>
  <c r="Q254" i="2"/>
  <c r="AS254" i="2"/>
  <c r="J255" i="2"/>
  <c r="AK255" i="2"/>
  <c r="G256" i="2"/>
  <c r="AC256" i="2"/>
  <c r="BE256" i="2"/>
  <c r="V257" i="2"/>
  <c r="AW257" i="2"/>
  <c r="S258" i="2"/>
  <c r="AO258" i="2"/>
  <c r="K259" i="2"/>
  <c r="AH259" i="2"/>
  <c r="C260" i="2"/>
  <c r="AE260" i="2"/>
  <c r="BA260" i="2"/>
  <c r="W261" i="2"/>
  <c r="AT261" i="2"/>
  <c r="O262" i="2"/>
  <c r="AP262" i="2"/>
  <c r="E263" i="2"/>
  <c r="AC263" i="2"/>
  <c r="AY263" i="2"/>
  <c r="M264" i="2"/>
  <c r="AK264" i="2"/>
  <c r="BE264" i="2"/>
  <c r="S265" i="2"/>
  <c r="AQ265" i="2"/>
  <c r="E266" i="2"/>
  <c r="Y266" i="2"/>
  <c r="AW266" i="2"/>
  <c r="K267" i="2"/>
  <c r="AD267" i="2"/>
  <c r="AX267" i="2"/>
  <c r="M268" i="2"/>
  <c r="AF268" i="2"/>
  <c r="AY268" i="2"/>
  <c r="L269" i="2"/>
  <c r="AH269" i="2"/>
  <c r="BA269" i="2"/>
  <c r="N270" i="2"/>
  <c r="AG270" i="2"/>
  <c r="BC270" i="2"/>
  <c r="P271" i="2"/>
  <c r="AI271" i="2"/>
  <c r="BB271" i="2"/>
  <c r="P272" i="2"/>
  <c r="AK272" i="2"/>
  <c r="BD272" i="2"/>
  <c r="Q273" i="2"/>
  <c r="AJ273" i="2"/>
  <c r="BC273" i="2"/>
  <c r="P274" i="2"/>
  <c r="AG274" i="2"/>
  <c r="AW274" i="2"/>
  <c r="G275" i="2"/>
  <c r="W275" i="2"/>
  <c r="AM275" i="2"/>
  <c r="BC275" i="2"/>
  <c r="M276" i="2"/>
  <c r="AC276" i="2"/>
  <c r="AS276" i="2"/>
  <c r="C277" i="2"/>
  <c r="S277" i="2"/>
  <c r="AI277" i="2"/>
  <c r="AY277" i="2"/>
  <c r="I278" i="2"/>
  <c r="Y278" i="2"/>
  <c r="AO278" i="2"/>
  <c r="BE278" i="2"/>
  <c r="O279" i="2"/>
  <c r="AE279" i="2"/>
  <c r="AU279" i="2"/>
  <c r="E280" i="2"/>
  <c r="U280" i="2"/>
  <c r="AK280" i="2"/>
  <c r="BA280" i="2"/>
  <c r="K281" i="2"/>
  <c r="AA281" i="2"/>
  <c r="AQ281" i="2"/>
  <c r="BG281" i="2"/>
  <c r="Q282" i="2"/>
  <c r="AG282" i="2"/>
  <c r="AW282" i="2"/>
  <c r="G283" i="2"/>
  <c r="W283" i="2"/>
  <c r="AM283" i="2"/>
  <c r="BC283" i="2"/>
  <c r="M284" i="2"/>
  <c r="AC284" i="2"/>
  <c r="AS284" i="2"/>
  <c r="C285" i="2"/>
  <c r="S285" i="2"/>
  <c r="AI285" i="2"/>
  <c r="AY285" i="2"/>
  <c r="I286" i="2"/>
  <c r="Y286" i="2"/>
  <c r="AO286" i="2"/>
  <c r="BE286" i="2"/>
  <c r="O287" i="2"/>
  <c r="AE287" i="2"/>
  <c r="AU287" i="2"/>
  <c r="E288" i="2"/>
  <c r="U288" i="2"/>
  <c r="AK288" i="2"/>
  <c r="BA288" i="2"/>
  <c r="K289" i="2"/>
  <c r="AA289" i="2"/>
  <c r="AQ289" i="2"/>
  <c r="BG289" i="2"/>
  <c r="Q290" i="2"/>
  <c r="AG290" i="2"/>
  <c r="AW290" i="2"/>
  <c r="G291" i="2"/>
  <c r="W291" i="2"/>
  <c r="AM291" i="2"/>
  <c r="BC291" i="2"/>
  <c r="M292" i="2"/>
  <c r="AC292" i="2"/>
  <c r="AS292" i="2"/>
  <c r="C293" i="2"/>
  <c r="S293" i="2"/>
  <c r="AI293" i="2"/>
  <c r="AY293" i="2"/>
  <c r="I294" i="2"/>
  <c r="Y294" i="2"/>
  <c r="AO294" i="2"/>
  <c r="BE294" i="2"/>
  <c r="O295" i="2"/>
  <c r="AE295" i="2"/>
  <c r="AU295" i="2"/>
  <c r="E296" i="2"/>
  <c r="U296" i="2"/>
  <c r="AK296" i="2"/>
  <c r="BA296" i="2"/>
  <c r="K297" i="2"/>
  <c r="AA297" i="2"/>
  <c r="AQ297" i="2"/>
  <c r="BG297" i="2"/>
  <c r="Q298" i="2"/>
  <c r="AG298" i="2"/>
  <c r="AW298" i="2"/>
  <c r="G299" i="2"/>
  <c r="W299" i="2"/>
  <c r="AM299" i="2"/>
  <c r="BC299" i="2"/>
  <c r="M300" i="2"/>
  <c r="AC300" i="2"/>
  <c r="AS300" i="2"/>
  <c r="C301" i="2"/>
  <c r="S301" i="2"/>
  <c r="AI301" i="2"/>
  <c r="AY301" i="2"/>
  <c r="I302" i="2"/>
  <c r="AE189" i="2"/>
  <c r="AU210" i="2"/>
  <c r="P221" i="2"/>
  <c r="E225" i="2"/>
  <c r="BA227" i="2"/>
  <c r="AP229" i="2"/>
  <c r="T231" i="2"/>
  <c r="AY232" i="2"/>
  <c r="AC234" i="2"/>
  <c r="G236" i="2"/>
  <c r="AO237" i="2"/>
  <c r="E239" i="2"/>
  <c r="H240" i="2"/>
  <c r="H241" i="2"/>
  <c r="L242" i="2"/>
  <c r="K243" i="2"/>
  <c r="D244" i="2"/>
  <c r="BA244" i="2"/>
  <c r="AN245" i="2"/>
  <c r="W246" i="2"/>
  <c r="E247" i="2"/>
  <c r="AR247" i="2"/>
  <c r="Y248" i="2"/>
  <c r="C249" i="2"/>
  <c r="AL249" i="2"/>
  <c r="S250" i="2"/>
  <c r="BD250" i="2"/>
  <c r="AD251" i="2"/>
  <c r="BH251" i="2"/>
  <c r="AE252" i="2"/>
  <c r="BD252" i="2"/>
  <c r="Z253" i="2"/>
  <c r="BB253" i="2"/>
  <c r="R254" i="2"/>
  <c r="AT254" i="2"/>
  <c r="M255" i="2"/>
  <c r="AL255" i="2"/>
  <c r="H256" i="2"/>
  <c r="AD256" i="2"/>
  <c r="BF256" i="2"/>
  <c r="Y257" i="2"/>
  <c r="AX257" i="2"/>
  <c r="T258" i="2"/>
  <c r="AP258" i="2"/>
  <c r="L259" i="2"/>
  <c r="AK259" i="2"/>
  <c r="D260" i="2"/>
  <c r="AF260" i="2"/>
  <c r="BB260" i="2"/>
  <c r="X261" i="2"/>
  <c r="AW261" i="2"/>
  <c r="P262" i="2"/>
  <c r="AQ262" i="2"/>
  <c r="F263" i="2"/>
  <c r="AF263" i="2"/>
  <c r="AZ263" i="2"/>
  <c r="N264" i="2"/>
  <c r="AL264" i="2"/>
  <c r="BF264" i="2"/>
  <c r="T265" i="2"/>
  <c r="AR265" i="2"/>
  <c r="F266" i="2"/>
  <c r="Z266" i="2"/>
  <c r="AX266" i="2"/>
  <c r="L267" i="2"/>
  <c r="AE267" i="2"/>
  <c r="BA267" i="2"/>
  <c r="N268" i="2"/>
  <c r="AG268" i="2"/>
  <c r="AZ268" i="2"/>
  <c r="N269" i="2"/>
  <c r="AI269" i="2"/>
  <c r="BB269" i="2"/>
  <c r="O270" i="2"/>
  <c r="AH270" i="2"/>
  <c r="BD270" i="2"/>
  <c r="Q271" i="2"/>
  <c r="AJ271" i="2"/>
  <c r="BC271" i="2"/>
  <c r="S272" i="2"/>
  <c r="AL272" i="2"/>
  <c r="BE272" i="2"/>
  <c r="R273" i="2"/>
  <c r="AL273" i="2"/>
  <c r="BE273" i="2"/>
  <c r="Q274" i="2"/>
  <c r="AH274" i="2"/>
  <c r="AX274" i="2"/>
  <c r="H275" i="2"/>
  <c r="X275" i="2"/>
  <c r="AN275" i="2"/>
  <c r="BD275" i="2"/>
  <c r="N276" i="2"/>
  <c r="AD276" i="2"/>
  <c r="AT276" i="2"/>
  <c r="D277" i="2"/>
  <c r="T277" i="2"/>
  <c r="AJ277" i="2"/>
  <c r="AZ277" i="2"/>
  <c r="J278" i="2"/>
  <c r="Z278" i="2"/>
  <c r="AP278" i="2"/>
  <c r="BF278" i="2"/>
  <c r="P279" i="2"/>
  <c r="AF279" i="2"/>
  <c r="AV279" i="2"/>
  <c r="F280" i="2"/>
  <c r="V280" i="2"/>
  <c r="AL280" i="2"/>
  <c r="BB280" i="2"/>
  <c r="L281" i="2"/>
  <c r="AB281" i="2"/>
  <c r="AR281" i="2"/>
  <c r="BH281" i="2"/>
  <c r="R282" i="2"/>
  <c r="AH282" i="2"/>
  <c r="AX282" i="2"/>
  <c r="H283" i="2"/>
  <c r="X283" i="2"/>
  <c r="AN283" i="2"/>
  <c r="BD283" i="2"/>
  <c r="N284" i="2"/>
  <c r="AD284" i="2"/>
  <c r="AT284" i="2"/>
  <c r="D285" i="2"/>
  <c r="T285" i="2"/>
  <c r="AJ285" i="2"/>
  <c r="AZ285" i="2"/>
  <c r="J286" i="2"/>
  <c r="Z286" i="2"/>
  <c r="AP286" i="2"/>
  <c r="BF286" i="2"/>
  <c r="P287" i="2"/>
  <c r="AF287" i="2"/>
  <c r="AV287" i="2"/>
  <c r="F288" i="2"/>
  <c r="V288" i="2"/>
  <c r="AL288" i="2"/>
  <c r="BB288" i="2"/>
  <c r="L289" i="2"/>
  <c r="AB289" i="2"/>
  <c r="AR289" i="2"/>
  <c r="BH289" i="2"/>
  <c r="R290" i="2"/>
  <c r="AH290" i="2"/>
  <c r="AX290" i="2"/>
  <c r="H291" i="2"/>
  <c r="X291" i="2"/>
  <c r="AN291" i="2"/>
  <c r="BD291" i="2"/>
  <c r="N292" i="2"/>
  <c r="AD292" i="2"/>
  <c r="AT292" i="2"/>
  <c r="D293" i="2"/>
  <c r="T293" i="2"/>
  <c r="AJ293" i="2"/>
  <c r="AZ293" i="2"/>
  <c r="J294" i="2"/>
  <c r="Z294" i="2"/>
  <c r="AP294" i="2"/>
  <c r="BF294" i="2"/>
  <c r="P295" i="2"/>
  <c r="AF295" i="2"/>
  <c r="AV295" i="2"/>
  <c r="F296" i="2"/>
  <c r="V296" i="2"/>
  <c r="AL296" i="2"/>
  <c r="BB296" i="2"/>
  <c r="L297" i="2"/>
  <c r="AB297" i="2"/>
  <c r="AF189" i="2"/>
  <c r="AV210" i="2"/>
  <c r="Q221" i="2"/>
  <c r="F225" i="2"/>
  <c r="BF227" i="2"/>
  <c r="AQ229" i="2"/>
  <c r="U231" i="2"/>
  <c r="BD232" i="2"/>
  <c r="AD234" i="2"/>
  <c r="H236" i="2"/>
  <c r="AP237" i="2"/>
  <c r="F239" i="2"/>
  <c r="I240" i="2"/>
  <c r="M241" i="2"/>
  <c r="O242" i="2"/>
  <c r="L243" i="2"/>
  <c r="I244" i="2"/>
  <c r="BD244" i="2"/>
  <c r="AP245" i="2"/>
  <c r="X246" i="2"/>
  <c r="G247" i="2"/>
  <c r="AW247" i="2"/>
  <c r="AB248" i="2"/>
  <c r="D249" i="2"/>
  <c r="AO249" i="2"/>
  <c r="U250" i="2"/>
  <c r="BE250" i="2"/>
  <c r="AE251" i="2"/>
  <c r="C252" i="2"/>
  <c r="AG252" i="2"/>
  <c r="BG252" i="2"/>
  <c r="AA253" i="2"/>
  <c r="BC253" i="2"/>
  <c r="T254" i="2"/>
  <c r="AU254" i="2"/>
  <c r="Q255" i="2"/>
  <c r="AM255" i="2"/>
  <c r="I256" i="2"/>
  <c r="AF256" i="2"/>
  <c r="BG256" i="2"/>
  <c r="AC257" i="2"/>
  <c r="AY257" i="2"/>
  <c r="U258" i="2"/>
  <c r="AR258" i="2"/>
  <c r="M259" i="2"/>
  <c r="AO259" i="2"/>
  <c r="E260" i="2"/>
  <c r="AG260" i="2"/>
  <c r="BD260" i="2"/>
  <c r="Y261" i="2"/>
  <c r="BA261" i="2"/>
  <c r="Q262" i="2"/>
  <c r="AR262" i="2"/>
  <c r="G263" i="2"/>
  <c r="AG263" i="2"/>
  <c r="BA263" i="2"/>
  <c r="P264" i="2"/>
  <c r="AM264" i="2"/>
  <c r="BG264" i="2"/>
  <c r="V265" i="2"/>
  <c r="AS265" i="2"/>
  <c r="G266" i="2"/>
  <c r="AB266" i="2"/>
  <c r="AY266" i="2"/>
  <c r="M267" i="2"/>
  <c r="AF267" i="2"/>
  <c r="BB267" i="2"/>
  <c r="O268" i="2"/>
  <c r="AH268" i="2"/>
  <c r="BA268" i="2"/>
  <c r="Q269" i="2"/>
  <c r="AJ269" i="2"/>
  <c r="BC269" i="2"/>
  <c r="P270" i="2"/>
  <c r="AJ270" i="2"/>
  <c r="BE270" i="2"/>
  <c r="R271" i="2"/>
  <c r="AK271" i="2"/>
  <c r="BD271" i="2"/>
  <c r="T272" i="2"/>
  <c r="AM272" i="2"/>
  <c r="BF272" i="2"/>
  <c r="S273" i="2"/>
  <c r="AM273" i="2"/>
  <c r="BF273" i="2"/>
  <c r="R274" i="2"/>
  <c r="AI274" i="2"/>
  <c r="AY274" i="2"/>
  <c r="I275" i="2"/>
  <c r="Y275" i="2"/>
  <c r="AO275" i="2"/>
  <c r="BE275" i="2"/>
  <c r="O276" i="2"/>
  <c r="AE276" i="2"/>
  <c r="AU276" i="2"/>
  <c r="E277" i="2"/>
  <c r="U277" i="2"/>
  <c r="AK277" i="2"/>
  <c r="BA277" i="2"/>
  <c r="K278" i="2"/>
  <c r="AA278" i="2"/>
  <c r="AQ278" i="2"/>
  <c r="BG278" i="2"/>
  <c r="Q279" i="2"/>
  <c r="AG279" i="2"/>
  <c r="AW279" i="2"/>
  <c r="G280" i="2"/>
  <c r="W280" i="2"/>
  <c r="AM280" i="2"/>
  <c r="BC280" i="2"/>
  <c r="M281" i="2"/>
  <c r="AC281" i="2"/>
  <c r="AS281" i="2"/>
  <c r="C282" i="2"/>
  <c r="S282" i="2"/>
  <c r="AI282" i="2"/>
  <c r="AY282" i="2"/>
  <c r="I283" i="2"/>
  <c r="Y283" i="2"/>
  <c r="AO283" i="2"/>
  <c r="BE283" i="2"/>
  <c r="O284" i="2"/>
  <c r="AE284" i="2"/>
  <c r="AU284" i="2"/>
  <c r="E285" i="2"/>
  <c r="U285" i="2"/>
  <c r="AK285" i="2"/>
  <c r="BA285" i="2"/>
  <c r="K286" i="2"/>
  <c r="AA286" i="2"/>
  <c r="AQ286" i="2"/>
  <c r="BG286" i="2"/>
  <c r="Q287" i="2"/>
  <c r="AG287" i="2"/>
  <c r="AW287" i="2"/>
  <c r="G288" i="2"/>
  <c r="W288" i="2"/>
  <c r="AM288" i="2"/>
  <c r="BC288" i="2"/>
  <c r="M289" i="2"/>
  <c r="AC289" i="2"/>
  <c r="AS289" i="2"/>
  <c r="C290" i="2"/>
  <c r="S290" i="2"/>
  <c r="AI290" i="2"/>
  <c r="AY290" i="2"/>
  <c r="I291" i="2"/>
  <c r="Y291" i="2"/>
  <c r="AO291" i="2"/>
  <c r="BE291" i="2"/>
  <c r="O292" i="2"/>
  <c r="AE292" i="2"/>
  <c r="AU292" i="2"/>
  <c r="E293" i="2"/>
  <c r="U293" i="2"/>
  <c r="AK293" i="2"/>
  <c r="BA293" i="2"/>
  <c r="K294" i="2"/>
  <c r="AA294" i="2"/>
  <c r="AQ294" i="2"/>
  <c r="BG294" i="2"/>
  <c r="Q295" i="2"/>
  <c r="AG295" i="2"/>
  <c r="AW295" i="2"/>
  <c r="G296" i="2"/>
  <c r="W296" i="2"/>
  <c r="AM296" i="2"/>
  <c r="BC296" i="2"/>
  <c r="M297" i="2"/>
  <c r="AC297" i="2"/>
  <c r="AW190" i="2"/>
  <c r="R211" i="2"/>
  <c r="AF221" i="2"/>
  <c r="T225" i="2"/>
  <c r="C228" i="2"/>
  <c r="AS229" i="2"/>
  <c r="W231" i="2"/>
  <c r="BG232" i="2"/>
  <c r="AJ234" i="2"/>
  <c r="J236" i="2"/>
  <c r="AR237" i="2"/>
  <c r="G239" i="2"/>
  <c r="K240" i="2"/>
  <c r="P241" i="2"/>
  <c r="V242" i="2"/>
  <c r="N243" i="2"/>
  <c r="J244" i="2"/>
  <c r="BH244" i="2"/>
  <c r="AS245" i="2"/>
  <c r="AA246" i="2"/>
  <c r="J247" i="2"/>
  <c r="AY247" i="2"/>
  <c r="AC248" i="2"/>
  <c r="F249" i="2"/>
  <c r="AS249" i="2"/>
  <c r="X250" i="2"/>
  <c r="BF250" i="2"/>
  <c r="AF251" i="2"/>
  <c r="D252" i="2"/>
  <c r="AH252" i="2"/>
  <c r="E253" i="2"/>
  <c r="AB253" i="2"/>
  <c r="BD253" i="2"/>
  <c r="W254" i="2"/>
  <c r="AV254" i="2"/>
  <c r="R255" i="2"/>
  <c r="AN255" i="2"/>
  <c r="J256" i="2"/>
  <c r="AI256" i="2"/>
  <c r="BH256" i="2"/>
  <c r="AD257" i="2"/>
  <c r="AZ257" i="2"/>
  <c r="V258" i="2"/>
  <c r="AU258" i="2"/>
  <c r="N259" i="2"/>
  <c r="AP259" i="2"/>
  <c r="F260" i="2"/>
  <c r="AH260" i="2"/>
  <c r="BG260" i="2"/>
  <c r="Z261" i="2"/>
  <c r="BB261" i="2"/>
  <c r="R262" i="2"/>
  <c r="AS262" i="2"/>
  <c r="H263" i="2"/>
  <c r="AH263" i="2"/>
  <c r="BB263" i="2"/>
  <c r="S264" i="2"/>
  <c r="AN264" i="2"/>
  <c r="BH264" i="2"/>
  <c r="Y265" i="2"/>
  <c r="AT265" i="2"/>
  <c r="H266" i="2"/>
  <c r="AE266" i="2"/>
  <c r="AZ266" i="2"/>
  <c r="N267" i="2"/>
  <c r="AH267" i="2"/>
  <c r="BC267" i="2"/>
  <c r="P268" i="2"/>
  <c r="AI268" i="2"/>
  <c r="BB268" i="2"/>
  <c r="R269" i="2"/>
  <c r="AK269" i="2"/>
  <c r="BD269" i="2"/>
  <c r="Q270" i="2"/>
  <c r="AM270" i="2"/>
  <c r="BF270" i="2"/>
  <c r="S271" i="2"/>
  <c r="AL271" i="2"/>
  <c r="BF271" i="2"/>
  <c r="U272" i="2"/>
  <c r="AN272" i="2"/>
  <c r="BG272" i="2"/>
  <c r="T273" i="2"/>
  <c r="AO273" i="2"/>
  <c r="BG273" i="2"/>
  <c r="S274" i="2"/>
  <c r="AJ274" i="2"/>
  <c r="AZ274" i="2"/>
  <c r="J275" i="2"/>
  <c r="Z275" i="2"/>
  <c r="AP275" i="2"/>
  <c r="BF275" i="2"/>
  <c r="P276" i="2"/>
  <c r="AF276" i="2"/>
  <c r="AV276" i="2"/>
  <c r="F277" i="2"/>
  <c r="V277" i="2"/>
  <c r="AL277" i="2"/>
  <c r="BB277" i="2"/>
  <c r="L278" i="2"/>
  <c r="AB278" i="2"/>
  <c r="AR278" i="2"/>
  <c r="BH278" i="2"/>
  <c r="R279" i="2"/>
  <c r="AH279" i="2"/>
  <c r="AX279" i="2"/>
  <c r="H280" i="2"/>
  <c r="X280" i="2"/>
  <c r="AN280" i="2"/>
  <c r="BD280" i="2"/>
  <c r="N281" i="2"/>
  <c r="AD281" i="2"/>
  <c r="AT281" i="2"/>
  <c r="D282" i="2"/>
  <c r="T282" i="2"/>
  <c r="AJ282" i="2"/>
  <c r="AZ282" i="2"/>
  <c r="J283" i="2"/>
  <c r="AA192" i="2"/>
  <c r="H212" i="2"/>
  <c r="AL221" i="2"/>
  <c r="W225" i="2"/>
  <c r="G228" i="2"/>
  <c r="AV229" i="2"/>
  <c r="Z231" i="2"/>
  <c r="D233" i="2"/>
  <c r="AN234" i="2"/>
  <c r="R236" i="2"/>
  <c r="AU237" i="2"/>
  <c r="I239" i="2"/>
  <c r="N240" i="2"/>
  <c r="Y241" i="2"/>
  <c r="AA242" i="2"/>
  <c r="Q243" i="2"/>
  <c r="K244" i="2"/>
  <c r="F245" i="2"/>
  <c r="AT245" i="2"/>
  <c r="AC246" i="2"/>
  <c r="N247" i="2"/>
  <c r="BB247" i="2"/>
  <c r="AD248" i="2"/>
  <c r="I249" i="2"/>
  <c r="AU249" i="2"/>
  <c r="Y250" i="2"/>
  <c r="BH250" i="2"/>
  <c r="AH251" i="2"/>
  <c r="E252" i="2"/>
  <c r="AI252" i="2"/>
  <c r="G253" i="2"/>
  <c r="AD253" i="2"/>
  <c r="BE253" i="2"/>
  <c r="AA254" i="2"/>
  <c r="AW254" i="2"/>
  <c r="S255" i="2"/>
  <c r="AP255" i="2"/>
  <c r="K256" i="2"/>
  <c r="AM256" i="2"/>
  <c r="C257" i="2"/>
  <c r="AE257" i="2"/>
  <c r="BB257" i="2"/>
  <c r="W258" i="2"/>
  <c r="AY258" i="2"/>
  <c r="O259" i="2"/>
  <c r="AQ259" i="2"/>
  <c r="H260" i="2"/>
  <c r="AI260" i="2"/>
  <c r="E261" i="2"/>
  <c r="AA261" i="2"/>
  <c r="BC261" i="2"/>
  <c r="T262" i="2"/>
  <c r="AT262" i="2"/>
  <c r="J263" i="2"/>
  <c r="AI263" i="2"/>
  <c r="BC263" i="2"/>
  <c r="U264" i="2"/>
  <c r="AO264" i="2"/>
  <c r="C265" i="2"/>
  <c r="AA265" i="2"/>
  <c r="AU265" i="2"/>
  <c r="I266" i="2"/>
  <c r="AG266" i="2"/>
  <c r="BA266" i="2"/>
  <c r="O267" i="2"/>
  <c r="AK267" i="2"/>
  <c r="BD267" i="2"/>
  <c r="Q268" i="2"/>
  <c r="AJ268" i="2"/>
  <c r="BD268" i="2"/>
  <c r="S269" i="2"/>
  <c r="AL269" i="2"/>
  <c r="BE269" i="2"/>
  <c r="R270" i="2"/>
  <c r="AN270" i="2"/>
  <c r="BG270" i="2"/>
  <c r="T271" i="2"/>
  <c r="AM271" i="2"/>
  <c r="C272" i="2"/>
  <c r="V272" i="2"/>
  <c r="AO272" i="2"/>
  <c r="BH272" i="2"/>
  <c r="V273" i="2"/>
  <c r="AP273" i="2"/>
  <c r="BH273" i="2"/>
  <c r="T274" i="2"/>
  <c r="AK274" i="2"/>
  <c r="BA274" i="2"/>
  <c r="K275" i="2"/>
  <c r="AA275" i="2"/>
  <c r="AQ275" i="2"/>
  <c r="BG275" i="2"/>
  <c r="Q276" i="2"/>
  <c r="AG276" i="2"/>
  <c r="AW276" i="2"/>
  <c r="G277" i="2"/>
  <c r="W277" i="2"/>
  <c r="AM277" i="2"/>
  <c r="BC277" i="2"/>
  <c r="M278" i="2"/>
  <c r="AC278" i="2"/>
  <c r="AS278" i="2"/>
  <c r="C279" i="2"/>
  <c r="S279" i="2"/>
  <c r="AI279" i="2"/>
  <c r="AY279" i="2"/>
  <c r="I280" i="2"/>
  <c r="Y280" i="2"/>
  <c r="AO280" i="2"/>
  <c r="BE280" i="2"/>
  <c r="O281" i="2"/>
  <c r="AE281" i="2"/>
  <c r="AU281" i="2"/>
  <c r="E282" i="2"/>
  <c r="U282" i="2"/>
  <c r="AK282" i="2"/>
  <c r="BA282" i="2"/>
  <c r="K283" i="2"/>
  <c r="AA283" i="2"/>
  <c r="AQ283" i="2"/>
  <c r="BG283" i="2"/>
  <c r="Q284" i="2"/>
  <c r="AG284" i="2"/>
  <c r="AW284" i="2"/>
  <c r="G285" i="2"/>
  <c r="W285" i="2"/>
  <c r="AM285" i="2"/>
  <c r="BC285" i="2"/>
  <c r="M286" i="2"/>
  <c r="AC286" i="2"/>
  <c r="AS286" i="2"/>
  <c r="C287" i="2"/>
  <c r="S287" i="2"/>
  <c r="AI287" i="2"/>
  <c r="AY287" i="2"/>
  <c r="I288" i="2"/>
  <c r="Y288" i="2"/>
  <c r="AO288" i="2"/>
  <c r="BE288" i="2"/>
  <c r="O289" i="2"/>
  <c r="AE289" i="2"/>
  <c r="AU289" i="2"/>
  <c r="AQ196" i="2"/>
  <c r="G214" i="2"/>
  <c r="AE222" i="2"/>
  <c r="BE225" i="2"/>
  <c r="W228" i="2"/>
  <c r="E230" i="2"/>
  <c r="AO231" i="2"/>
  <c r="S233" i="2"/>
  <c r="BC234" i="2"/>
  <c r="AF236" i="2"/>
  <c r="C238" i="2"/>
  <c r="L239" i="2"/>
  <c r="Z240" i="2"/>
  <c r="AC241" i="2"/>
  <c r="AB242" i="2"/>
  <c r="U243" i="2"/>
  <c r="P244" i="2"/>
  <c r="I245" i="2"/>
  <c r="AU245" i="2"/>
  <c r="AF246" i="2"/>
  <c r="Q247" i="2"/>
  <c r="BC247" i="2"/>
  <c r="AF248" i="2"/>
  <c r="M249" i="2"/>
  <c r="AX249" i="2"/>
  <c r="Z250" i="2"/>
  <c r="E251" i="2"/>
  <c r="AK251" i="2"/>
  <c r="F252" i="2"/>
  <c r="AJ252" i="2"/>
  <c r="H253" i="2"/>
  <c r="AG253" i="2"/>
  <c r="BF253" i="2"/>
  <c r="AB254" i="2"/>
  <c r="AX254" i="2"/>
  <c r="T255" i="2"/>
  <c r="AS255" i="2"/>
  <c r="L256" i="2"/>
  <c r="AN256" i="2"/>
  <c r="D257" i="2"/>
  <c r="AF257" i="2"/>
  <c r="BE257" i="2"/>
  <c r="X258" i="2"/>
  <c r="AZ258" i="2"/>
  <c r="P259" i="2"/>
  <c r="AR259" i="2"/>
  <c r="K260" i="2"/>
  <c r="AJ260" i="2"/>
  <c r="F261" i="2"/>
  <c r="AB261" i="2"/>
  <c r="BD261" i="2"/>
  <c r="W262" i="2"/>
  <c r="AU262" i="2"/>
  <c r="M263" i="2"/>
  <c r="AJ263" i="2"/>
  <c r="BD263" i="2"/>
  <c r="V264" i="2"/>
  <c r="AP264" i="2"/>
  <c r="D265" i="2"/>
  <c r="AB265" i="2"/>
  <c r="AV265" i="2"/>
  <c r="J266" i="2"/>
  <c r="AH266" i="2"/>
  <c r="BB266" i="2"/>
  <c r="P267" i="2"/>
  <c r="AL267" i="2"/>
  <c r="BE267" i="2"/>
  <c r="R268" i="2"/>
  <c r="AK268" i="2"/>
  <c r="BG268" i="2"/>
  <c r="T269" i="2"/>
  <c r="AM269" i="2"/>
  <c r="BF269" i="2"/>
  <c r="T270" i="2"/>
  <c r="AO270" i="2"/>
  <c r="BH270" i="2"/>
  <c r="U271" i="2"/>
  <c r="AN271" i="2"/>
  <c r="D272" i="2"/>
  <c r="W272" i="2"/>
  <c r="AP272" i="2"/>
  <c r="C273" i="2"/>
  <c r="Y273" i="2"/>
  <c r="AQ273" i="2"/>
  <c r="C274" i="2"/>
  <c r="U274" i="2"/>
  <c r="AL274" i="2"/>
  <c r="BB274" i="2"/>
  <c r="L275" i="2"/>
  <c r="AB275" i="2"/>
  <c r="AR275" i="2"/>
  <c r="BH275" i="2"/>
  <c r="R276" i="2"/>
  <c r="AH276" i="2"/>
  <c r="AX276" i="2"/>
  <c r="H277" i="2"/>
  <c r="X277" i="2"/>
  <c r="AN277" i="2"/>
  <c r="BD277" i="2"/>
  <c r="N278" i="2"/>
  <c r="AD278" i="2"/>
  <c r="AT278" i="2"/>
  <c r="D279" i="2"/>
  <c r="T279" i="2"/>
  <c r="AJ279" i="2"/>
  <c r="AZ279" i="2"/>
  <c r="J280" i="2"/>
  <c r="Z280" i="2"/>
  <c r="AP280" i="2"/>
  <c r="BF280" i="2"/>
  <c r="P281" i="2"/>
  <c r="AF281" i="2"/>
  <c r="AV281" i="2"/>
  <c r="F282" i="2"/>
  <c r="V282" i="2"/>
  <c r="AL282" i="2"/>
  <c r="BB282" i="2"/>
  <c r="L283" i="2"/>
  <c r="AB283" i="2"/>
  <c r="AR283" i="2"/>
  <c r="BH283" i="2"/>
  <c r="R284" i="2"/>
  <c r="AH284" i="2"/>
  <c r="AX284" i="2"/>
  <c r="H285" i="2"/>
  <c r="X285" i="2"/>
  <c r="AN285" i="2"/>
  <c r="BD285" i="2"/>
  <c r="N286" i="2"/>
  <c r="AD286" i="2"/>
  <c r="AT286" i="2"/>
  <c r="D287" i="2"/>
  <c r="T287" i="2"/>
  <c r="AJ287" i="2"/>
  <c r="AZ287" i="2"/>
  <c r="J288" i="2"/>
  <c r="Z288" i="2"/>
  <c r="AR196" i="2"/>
  <c r="H214" i="2"/>
  <c r="AF222" i="2"/>
  <c r="BF225" i="2"/>
  <c r="X228" i="2"/>
  <c r="F230" i="2"/>
  <c r="AP231" i="2"/>
  <c r="T233" i="2"/>
  <c r="BD234" i="2"/>
  <c r="AH236" i="2"/>
  <c r="D238" i="2"/>
  <c r="X239" i="2"/>
  <c r="AA240" i="2"/>
  <c r="AD241" i="2"/>
  <c r="AC242" i="2"/>
  <c r="AC243" i="2"/>
  <c r="S244" i="2"/>
  <c r="J245" i="2"/>
  <c r="AW245" i="2"/>
  <c r="AJ246" i="2"/>
  <c r="T247" i="2"/>
  <c r="BD247" i="2"/>
  <c r="AI248" i="2"/>
  <c r="O249" i="2"/>
  <c r="AY249" i="2"/>
  <c r="AB250" i="2"/>
  <c r="I251" i="2"/>
  <c r="AO251" i="2"/>
  <c r="H252" i="2"/>
  <c r="AK252" i="2"/>
  <c r="I253" i="2"/>
  <c r="AK253" i="2"/>
  <c r="BG253" i="2"/>
  <c r="AC254" i="2"/>
  <c r="AZ254" i="2"/>
  <c r="U255" i="2"/>
  <c r="AW255" i="2"/>
  <c r="M256" i="2"/>
  <c r="AO256" i="2"/>
  <c r="F257" i="2"/>
  <c r="AG257" i="2"/>
  <c r="C258" i="2"/>
  <c r="Y258" i="2"/>
  <c r="BA258" i="2"/>
  <c r="R259" i="2"/>
  <c r="AS259" i="2"/>
  <c r="O260" i="2"/>
  <c r="AK260" i="2"/>
  <c r="G261" i="2"/>
  <c r="AD261" i="2"/>
  <c r="BE261" i="2"/>
  <c r="AA262" i="2"/>
  <c r="AV262" i="2"/>
  <c r="P263" i="2"/>
  <c r="AK263" i="2"/>
  <c r="BF263" i="2"/>
  <c r="W264" i="2"/>
  <c r="AQ264" i="2"/>
  <c r="F265" i="2"/>
  <c r="AC265" i="2"/>
  <c r="AW265" i="2"/>
  <c r="L266" i="2"/>
  <c r="AI266" i="2"/>
  <c r="BC266" i="2"/>
  <c r="R267" i="2"/>
  <c r="AM267" i="2"/>
  <c r="BF267" i="2"/>
  <c r="S268" i="2"/>
  <c r="AL268" i="2"/>
  <c r="BH268" i="2"/>
  <c r="U269" i="2"/>
  <c r="AN269" i="2"/>
  <c r="BG269" i="2"/>
  <c r="W270" i="2"/>
  <c r="AP270" i="2"/>
  <c r="C271" i="2"/>
  <c r="V271" i="2"/>
  <c r="AP271" i="2"/>
  <c r="E272" i="2"/>
  <c r="X272" i="2"/>
  <c r="AQ272" i="2"/>
  <c r="D273" i="2"/>
  <c r="Z273" i="2"/>
  <c r="AR273" i="2"/>
  <c r="D274" i="2"/>
  <c r="V274" i="2"/>
  <c r="AM274" i="2"/>
  <c r="BC274" i="2"/>
  <c r="M275" i="2"/>
  <c r="AC275" i="2"/>
  <c r="AS275" i="2"/>
  <c r="C276" i="2"/>
  <c r="S276" i="2"/>
  <c r="AI276" i="2"/>
  <c r="AY276" i="2"/>
  <c r="I277" i="2"/>
  <c r="Y277" i="2"/>
  <c r="AO277" i="2"/>
  <c r="BE277" i="2"/>
  <c r="O278" i="2"/>
  <c r="AE278" i="2"/>
  <c r="AU278" i="2"/>
  <c r="E279" i="2"/>
  <c r="U279" i="2"/>
  <c r="AK279" i="2"/>
  <c r="BA279" i="2"/>
  <c r="K280" i="2"/>
  <c r="AA280" i="2"/>
  <c r="AQ280" i="2"/>
  <c r="BG280" i="2"/>
  <c r="Q281" i="2"/>
  <c r="AG281" i="2"/>
  <c r="AW281" i="2"/>
  <c r="G282" i="2"/>
  <c r="W282" i="2"/>
  <c r="AM282" i="2"/>
  <c r="BC282" i="2"/>
  <c r="M283" i="2"/>
  <c r="AC283" i="2"/>
  <c r="AS283" i="2"/>
  <c r="C284" i="2"/>
  <c r="S284" i="2"/>
  <c r="AI284" i="2"/>
  <c r="AY284" i="2"/>
  <c r="I285" i="2"/>
  <c r="Y285" i="2"/>
  <c r="AO285" i="2"/>
  <c r="BE285" i="2"/>
  <c r="O286" i="2"/>
  <c r="AE286" i="2"/>
  <c r="AF197" i="2"/>
  <c r="AG214" i="2"/>
  <c r="AH222" i="2"/>
  <c r="D226" i="2"/>
  <c r="Z228" i="2"/>
  <c r="L230" i="2"/>
  <c r="AR231" i="2"/>
  <c r="V233" i="2"/>
  <c r="BF234" i="2"/>
  <c r="AJ236" i="2"/>
  <c r="F238" i="2"/>
  <c r="Y239" i="2"/>
  <c r="AB240" i="2"/>
  <c r="AF241" i="2"/>
  <c r="AE242" i="2"/>
  <c r="AD243" i="2"/>
  <c r="W244" i="2"/>
  <c r="K245" i="2"/>
  <c r="BB245" i="2"/>
  <c r="AL246" i="2"/>
  <c r="U247" i="2"/>
  <c r="BF247" i="2"/>
  <c r="AM248" i="2"/>
  <c r="R249" i="2"/>
  <c r="AZ249" i="2"/>
  <c r="AE250" i="2"/>
  <c r="K251" i="2"/>
  <c r="AQ251" i="2"/>
  <c r="K252" i="2"/>
  <c r="AL252" i="2"/>
  <c r="J253" i="2"/>
  <c r="AL253" i="2"/>
  <c r="BH253" i="2"/>
  <c r="AD254" i="2"/>
  <c r="BC254" i="2"/>
  <c r="V255" i="2"/>
  <c r="AX255" i="2"/>
  <c r="N256" i="2"/>
  <c r="AP256" i="2"/>
  <c r="I257" i="2"/>
  <c r="AH257" i="2"/>
  <c r="D258" i="2"/>
  <c r="Z258" i="2"/>
  <c r="BB258" i="2"/>
  <c r="U259" i="2"/>
  <c r="AT259" i="2"/>
  <c r="P260" i="2"/>
  <c r="AL260" i="2"/>
  <c r="H261" i="2"/>
  <c r="AG261" i="2"/>
  <c r="BF261" i="2"/>
  <c r="AB262" i="2"/>
  <c r="AW262" i="2"/>
  <c r="Q263" i="2"/>
  <c r="AL263" i="2"/>
  <c r="C264" i="2"/>
  <c r="X264" i="2"/>
  <c r="AR264" i="2"/>
  <c r="I265" i="2"/>
  <c r="AD265" i="2"/>
  <c r="AX265" i="2"/>
  <c r="O266" i="2"/>
  <c r="AJ266" i="2"/>
  <c r="BD266" i="2"/>
  <c r="U267" i="2"/>
  <c r="AN267" i="2"/>
  <c r="BG267" i="2"/>
  <c r="T268" i="2"/>
  <c r="AN268" i="2"/>
  <c r="C269" i="2"/>
  <c r="V269" i="2"/>
  <c r="AO269" i="2"/>
  <c r="BH269" i="2"/>
  <c r="X270" i="2"/>
  <c r="AQ270" i="2"/>
  <c r="D271" i="2"/>
  <c r="W271" i="2"/>
  <c r="AS271" i="2"/>
  <c r="F272" i="2"/>
  <c r="Y272" i="2"/>
  <c r="AR272" i="2"/>
  <c r="F273" i="2"/>
  <c r="AA273" i="2"/>
  <c r="AS273" i="2"/>
  <c r="E274" i="2"/>
  <c r="W274" i="2"/>
  <c r="AN274" i="2"/>
  <c r="BD274" i="2"/>
  <c r="N275" i="2"/>
  <c r="AD275" i="2"/>
  <c r="AT275" i="2"/>
  <c r="D276" i="2"/>
  <c r="T276" i="2"/>
  <c r="AJ276" i="2"/>
  <c r="AZ276" i="2"/>
  <c r="J277" i="2"/>
  <c r="Z277" i="2"/>
  <c r="H199" i="2"/>
  <c r="N215" i="2"/>
  <c r="AX222" i="2"/>
  <c r="Q226" i="2"/>
  <c r="AH228" i="2"/>
  <c r="P230" i="2"/>
  <c r="AZ231" i="2"/>
  <c r="Y233" i="2"/>
  <c r="C235" i="2"/>
  <c r="AM236" i="2"/>
  <c r="M238" i="2"/>
  <c r="Z239" i="2"/>
  <c r="AD240" i="2"/>
  <c r="AI241" i="2"/>
  <c r="AK242" i="2"/>
  <c r="AE243" i="2"/>
  <c r="AE244" i="2"/>
  <c r="M245" i="2"/>
  <c r="BF245" i="2"/>
  <c r="AQ246" i="2"/>
  <c r="V247" i="2"/>
  <c r="C248" i="2"/>
  <c r="AO248" i="2"/>
  <c r="S249" i="2"/>
  <c r="BB249" i="2"/>
  <c r="AI250" i="2"/>
  <c r="M251" i="2"/>
  <c r="AR251" i="2"/>
  <c r="O252" i="2"/>
  <c r="AN252" i="2"/>
  <c r="K253" i="2"/>
  <c r="AM253" i="2"/>
  <c r="D254" i="2"/>
  <c r="AE254" i="2"/>
  <c r="BG254" i="2"/>
  <c r="W255" i="2"/>
  <c r="AY255" i="2"/>
  <c r="P256" i="2"/>
  <c r="AQ256" i="2"/>
  <c r="M257" i="2"/>
  <c r="AI257" i="2"/>
  <c r="E258" i="2"/>
  <c r="AB258" i="2"/>
  <c r="BC258" i="2"/>
  <c r="Y259" i="2"/>
  <c r="AU259" i="2"/>
  <c r="Q260" i="2"/>
  <c r="AN260" i="2"/>
  <c r="I261" i="2"/>
  <c r="AK261" i="2"/>
  <c r="BG261" i="2"/>
  <c r="AC262" i="2"/>
  <c r="AX262" i="2"/>
  <c r="R263" i="2"/>
  <c r="AM263" i="2"/>
  <c r="E264" i="2"/>
  <c r="Y264" i="2"/>
  <c r="AS264" i="2"/>
  <c r="K265" i="2"/>
  <c r="AE265" i="2"/>
  <c r="AY265" i="2"/>
  <c r="Q266" i="2"/>
  <c r="AK266" i="2"/>
  <c r="BE266" i="2"/>
  <c r="V267" i="2"/>
  <c r="AO267" i="2"/>
  <c r="BH267" i="2"/>
  <c r="U268" i="2"/>
  <c r="AQ268" i="2"/>
  <c r="D269" i="2"/>
  <c r="W269" i="2"/>
  <c r="AP269" i="2"/>
  <c r="D270" i="2"/>
  <c r="Y270" i="2"/>
  <c r="AR270" i="2"/>
  <c r="E271" i="2"/>
  <c r="X271" i="2"/>
  <c r="AT271" i="2"/>
  <c r="G272" i="2"/>
  <c r="Z272" i="2"/>
  <c r="AS272" i="2"/>
  <c r="I273" i="2"/>
  <c r="AB273" i="2"/>
  <c r="AT273" i="2"/>
  <c r="F274" i="2"/>
  <c r="X274" i="2"/>
  <c r="AO274" i="2"/>
  <c r="BE274" i="2"/>
  <c r="O275" i="2"/>
  <c r="AE275" i="2"/>
  <c r="AU275" i="2"/>
  <c r="E276" i="2"/>
  <c r="U276" i="2"/>
  <c r="AK276" i="2"/>
  <c r="BA276" i="2"/>
  <c r="K277" i="2"/>
  <c r="AA277" i="2"/>
  <c r="AQ277" i="2"/>
  <c r="BG277" i="2"/>
  <c r="Q278" i="2"/>
  <c r="AG278" i="2"/>
  <c r="AW278" i="2"/>
  <c r="G279" i="2"/>
  <c r="W279" i="2"/>
  <c r="AM279" i="2"/>
  <c r="BC279" i="2"/>
  <c r="M280" i="2"/>
  <c r="AC280" i="2"/>
  <c r="AS280" i="2"/>
  <c r="C281" i="2"/>
  <c r="S281" i="2"/>
  <c r="AI281" i="2"/>
  <c r="AY281" i="2"/>
  <c r="I282" i="2"/>
  <c r="Y282" i="2"/>
  <c r="AO282" i="2"/>
  <c r="BE282" i="2"/>
  <c r="O283" i="2"/>
  <c r="AK202" i="2"/>
  <c r="F217" i="2"/>
  <c r="AA223" i="2"/>
  <c r="AN226" i="2"/>
  <c r="AX228" i="2"/>
  <c r="AE230" i="2"/>
  <c r="H232" i="2"/>
  <c r="AN233" i="2"/>
  <c r="R235" i="2"/>
  <c r="BB236" i="2"/>
  <c r="W238" i="2"/>
  <c r="AB239" i="2"/>
  <c r="AG240" i="2"/>
  <c r="AU241" i="2"/>
  <c r="AO242" i="2"/>
  <c r="AG243" i="2"/>
  <c r="AF244" i="2"/>
  <c r="P245" i="2"/>
  <c r="BH245" i="2"/>
  <c r="AR246" i="2"/>
  <c r="X247" i="2"/>
  <c r="G248" i="2"/>
  <c r="AR248" i="2"/>
  <c r="T249" i="2"/>
  <c r="BE249" i="2"/>
  <c r="AK250" i="2"/>
  <c r="N251" i="2"/>
  <c r="AS251" i="2"/>
  <c r="Q252" i="2"/>
  <c r="AQ252" i="2"/>
  <c r="L253" i="2"/>
  <c r="AN253" i="2"/>
  <c r="G254" i="2"/>
  <c r="AF254" i="2"/>
  <c r="BH254" i="2"/>
  <c r="X255" i="2"/>
  <c r="AZ255" i="2"/>
  <c r="S256" i="2"/>
  <c r="AR256" i="2"/>
  <c r="N257" i="2"/>
  <c r="AJ257" i="2"/>
  <c r="F258" i="2"/>
  <c r="AE258" i="2"/>
  <c r="BD258" i="2"/>
  <c r="Z259" i="2"/>
  <c r="AV259" i="2"/>
  <c r="R260" i="2"/>
  <c r="AQ260" i="2"/>
  <c r="J261" i="2"/>
  <c r="AL261" i="2"/>
  <c r="BH261" i="2"/>
  <c r="AD262" i="2"/>
  <c r="AZ262" i="2"/>
  <c r="S263" i="2"/>
  <c r="AN263" i="2"/>
  <c r="F264" i="2"/>
  <c r="Z264" i="2"/>
  <c r="AT264" i="2"/>
  <c r="L265" i="2"/>
  <c r="AF265" i="2"/>
  <c r="AZ265" i="2"/>
  <c r="R266" i="2"/>
  <c r="AL266" i="2"/>
  <c r="BF266" i="2"/>
  <c r="W267" i="2"/>
  <c r="AP267" i="2"/>
  <c r="C268" i="2"/>
  <c r="V268" i="2"/>
  <c r="AR268" i="2"/>
  <c r="E269" i="2"/>
  <c r="X269" i="2"/>
  <c r="AQ269" i="2"/>
  <c r="G270" i="2"/>
  <c r="Z270" i="2"/>
  <c r="AS270" i="2"/>
  <c r="F271" i="2"/>
  <c r="Z271" i="2"/>
  <c r="AU271" i="2"/>
  <c r="H272" i="2"/>
  <c r="AA272" i="2"/>
  <c r="AT272" i="2"/>
  <c r="J273" i="2"/>
  <c r="AC273" i="2"/>
  <c r="AU273" i="2"/>
  <c r="G274" i="2"/>
  <c r="AR202" i="2"/>
  <c r="G217" i="2"/>
  <c r="AB223" i="2"/>
  <c r="AS226" i="2"/>
  <c r="AY228" i="2"/>
  <c r="AF230" i="2"/>
  <c r="J232" i="2"/>
  <c r="AO233" i="2"/>
  <c r="S235" i="2"/>
  <c r="BC236" i="2"/>
  <c r="AA238" i="2"/>
  <c r="AH239" i="2"/>
  <c r="AS240" i="2"/>
  <c r="AV241" i="2"/>
  <c r="AT242" i="2"/>
  <c r="AJ243" i="2"/>
  <c r="AG244" i="2"/>
  <c r="V245" i="2"/>
  <c r="E246" i="2"/>
  <c r="AS246" i="2"/>
  <c r="AA247" i="2"/>
  <c r="I248" i="2"/>
  <c r="AS248" i="2"/>
  <c r="V249" i="2"/>
  <c r="C250" i="2"/>
  <c r="AN250" i="2"/>
  <c r="O251" i="2"/>
  <c r="AT251" i="2"/>
  <c r="R252" i="2"/>
  <c r="AU252" i="2"/>
  <c r="N253" i="2"/>
  <c r="AO253" i="2"/>
  <c r="K254" i="2"/>
  <c r="AG254" i="2"/>
  <c r="C255" i="2"/>
  <c r="Z255" i="2"/>
  <c r="BA255" i="2"/>
  <c r="W256" i="2"/>
  <c r="AS256" i="2"/>
  <c r="O257" i="2"/>
  <c r="AL257" i="2"/>
  <c r="G258" i="2"/>
  <c r="AI258" i="2"/>
  <c r="BE258" i="2"/>
  <c r="AA259" i="2"/>
  <c r="AX259" i="2"/>
  <c r="S260" i="2"/>
  <c r="AU260" i="2"/>
  <c r="K261" i="2"/>
  <c r="AM261" i="2"/>
  <c r="D262" i="2"/>
  <c r="AE262" i="2"/>
  <c r="BC262" i="2"/>
  <c r="T263" i="2"/>
  <c r="AP263" i="2"/>
  <c r="G264" i="2"/>
  <c r="AA264" i="2"/>
  <c r="AV264" i="2"/>
  <c r="M265" i="2"/>
  <c r="AG265" i="2"/>
  <c r="BB265" i="2"/>
  <c r="S266" i="2"/>
  <c r="AM266" i="2"/>
  <c r="BH266" i="2"/>
  <c r="X267" i="2"/>
  <c r="AQ267" i="2"/>
  <c r="D268" i="2"/>
  <c r="X268" i="2"/>
  <c r="AA203" i="2"/>
  <c r="AA217" i="2"/>
  <c r="AD223" i="2"/>
  <c r="BA226" i="2"/>
  <c r="BB228" i="2"/>
  <c r="AH230" i="2"/>
  <c r="L232" i="2"/>
  <c r="AV233" i="2"/>
  <c r="U235" i="2"/>
  <c r="BE236" i="2"/>
  <c r="AC238" i="2"/>
  <c r="AQ239" i="2"/>
  <c r="AT240" i="2"/>
  <c r="AW241" i="2"/>
  <c r="AU242" i="2"/>
  <c r="AQ243" i="2"/>
  <c r="AI244" i="2"/>
  <c r="X245" i="2"/>
  <c r="F246" i="2"/>
  <c r="AU246" i="2"/>
  <c r="AE247" i="2"/>
  <c r="L248" i="2"/>
  <c r="AT248" i="2"/>
  <c r="Y249" i="2"/>
  <c r="E250" i="2"/>
  <c r="AO250" i="2"/>
  <c r="P251" i="2"/>
  <c r="AU251" i="2"/>
  <c r="S252" i="2"/>
  <c r="AW252" i="2"/>
  <c r="Q253" i="2"/>
  <c r="AP253" i="2"/>
  <c r="L254" i="2"/>
  <c r="AH254" i="2"/>
  <c r="D255" i="2"/>
  <c r="AC255" i="2"/>
  <c r="BB255" i="2"/>
  <c r="X256" i="2"/>
  <c r="AT256" i="2"/>
  <c r="P257" i="2"/>
  <c r="AO257" i="2"/>
  <c r="H258" i="2"/>
  <c r="AJ258" i="2"/>
  <c r="BF258" i="2"/>
  <c r="AB259" i="2"/>
  <c r="BA259" i="2"/>
  <c r="T260" i="2"/>
  <c r="AV260" i="2"/>
  <c r="L261" i="2"/>
  <c r="AN261" i="2"/>
  <c r="G262" i="2"/>
  <c r="AF262" i="2"/>
  <c r="BF262" i="2"/>
  <c r="U263" i="2"/>
  <c r="AS263" i="2"/>
  <c r="H264" i="2"/>
  <c r="AB264" i="2"/>
  <c r="AY264" i="2"/>
  <c r="N265" i="2"/>
  <c r="AH265" i="2"/>
  <c r="BE265" i="2"/>
  <c r="T266" i="2"/>
  <c r="AN266" i="2"/>
  <c r="E267" i="2"/>
  <c r="Y267" i="2"/>
  <c r="AR267" i="2"/>
  <c r="E268" i="2"/>
  <c r="AA268" i="2"/>
  <c r="AT268" i="2"/>
  <c r="G269" i="2"/>
  <c r="Z269" i="2"/>
  <c r="AT269" i="2"/>
  <c r="I270" i="2"/>
  <c r="AB270" i="2"/>
  <c r="AU270" i="2"/>
  <c r="H271" i="2"/>
  <c r="AD271" i="2"/>
  <c r="AW271" i="2"/>
  <c r="J272" i="2"/>
  <c r="AC272" i="2"/>
  <c r="AY272" i="2"/>
  <c r="L273" i="2"/>
  <c r="AE273" i="2"/>
  <c r="AH204" i="2"/>
  <c r="L218" i="2"/>
  <c r="AS223" i="2"/>
  <c r="BD226" i="2"/>
  <c r="BE228" i="2"/>
  <c r="AK230" i="2"/>
  <c r="O232" i="2"/>
  <c r="AY233" i="2"/>
  <c r="AC235" i="2"/>
  <c r="F237" i="2"/>
  <c r="AF238" i="2"/>
  <c r="AR239" i="2"/>
  <c r="AU240" i="2"/>
  <c r="AY241" i="2"/>
  <c r="AY242" i="2"/>
  <c r="AV243" i="2"/>
  <c r="AL244" i="2"/>
  <c r="AA245" i="2"/>
  <c r="G246" i="2"/>
  <c r="AX246" i="2"/>
  <c r="AH247" i="2"/>
  <c r="M248" i="2"/>
  <c r="AV248" i="2"/>
  <c r="AC249" i="2"/>
  <c r="H250" i="2"/>
  <c r="AP250" i="2"/>
  <c r="R251" i="2"/>
  <c r="AV251" i="2"/>
  <c r="T252" i="2"/>
  <c r="AX252" i="2"/>
  <c r="U253" i="2"/>
  <c r="AQ253" i="2"/>
  <c r="M254" i="2"/>
  <c r="AJ254" i="2"/>
  <c r="E255" i="2"/>
  <c r="AG255" i="2"/>
  <c r="BC255" i="2"/>
  <c r="Y256" i="2"/>
  <c r="AV256" i="2"/>
  <c r="Q257" i="2"/>
  <c r="AS257" i="2"/>
  <c r="I258" i="2"/>
  <c r="AK258" i="2"/>
  <c r="BH258" i="2"/>
  <c r="AC259" i="2"/>
  <c r="BE259" i="2"/>
  <c r="U260" i="2"/>
  <c r="AW260" i="2"/>
  <c r="N261" i="2"/>
  <c r="AO261" i="2"/>
  <c r="K262" i="2"/>
  <c r="AG262" i="2"/>
  <c r="BG262" i="2"/>
  <c r="V263" i="2"/>
  <c r="AU263" i="2"/>
  <c r="I264" i="2"/>
  <c r="AC264" i="2"/>
  <c r="O207" i="2"/>
  <c r="AR235" i="2"/>
  <c r="AP244" i="2"/>
  <c r="I250" i="2"/>
  <c r="N254" i="2"/>
  <c r="AT257" i="2"/>
  <c r="Q261" i="2"/>
  <c r="AD264" i="2"/>
  <c r="W266" i="2"/>
  <c r="AB268" i="2"/>
  <c r="AW269" i="2"/>
  <c r="J271" i="2"/>
  <c r="AD272" i="2"/>
  <c r="AW273" i="2"/>
  <c r="AQ274" i="2"/>
  <c r="U275" i="2"/>
  <c r="I276" i="2"/>
  <c r="BC276" i="2"/>
  <c r="AG277" i="2"/>
  <c r="R278" i="2"/>
  <c r="AZ278" i="2"/>
  <c r="AB279" i="2"/>
  <c r="L280" i="2"/>
  <c r="AU280" i="2"/>
  <c r="W281" i="2"/>
  <c r="BE281" i="2"/>
  <c r="AP282" i="2"/>
  <c r="R283" i="2"/>
  <c r="AV283" i="2"/>
  <c r="T284" i="2"/>
  <c r="AQ284" i="2"/>
  <c r="O285" i="2"/>
  <c r="AS285" i="2"/>
  <c r="Q286" i="2"/>
  <c r="AR286" i="2"/>
  <c r="J287" i="2"/>
  <c r="AL287" i="2"/>
  <c r="BH287" i="2"/>
  <c r="AD288" i="2"/>
  <c r="AY288" i="2"/>
  <c r="S289" i="2"/>
  <c r="AN289" i="2"/>
  <c r="G290" i="2"/>
  <c r="AA290" i="2"/>
  <c r="AU290" i="2"/>
  <c r="M291" i="2"/>
  <c r="AG291" i="2"/>
  <c r="BA291" i="2"/>
  <c r="S292" i="2"/>
  <c r="AM292" i="2"/>
  <c r="BG292" i="2"/>
  <c r="Y293" i="2"/>
  <c r="AS293" i="2"/>
  <c r="G294" i="2"/>
  <c r="AE294" i="2"/>
  <c r="AY294" i="2"/>
  <c r="M295" i="2"/>
  <c r="AK295" i="2"/>
  <c r="BE295" i="2"/>
  <c r="S296" i="2"/>
  <c r="AQ296" i="2"/>
  <c r="E297" i="2"/>
  <c r="Y297" i="2"/>
  <c r="AU297" i="2"/>
  <c r="G298" i="2"/>
  <c r="Y298" i="2"/>
  <c r="AQ298" i="2"/>
  <c r="C299" i="2"/>
  <c r="U299" i="2"/>
  <c r="AO299" i="2"/>
  <c r="BG299" i="2"/>
  <c r="S300" i="2"/>
  <c r="AK300" i="2"/>
  <c r="BC300" i="2"/>
  <c r="O301" i="2"/>
  <c r="AG301" i="2"/>
  <c r="BA301" i="2"/>
  <c r="M302" i="2"/>
  <c r="AD302" i="2"/>
  <c r="AT302" i="2"/>
  <c r="D303" i="2"/>
  <c r="T303" i="2"/>
  <c r="AJ303" i="2"/>
  <c r="AZ303" i="2"/>
  <c r="J304" i="2"/>
  <c r="Z304" i="2"/>
  <c r="AP304" i="2"/>
  <c r="BF304" i="2"/>
  <c r="P305" i="2"/>
  <c r="AF305" i="2"/>
  <c r="AV305" i="2"/>
  <c r="F306" i="2"/>
  <c r="V306" i="2"/>
  <c r="AL306" i="2"/>
  <c r="BB306" i="2"/>
  <c r="L307" i="2"/>
  <c r="AB307" i="2"/>
  <c r="AR307" i="2"/>
  <c r="BH307" i="2"/>
  <c r="R308" i="2"/>
  <c r="AH308" i="2"/>
  <c r="AX308" i="2"/>
  <c r="H309" i="2"/>
  <c r="X309" i="2"/>
  <c r="AN309" i="2"/>
  <c r="BD309" i="2"/>
  <c r="N310" i="2"/>
  <c r="AD310" i="2"/>
  <c r="AT310" i="2"/>
  <c r="D311" i="2"/>
  <c r="T311" i="2"/>
  <c r="AJ311" i="2"/>
  <c r="AZ311" i="2"/>
  <c r="J312" i="2"/>
  <c r="Z312" i="2"/>
  <c r="AP312" i="2"/>
  <c r="BF312" i="2"/>
  <c r="P313" i="2"/>
  <c r="AF313" i="2"/>
  <c r="AV313" i="2"/>
  <c r="F314" i="2"/>
  <c r="V314" i="2"/>
  <c r="AL314" i="2"/>
  <c r="BB314" i="2"/>
  <c r="L315" i="2"/>
  <c r="AB315" i="2"/>
  <c r="AR315" i="2"/>
  <c r="BH315" i="2"/>
  <c r="R316" i="2"/>
  <c r="AH316" i="2"/>
  <c r="AX316" i="2"/>
  <c r="H317" i="2"/>
  <c r="X317" i="2"/>
  <c r="AN317" i="2"/>
  <c r="BD317" i="2"/>
  <c r="N318" i="2"/>
  <c r="AD318" i="2"/>
  <c r="AT318" i="2"/>
  <c r="D319" i="2"/>
  <c r="T319" i="2"/>
  <c r="AJ319" i="2"/>
  <c r="AZ319" i="2"/>
  <c r="J320" i="2"/>
  <c r="Z320" i="2"/>
  <c r="AP320" i="2"/>
  <c r="BF320" i="2"/>
  <c r="P321" i="2"/>
  <c r="AF321" i="2"/>
  <c r="AV321" i="2"/>
  <c r="F322" i="2"/>
  <c r="V322" i="2"/>
  <c r="AL322" i="2"/>
  <c r="BB322" i="2"/>
  <c r="L323" i="2"/>
  <c r="AB323" i="2"/>
  <c r="AR323" i="2"/>
  <c r="BH323" i="2"/>
  <c r="R324" i="2"/>
  <c r="AH324" i="2"/>
  <c r="AX324" i="2"/>
  <c r="H325" i="2"/>
  <c r="X325" i="2"/>
  <c r="AN325" i="2"/>
  <c r="BD325" i="2"/>
  <c r="N326" i="2"/>
  <c r="AD326" i="2"/>
  <c r="AT326" i="2"/>
  <c r="D327" i="2"/>
  <c r="T327" i="2"/>
  <c r="AJ327" i="2"/>
  <c r="AZ327" i="2"/>
  <c r="J328" i="2"/>
  <c r="Z328" i="2"/>
  <c r="AP328" i="2"/>
  <c r="BF328" i="2"/>
  <c r="P329" i="2"/>
  <c r="AF329" i="2"/>
  <c r="AV329" i="2"/>
  <c r="F330" i="2"/>
  <c r="V330" i="2"/>
  <c r="AL330" i="2"/>
  <c r="BB330" i="2"/>
  <c r="L331" i="2"/>
  <c r="AB331" i="2"/>
  <c r="AR331" i="2"/>
  <c r="R207" i="2"/>
  <c r="AS235" i="2"/>
  <c r="AW244" i="2"/>
  <c r="J250" i="2"/>
  <c r="O254" i="2"/>
  <c r="AU257" i="2"/>
  <c r="U261" i="2"/>
  <c r="AF264" i="2"/>
  <c r="AO266" i="2"/>
  <c r="AC268" i="2"/>
  <c r="AX269" i="2"/>
  <c r="M271" i="2"/>
  <c r="AF272" i="2"/>
  <c r="AX273" i="2"/>
  <c r="AR274" i="2"/>
  <c r="AF275" i="2"/>
  <c r="J276" i="2"/>
  <c r="BD276" i="2"/>
  <c r="AP277" i="2"/>
  <c r="S278" i="2"/>
  <c r="BA278" i="2"/>
  <c r="AC279" i="2"/>
  <c r="N280" i="2"/>
  <c r="AV280" i="2"/>
  <c r="X281" i="2"/>
  <c r="H282" i="2"/>
  <c r="AQ282" i="2"/>
  <c r="S283" i="2"/>
  <c r="AW283" i="2"/>
  <c r="U284" i="2"/>
  <c r="AV284" i="2"/>
  <c r="P285" i="2"/>
  <c r="AT285" i="2"/>
  <c r="R286" i="2"/>
  <c r="AU286" i="2"/>
  <c r="K287" i="2"/>
  <c r="AM287" i="2"/>
  <c r="C288" i="2"/>
  <c r="AE288" i="2"/>
  <c r="BD288" i="2"/>
  <c r="T289" i="2"/>
  <c r="AO289" i="2"/>
  <c r="H290" i="2"/>
  <c r="AB290" i="2"/>
  <c r="AZ290" i="2"/>
  <c r="N291" i="2"/>
  <c r="AH291" i="2"/>
  <c r="BF291" i="2"/>
  <c r="T292" i="2"/>
  <c r="AN292" i="2"/>
  <c r="F293" i="2"/>
  <c r="Z293" i="2"/>
  <c r="AT293" i="2"/>
  <c r="L294" i="2"/>
  <c r="AF294" i="2"/>
  <c r="AZ294" i="2"/>
  <c r="R295" i="2"/>
  <c r="AL295" i="2"/>
  <c r="BF295" i="2"/>
  <c r="X296" i="2"/>
  <c r="AR296" i="2"/>
  <c r="F297" i="2"/>
  <c r="AD297" i="2"/>
  <c r="AV297" i="2"/>
  <c r="H298" i="2"/>
  <c r="Z298" i="2"/>
  <c r="AR298" i="2"/>
  <c r="D299" i="2"/>
  <c r="X299" i="2"/>
  <c r="AP299" i="2"/>
  <c r="BH299" i="2"/>
  <c r="T300" i="2"/>
  <c r="AL300" i="2"/>
  <c r="BD300" i="2"/>
  <c r="P301" i="2"/>
  <c r="AJ301" i="2"/>
  <c r="BB301" i="2"/>
  <c r="N302" i="2"/>
  <c r="AE302" i="2"/>
  <c r="AU302" i="2"/>
  <c r="E303" i="2"/>
  <c r="U303" i="2"/>
  <c r="AK303" i="2"/>
  <c r="BA303" i="2"/>
  <c r="K304" i="2"/>
  <c r="AA304" i="2"/>
  <c r="AQ304" i="2"/>
  <c r="BG304" i="2"/>
  <c r="Q305" i="2"/>
  <c r="AG305" i="2"/>
  <c r="AW305" i="2"/>
  <c r="G306" i="2"/>
  <c r="W306" i="2"/>
  <c r="AM306" i="2"/>
  <c r="BC306" i="2"/>
  <c r="M307" i="2"/>
  <c r="AC307" i="2"/>
  <c r="AS307" i="2"/>
  <c r="C308" i="2"/>
  <c r="S308" i="2"/>
  <c r="AI308" i="2"/>
  <c r="AY308" i="2"/>
  <c r="I309" i="2"/>
  <c r="Y309" i="2"/>
  <c r="AO309" i="2"/>
  <c r="BE309" i="2"/>
  <c r="O310" i="2"/>
  <c r="AE310" i="2"/>
  <c r="AU310" i="2"/>
  <c r="E311" i="2"/>
  <c r="U311" i="2"/>
  <c r="AK311" i="2"/>
  <c r="BA311" i="2"/>
  <c r="K312" i="2"/>
  <c r="AA312" i="2"/>
  <c r="AQ312" i="2"/>
  <c r="BG312" i="2"/>
  <c r="Q313" i="2"/>
  <c r="AG313" i="2"/>
  <c r="AW313" i="2"/>
  <c r="G314" i="2"/>
  <c r="W314" i="2"/>
  <c r="AM314" i="2"/>
  <c r="BC314" i="2"/>
  <c r="M315" i="2"/>
  <c r="AC315" i="2"/>
  <c r="AS315" i="2"/>
  <c r="C316" i="2"/>
  <c r="S316" i="2"/>
  <c r="AI316" i="2"/>
  <c r="AY316" i="2"/>
  <c r="I317" i="2"/>
  <c r="Y317" i="2"/>
  <c r="AO317" i="2"/>
  <c r="BE317" i="2"/>
  <c r="O318" i="2"/>
  <c r="AE318" i="2"/>
  <c r="AU318" i="2"/>
  <c r="E319" i="2"/>
  <c r="U319" i="2"/>
  <c r="AK319" i="2"/>
  <c r="BA319" i="2"/>
  <c r="K320" i="2"/>
  <c r="BA219" i="2"/>
  <c r="Q237" i="2"/>
  <c r="AB245" i="2"/>
  <c r="AR250" i="2"/>
  <c r="AM254" i="2"/>
  <c r="J258" i="2"/>
  <c r="AP261" i="2"/>
  <c r="BA264" i="2"/>
  <c r="AP266" i="2"/>
  <c r="AD268" i="2"/>
  <c r="AY269" i="2"/>
  <c r="N271" i="2"/>
  <c r="AI272" i="2"/>
  <c r="AY273" i="2"/>
  <c r="AS274" i="2"/>
  <c r="AG275" i="2"/>
  <c r="K276" i="2"/>
  <c r="BE276" i="2"/>
  <c r="AR277" i="2"/>
  <c r="T278" i="2"/>
  <c r="BB278" i="2"/>
  <c r="AL279" i="2"/>
  <c r="O280" i="2"/>
  <c r="AW280" i="2"/>
  <c r="Y281" i="2"/>
  <c r="J282" i="2"/>
  <c r="AR282" i="2"/>
  <c r="T283" i="2"/>
  <c r="AX283" i="2"/>
  <c r="V284" i="2"/>
  <c r="AZ284" i="2"/>
  <c r="Q285" i="2"/>
  <c r="AU285" i="2"/>
  <c r="S286" i="2"/>
  <c r="AV286" i="2"/>
  <c r="L287" i="2"/>
  <c r="AN287" i="2"/>
  <c r="H288" i="2"/>
  <c r="AF288" i="2"/>
  <c r="BF288" i="2"/>
  <c r="U289" i="2"/>
  <c r="AT289" i="2"/>
  <c r="I290" i="2"/>
  <c r="AC290" i="2"/>
  <c r="BA290" i="2"/>
  <c r="O291" i="2"/>
  <c r="AI291" i="2"/>
  <c r="BG291" i="2"/>
  <c r="U292" i="2"/>
  <c r="AO292" i="2"/>
  <c r="G293" i="2"/>
  <c r="AA293" i="2"/>
  <c r="AU293" i="2"/>
  <c r="M294" i="2"/>
  <c r="AG294" i="2"/>
  <c r="BA294" i="2"/>
  <c r="S295" i="2"/>
  <c r="AM295" i="2"/>
  <c r="BG295" i="2"/>
  <c r="Y296" i="2"/>
  <c r="AS296" i="2"/>
  <c r="G297" i="2"/>
  <c r="AE297" i="2"/>
  <c r="AW297" i="2"/>
  <c r="I298" i="2"/>
  <c r="AA298" i="2"/>
  <c r="AS298" i="2"/>
  <c r="E299" i="2"/>
  <c r="Y299" i="2"/>
  <c r="AQ299" i="2"/>
  <c r="C300" i="2"/>
  <c r="U300" i="2"/>
  <c r="AM300" i="2"/>
  <c r="BE300" i="2"/>
  <c r="Q301" i="2"/>
  <c r="AK301" i="2"/>
  <c r="BC301" i="2"/>
  <c r="O302" i="2"/>
  <c r="AF302" i="2"/>
  <c r="AV302" i="2"/>
  <c r="F303" i="2"/>
  <c r="V303" i="2"/>
  <c r="AL303" i="2"/>
  <c r="BB303" i="2"/>
  <c r="L304" i="2"/>
  <c r="AB304" i="2"/>
  <c r="AR304" i="2"/>
  <c r="BH304" i="2"/>
  <c r="R305" i="2"/>
  <c r="AH305" i="2"/>
  <c r="AX305" i="2"/>
  <c r="H306" i="2"/>
  <c r="X306" i="2"/>
  <c r="AN306" i="2"/>
  <c r="BD306" i="2"/>
  <c r="N307" i="2"/>
  <c r="AD307" i="2"/>
  <c r="AT307" i="2"/>
  <c r="D308" i="2"/>
  <c r="T308" i="2"/>
  <c r="AJ308" i="2"/>
  <c r="AZ308" i="2"/>
  <c r="J309" i="2"/>
  <c r="Z309" i="2"/>
  <c r="AP309" i="2"/>
  <c r="BF309" i="2"/>
  <c r="P310" i="2"/>
  <c r="AF310" i="2"/>
  <c r="AV310" i="2"/>
  <c r="F311" i="2"/>
  <c r="V311" i="2"/>
  <c r="AL311" i="2"/>
  <c r="BB311" i="2"/>
  <c r="L312" i="2"/>
  <c r="AB312" i="2"/>
  <c r="AR312" i="2"/>
  <c r="BH312" i="2"/>
  <c r="R313" i="2"/>
  <c r="AH313" i="2"/>
  <c r="AX313" i="2"/>
  <c r="H314" i="2"/>
  <c r="X314" i="2"/>
  <c r="AN314" i="2"/>
  <c r="BD314" i="2"/>
  <c r="N315" i="2"/>
  <c r="AD315" i="2"/>
  <c r="AT315" i="2"/>
  <c r="D316" i="2"/>
  <c r="T316" i="2"/>
  <c r="AJ316" i="2"/>
  <c r="AZ316" i="2"/>
  <c r="J317" i="2"/>
  <c r="Z317" i="2"/>
  <c r="AP317" i="2"/>
  <c r="BF317" i="2"/>
  <c r="P318" i="2"/>
  <c r="AF318" i="2"/>
  <c r="AV318" i="2"/>
  <c r="F319" i="2"/>
  <c r="V319" i="2"/>
  <c r="AL319" i="2"/>
  <c r="BB319" i="2"/>
  <c r="L320" i="2"/>
  <c r="AB320" i="2"/>
  <c r="AR320" i="2"/>
  <c r="BH320" i="2"/>
  <c r="R321" i="2"/>
  <c r="AH321" i="2"/>
  <c r="AX321" i="2"/>
  <c r="H322" i="2"/>
  <c r="X322" i="2"/>
  <c r="AN322" i="2"/>
  <c r="BD322" i="2"/>
  <c r="N323" i="2"/>
  <c r="AD323" i="2"/>
  <c r="AT323" i="2"/>
  <c r="D324" i="2"/>
  <c r="T324" i="2"/>
  <c r="AJ324" i="2"/>
  <c r="AZ324" i="2"/>
  <c r="J325" i="2"/>
  <c r="Z325" i="2"/>
  <c r="AP325" i="2"/>
  <c r="BF325" i="2"/>
  <c r="P326" i="2"/>
  <c r="AF326" i="2"/>
  <c r="AV326" i="2"/>
  <c r="F327" i="2"/>
  <c r="V327" i="2"/>
  <c r="AL327" i="2"/>
  <c r="BB327" i="2"/>
  <c r="L328" i="2"/>
  <c r="AB328" i="2"/>
  <c r="AR328" i="2"/>
  <c r="BH328" i="2"/>
  <c r="R329" i="2"/>
  <c r="AH329" i="2"/>
  <c r="AX329" i="2"/>
  <c r="H330" i="2"/>
  <c r="X330" i="2"/>
  <c r="AN330" i="2"/>
  <c r="BD330" i="2"/>
  <c r="N331" i="2"/>
  <c r="AD331" i="2"/>
  <c r="AT331" i="2"/>
  <c r="D332" i="2"/>
  <c r="T332" i="2"/>
  <c r="AJ332" i="2"/>
  <c r="AZ332" i="2"/>
  <c r="J333" i="2"/>
  <c r="Z333" i="2"/>
  <c r="AP333" i="2"/>
  <c r="BF219" i="2"/>
  <c r="V237" i="2"/>
  <c r="AC245" i="2"/>
  <c r="AU250" i="2"/>
  <c r="AQ254" i="2"/>
  <c r="L258" i="2"/>
  <c r="AQ261" i="2"/>
  <c r="BB264" i="2"/>
  <c r="AR266" i="2"/>
  <c r="AS268" i="2"/>
  <c r="H270" i="2"/>
  <c r="AC271" i="2"/>
  <c r="AV272" i="2"/>
  <c r="AZ273" i="2"/>
  <c r="AT274" i="2"/>
  <c r="AH275" i="2"/>
  <c r="V276" i="2"/>
  <c r="BF276" i="2"/>
  <c r="AS277" i="2"/>
  <c r="U278" i="2"/>
  <c r="BC278" i="2"/>
  <c r="AN279" i="2"/>
  <c r="P280" i="2"/>
  <c r="AX280" i="2"/>
  <c r="AH281" i="2"/>
  <c r="K282" i="2"/>
  <c r="AS282" i="2"/>
  <c r="U283" i="2"/>
  <c r="AY283" i="2"/>
  <c r="W284" i="2"/>
  <c r="BA284" i="2"/>
  <c r="V285" i="2"/>
  <c r="AV285" i="2"/>
  <c r="T286" i="2"/>
  <c r="AW286" i="2"/>
  <c r="M287" i="2"/>
  <c r="AO287" i="2"/>
  <c r="K288" i="2"/>
  <c r="AG288" i="2"/>
  <c r="BG288" i="2"/>
  <c r="V289" i="2"/>
  <c r="AV289" i="2"/>
  <c r="J290" i="2"/>
  <c r="AD290" i="2"/>
  <c r="BB290" i="2"/>
  <c r="P291" i="2"/>
  <c r="AJ291" i="2"/>
  <c r="BH291" i="2"/>
  <c r="V292" i="2"/>
  <c r="AP292" i="2"/>
  <c r="H293" i="2"/>
  <c r="AB293" i="2"/>
  <c r="AV293" i="2"/>
  <c r="N294" i="2"/>
  <c r="AH294" i="2"/>
  <c r="BB294" i="2"/>
  <c r="T295" i="2"/>
  <c r="AN295" i="2"/>
  <c r="BH295" i="2"/>
  <c r="Z296" i="2"/>
  <c r="AT296" i="2"/>
  <c r="H297" i="2"/>
  <c r="AF297" i="2"/>
  <c r="AX297" i="2"/>
  <c r="J298" i="2"/>
  <c r="AB298" i="2"/>
  <c r="AT298" i="2"/>
  <c r="H299" i="2"/>
  <c r="Z299" i="2"/>
  <c r="AR299" i="2"/>
  <c r="D300" i="2"/>
  <c r="V300" i="2"/>
  <c r="AN300" i="2"/>
  <c r="BF300" i="2"/>
  <c r="T301" i="2"/>
  <c r="AL301" i="2"/>
  <c r="BD301" i="2"/>
  <c r="P302" i="2"/>
  <c r="AG302" i="2"/>
  <c r="AW302" i="2"/>
  <c r="G303" i="2"/>
  <c r="W303" i="2"/>
  <c r="AM303" i="2"/>
  <c r="BC303" i="2"/>
  <c r="M304" i="2"/>
  <c r="AC304" i="2"/>
  <c r="AS304" i="2"/>
  <c r="C305" i="2"/>
  <c r="S305" i="2"/>
  <c r="AI305" i="2"/>
  <c r="AY305" i="2"/>
  <c r="I306" i="2"/>
  <c r="Y306" i="2"/>
  <c r="AO306" i="2"/>
  <c r="BE306" i="2"/>
  <c r="O307" i="2"/>
  <c r="AE307" i="2"/>
  <c r="AU307" i="2"/>
  <c r="E308" i="2"/>
  <c r="U308" i="2"/>
  <c r="AK308" i="2"/>
  <c r="BA308" i="2"/>
  <c r="K309" i="2"/>
  <c r="AA309" i="2"/>
  <c r="AQ309" i="2"/>
  <c r="BG309" i="2"/>
  <c r="Q310" i="2"/>
  <c r="AG310" i="2"/>
  <c r="AW310" i="2"/>
  <c r="G311" i="2"/>
  <c r="W311" i="2"/>
  <c r="AM311" i="2"/>
  <c r="BC311" i="2"/>
  <c r="M312" i="2"/>
  <c r="AC312" i="2"/>
  <c r="AS312" i="2"/>
  <c r="C313" i="2"/>
  <c r="S313" i="2"/>
  <c r="AI313" i="2"/>
  <c r="AY313" i="2"/>
  <c r="I314" i="2"/>
  <c r="Y314" i="2"/>
  <c r="AO314" i="2"/>
  <c r="BE314" i="2"/>
  <c r="O315" i="2"/>
  <c r="AE315" i="2"/>
  <c r="AU315" i="2"/>
  <c r="E316" i="2"/>
  <c r="U316" i="2"/>
  <c r="AK316" i="2"/>
  <c r="BA316" i="2"/>
  <c r="K317" i="2"/>
  <c r="AA317" i="2"/>
  <c r="AQ317" i="2"/>
  <c r="BG317" i="2"/>
  <c r="Q318" i="2"/>
  <c r="AG318" i="2"/>
  <c r="AW318" i="2"/>
  <c r="G319" i="2"/>
  <c r="W319" i="2"/>
  <c r="AM319" i="2"/>
  <c r="BC319" i="2"/>
  <c r="M320" i="2"/>
  <c r="AC320" i="2"/>
  <c r="AS320" i="2"/>
  <c r="C321" i="2"/>
  <c r="S321" i="2"/>
  <c r="AI321" i="2"/>
  <c r="AY321" i="2"/>
  <c r="I322" i="2"/>
  <c r="Y322" i="2"/>
  <c r="AO322" i="2"/>
  <c r="BE322" i="2"/>
  <c r="O323" i="2"/>
  <c r="AE323" i="2"/>
  <c r="AU323" i="2"/>
  <c r="E324" i="2"/>
  <c r="O224" i="2"/>
  <c r="AS238" i="2"/>
  <c r="K246" i="2"/>
  <c r="U251" i="2"/>
  <c r="F255" i="2"/>
  <c r="AL258" i="2"/>
  <c r="L262" i="2"/>
  <c r="BC264" i="2"/>
  <c r="G267" i="2"/>
  <c r="AU268" i="2"/>
  <c r="J270" i="2"/>
  <c r="AE271" i="2"/>
  <c r="AZ272" i="2"/>
  <c r="H274" i="2"/>
  <c r="AU274" i="2"/>
  <c r="AI275" i="2"/>
  <c r="W276" i="2"/>
  <c r="BG276" i="2"/>
  <c r="AT277" i="2"/>
  <c r="V278" i="2"/>
  <c r="F279" i="2"/>
  <c r="AO279" i="2"/>
  <c r="Q280" i="2"/>
  <c r="AY280" i="2"/>
  <c r="AJ281" i="2"/>
  <c r="L282" i="2"/>
  <c r="AT282" i="2"/>
  <c r="Z283" i="2"/>
  <c r="AZ283" i="2"/>
  <c r="X284" i="2"/>
  <c r="BB284" i="2"/>
  <c r="Z285" i="2"/>
  <c r="AW285" i="2"/>
  <c r="U286" i="2"/>
  <c r="AX286" i="2"/>
  <c r="R287" i="2"/>
  <c r="AP287" i="2"/>
  <c r="L288" i="2"/>
  <c r="AH288" i="2"/>
  <c r="BH288" i="2"/>
  <c r="W289" i="2"/>
  <c r="AW289" i="2"/>
  <c r="K290" i="2"/>
  <c r="AE290" i="2"/>
  <c r="BC290" i="2"/>
  <c r="Q291" i="2"/>
  <c r="AK291" i="2"/>
  <c r="C292" i="2"/>
  <c r="W292" i="2"/>
  <c r="AQ292" i="2"/>
  <c r="I293" i="2"/>
  <c r="AC293" i="2"/>
  <c r="AW293" i="2"/>
  <c r="O294" i="2"/>
  <c r="AI294" i="2"/>
  <c r="BC294" i="2"/>
  <c r="U295" i="2"/>
  <c r="AO295" i="2"/>
  <c r="C296" i="2"/>
  <c r="AA296" i="2"/>
  <c r="AU296" i="2"/>
  <c r="I297" i="2"/>
  <c r="AG297" i="2"/>
  <c r="AY297" i="2"/>
  <c r="K298" i="2"/>
  <c r="AC298" i="2"/>
  <c r="AU298" i="2"/>
  <c r="I299" i="2"/>
  <c r="AA299" i="2"/>
  <c r="AS299" i="2"/>
  <c r="E300" i="2"/>
  <c r="W300" i="2"/>
  <c r="AO300" i="2"/>
  <c r="BG300" i="2"/>
  <c r="U301" i="2"/>
  <c r="AM301" i="2"/>
  <c r="BE301" i="2"/>
  <c r="Q302" i="2"/>
  <c r="AH302" i="2"/>
  <c r="AX302" i="2"/>
  <c r="H303" i="2"/>
  <c r="X303" i="2"/>
  <c r="AN303" i="2"/>
  <c r="BD303" i="2"/>
  <c r="N304" i="2"/>
  <c r="AD304" i="2"/>
  <c r="AT304" i="2"/>
  <c r="D305" i="2"/>
  <c r="T305" i="2"/>
  <c r="AJ305" i="2"/>
  <c r="AZ305" i="2"/>
  <c r="J306" i="2"/>
  <c r="Z306" i="2"/>
  <c r="AP306" i="2"/>
  <c r="BF306" i="2"/>
  <c r="P307" i="2"/>
  <c r="AF307" i="2"/>
  <c r="AV307" i="2"/>
  <c r="F308" i="2"/>
  <c r="V308" i="2"/>
  <c r="AL308" i="2"/>
  <c r="BB308" i="2"/>
  <c r="L309" i="2"/>
  <c r="AB309" i="2"/>
  <c r="AR309" i="2"/>
  <c r="BH309" i="2"/>
  <c r="R310" i="2"/>
  <c r="AH310" i="2"/>
  <c r="AX310" i="2"/>
  <c r="H311" i="2"/>
  <c r="X311" i="2"/>
  <c r="AN311" i="2"/>
  <c r="BD311" i="2"/>
  <c r="N312" i="2"/>
  <c r="AD312" i="2"/>
  <c r="AT312" i="2"/>
  <c r="D313" i="2"/>
  <c r="T313" i="2"/>
  <c r="AJ313" i="2"/>
  <c r="AZ313" i="2"/>
  <c r="J314" i="2"/>
  <c r="Z314" i="2"/>
  <c r="AP314" i="2"/>
  <c r="BF314" i="2"/>
  <c r="P315" i="2"/>
  <c r="AF315" i="2"/>
  <c r="AV315" i="2"/>
  <c r="F316" i="2"/>
  <c r="V316" i="2"/>
  <c r="AL316" i="2"/>
  <c r="BB316" i="2"/>
  <c r="L317" i="2"/>
  <c r="AB317" i="2"/>
  <c r="AR317" i="2"/>
  <c r="BH317" i="2"/>
  <c r="R318" i="2"/>
  <c r="AH318" i="2"/>
  <c r="AX318" i="2"/>
  <c r="H319" i="2"/>
  <c r="X319" i="2"/>
  <c r="AN319" i="2"/>
  <c r="BD319" i="2"/>
  <c r="N320" i="2"/>
  <c r="AD320" i="2"/>
  <c r="AT320" i="2"/>
  <c r="D321" i="2"/>
  <c r="T321" i="2"/>
  <c r="AJ321" i="2"/>
  <c r="AZ321" i="2"/>
  <c r="J322" i="2"/>
  <c r="Z322" i="2"/>
  <c r="X224" i="2"/>
  <c r="AT238" i="2"/>
  <c r="N246" i="2"/>
  <c r="Y251" i="2"/>
  <c r="G255" i="2"/>
  <c r="AM258" i="2"/>
  <c r="M262" i="2"/>
  <c r="O265" i="2"/>
  <c r="H267" i="2"/>
  <c r="AV268" i="2"/>
  <c r="K270" i="2"/>
  <c r="AF271" i="2"/>
  <c r="BA272" i="2"/>
  <c r="I274" i="2"/>
  <c r="BF274" i="2"/>
  <c r="AJ275" i="2"/>
  <c r="X276" i="2"/>
  <c r="L277" i="2"/>
  <c r="AU277" i="2"/>
  <c r="W278" i="2"/>
  <c r="H279" i="2"/>
  <c r="AP279" i="2"/>
  <c r="R280" i="2"/>
  <c r="BH280" i="2"/>
  <c r="AK281" i="2"/>
  <c r="M282" i="2"/>
  <c r="AU282" i="2"/>
  <c r="AD283" i="2"/>
  <c r="BA283" i="2"/>
  <c r="Y284" i="2"/>
  <c r="BC284" i="2"/>
  <c r="AA285" i="2"/>
  <c r="BB285" i="2"/>
  <c r="V286" i="2"/>
  <c r="AY286" i="2"/>
  <c r="U287" i="2"/>
  <c r="AQ287" i="2"/>
  <c r="M288" i="2"/>
  <c r="AI288" i="2"/>
  <c r="C289" i="2"/>
  <c r="X289" i="2"/>
  <c r="AX289" i="2"/>
  <c r="L290" i="2"/>
  <c r="AJ290" i="2"/>
  <c r="BD290" i="2"/>
  <c r="R291" i="2"/>
  <c r="AP291" i="2"/>
  <c r="D292" i="2"/>
  <c r="X292" i="2"/>
  <c r="AV292" i="2"/>
  <c r="J293" i="2"/>
  <c r="AD293" i="2"/>
  <c r="BB293" i="2"/>
  <c r="P294" i="2"/>
  <c r="AJ294" i="2"/>
  <c r="BH294" i="2"/>
  <c r="V295" i="2"/>
  <c r="AP295" i="2"/>
  <c r="H296" i="2"/>
  <c r="AB296" i="2"/>
  <c r="AV296" i="2"/>
  <c r="N297" i="2"/>
  <c r="AH297" i="2"/>
  <c r="AZ297" i="2"/>
  <c r="L298" i="2"/>
  <c r="AD298" i="2"/>
  <c r="AX298" i="2"/>
  <c r="J299" i="2"/>
  <c r="AB299" i="2"/>
  <c r="AT299" i="2"/>
  <c r="F300" i="2"/>
  <c r="X300" i="2"/>
  <c r="AP300" i="2"/>
  <c r="D301" i="2"/>
  <c r="V301" i="2"/>
  <c r="AN301" i="2"/>
  <c r="BF301" i="2"/>
  <c r="R302" i="2"/>
  <c r="AI302" i="2"/>
  <c r="AY302" i="2"/>
  <c r="I303" i="2"/>
  <c r="Y303" i="2"/>
  <c r="AO303" i="2"/>
  <c r="BE303" i="2"/>
  <c r="O304" i="2"/>
  <c r="AE304" i="2"/>
  <c r="AU304" i="2"/>
  <c r="E305" i="2"/>
  <c r="U305" i="2"/>
  <c r="AK305" i="2"/>
  <c r="BA305" i="2"/>
  <c r="K306" i="2"/>
  <c r="AA306" i="2"/>
  <c r="AQ306" i="2"/>
  <c r="BG306" i="2"/>
  <c r="Q307" i="2"/>
  <c r="AG307" i="2"/>
  <c r="AW307" i="2"/>
  <c r="G308" i="2"/>
  <c r="W308" i="2"/>
  <c r="AM308" i="2"/>
  <c r="BC308" i="2"/>
  <c r="M309" i="2"/>
  <c r="AC309" i="2"/>
  <c r="AS309" i="2"/>
  <c r="C310" i="2"/>
  <c r="S310" i="2"/>
  <c r="AI310" i="2"/>
  <c r="AY310" i="2"/>
  <c r="I311" i="2"/>
  <c r="Y311" i="2"/>
  <c r="AO311" i="2"/>
  <c r="BE311" i="2"/>
  <c r="O312" i="2"/>
  <c r="AE312" i="2"/>
  <c r="AU312" i="2"/>
  <c r="E313" i="2"/>
  <c r="U313" i="2"/>
  <c r="AK313" i="2"/>
  <c r="BA313" i="2"/>
  <c r="K314" i="2"/>
  <c r="AA314" i="2"/>
  <c r="AQ314" i="2"/>
  <c r="BG314" i="2"/>
  <c r="Q315" i="2"/>
  <c r="AG315" i="2"/>
  <c r="AW315" i="2"/>
  <c r="G316" i="2"/>
  <c r="W316" i="2"/>
  <c r="AM316" i="2"/>
  <c r="BC316" i="2"/>
  <c r="M317" i="2"/>
  <c r="AC317" i="2"/>
  <c r="AS317" i="2"/>
  <c r="C318" i="2"/>
  <c r="S318" i="2"/>
  <c r="AI318" i="2"/>
  <c r="AY318" i="2"/>
  <c r="I319" i="2"/>
  <c r="Y319" i="2"/>
  <c r="AO319" i="2"/>
  <c r="BE319" i="2"/>
  <c r="O320" i="2"/>
  <c r="AE320" i="2"/>
  <c r="AU320" i="2"/>
  <c r="E321" i="2"/>
  <c r="U321" i="2"/>
  <c r="AK321" i="2"/>
  <c r="R227" i="2"/>
  <c r="AS239" i="2"/>
  <c r="BB246" i="2"/>
  <c r="AX251" i="2"/>
  <c r="AH255" i="2"/>
  <c r="E259" i="2"/>
  <c r="AH262" i="2"/>
  <c r="P265" i="2"/>
  <c r="I267" i="2"/>
  <c r="AW268" i="2"/>
  <c r="L270" i="2"/>
  <c r="AG271" i="2"/>
  <c r="BB272" i="2"/>
  <c r="J274" i="2"/>
  <c r="BG274" i="2"/>
  <c r="AK275" i="2"/>
  <c r="Y276" i="2"/>
  <c r="M277" i="2"/>
  <c r="AV277" i="2"/>
  <c r="AF278" i="2"/>
  <c r="I279" i="2"/>
  <c r="AQ279" i="2"/>
  <c r="S280" i="2"/>
  <c r="D281" i="2"/>
  <c r="AL281" i="2"/>
  <c r="N282" i="2"/>
  <c r="BD282" i="2"/>
  <c r="AE283" i="2"/>
  <c r="BF283" i="2"/>
  <c r="Z284" i="2"/>
  <c r="BD284" i="2"/>
  <c r="AB285" i="2"/>
  <c r="BF285" i="2"/>
  <c r="W286" i="2"/>
  <c r="AZ286" i="2"/>
  <c r="V287" i="2"/>
  <c r="AR287" i="2"/>
  <c r="N288" i="2"/>
  <c r="AN288" i="2"/>
  <c r="D289" i="2"/>
  <c r="Y289" i="2"/>
  <c r="AY289" i="2"/>
  <c r="M290" i="2"/>
  <c r="AK290" i="2"/>
  <c r="BE290" i="2"/>
  <c r="S291" i="2"/>
  <c r="AQ291" i="2"/>
  <c r="E292" i="2"/>
  <c r="Y292" i="2"/>
  <c r="AW292" i="2"/>
  <c r="K293" i="2"/>
  <c r="AE293" i="2"/>
  <c r="BC293" i="2"/>
  <c r="Q294" i="2"/>
  <c r="AK294" i="2"/>
  <c r="C295" i="2"/>
  <c r="W295" i="2"/>
  <c r="AQ295" i="2"/>
  <c r="I296" i="2"/>
  <c r="AC296" i="2"/>
  <c r="AW296" i="2"/>
  <c r="O297" i="2"/>
  <c r="AI297" i="2"/>
  <c r="BA297" i="2"/>
  <c r="M298" i="2"/>
  <c r="AE298" i="2"/>
  <c r="AY298" i="2"/>
  <c r="K299" i="2"/>
  <c r="AC299" i="2"/>
  <c r="AU299" i="2"/>
  <c r="G300" i="2"/>
  <c r="Y300" i="2"/>
  <c r="AQ300" i="2"/>
  <c r="E301" i="2"/>
  <c r="W301" i="2"/>
  <c r="AO301" i="2"/>
  <c r="BG301" i="2"/>
  <c r="S302" i="2"/>
  <c r="AJ302" i="2"/>
  <c r="AZ302" i="2"/>
  <c r="J303" i="2"/>
  <c r="Z303" i="2"/>
  <c r="AP303" i="2"/>
  <c r="BF303" i="2"/>
  <c r="P304" i="2"/>
  <c r="AF304" i="2"/>
  <c r="AV304" i="2"/>
  <c r="F305" i="2"/>
  <c r="V305" i="2"/>
  <c r="AL305" i="2"/>
  <c r="BB305" i="2"/>
  <c r="L306" i="2"/>
  <c r="AB306" i="2"/>
  <c r="AR306" i="2"/>
  <c r="BH306" i="2"/>
  <c r="R307" i="2"/>
  <c r="AH307" i="2"/>
  <c r="AX307" i="2"/>
  <c r="H308" i="2"/>
  <c r="X308" i="2"/>
  <c r="AN308" i="2"/>
  <c r="BD308" i="2"/>
  <c r="N309" i="2"/>
  <c r="AD309" i="2"/>
  <c r="AT309" i="2"/>
  <c r="D310" i="2"/>
  <c r="T310" i="2"/>
  <c r="AJ310" i="2"/>
  <c r="AZ310" i="2"/>
  <c r="J311" i="2"/>
  <c r="Z311" i="2"/>
  <c r="AP311" i="2"/>
  <c r="BF311" i="2"/>
  <c r="P312" i="2"/>
  <c r="AF312" i="2"/>
  <c r="AV312" i="2"/>
  <c r="F313" i="2"/>
  <c r="V313" i="2"/>
  <c r="AL313" i="2"/>
  <c r="BB313" i="2"/>
  <c r="L314" i="2"/>
  <c r="AB314" i="2"/>
  <c r="AR314" i="2"/>
  <c r="BH314" i="2"/>
  <c r="R315" i="2"/>
  <c r="AH315" i="2"/>
  <c r="AX315" i="2"/>
  <c r="H316" i="2"/>
  <c r="X316" i="2"/>
  <c r="AN316" i="2"/>
  <c r="BD316" i="2"/>
  <c r="N317" i="2"/>
  <c r="AD317" i="2"/>
  <c r="AT317" i="2"/>
  <c r="D318" i="2"/>
  <c r="T318" i="2"/>
  <c r="AJ318" i="2"/>
  <c r="AZ318" i="2"/>
  <c r="J319" i="2"/>
  <c r="Z319" i="2"/>
  <c r="AP319" i="2"/>
  <c r="BF319" i="2"/>
  <c r="W227" i="2"/>
  <c r="AX239" i="2"/>
  <c r="BD246" i="2"/>
  <c r="BA251" i="2"/>
  <c r="AI255" i="2"/>
  <c r="I259" i="2"/>
  <c r="AJ262" i="2"/>
  <c r="Q265" i="2"/>
  <c r="Z267" i="2"/>
  <c r="F269" i="2"/>
  <c r="AA270" i="2"/>
  <c r="AV271" i="2"/>
  <c r="K273" i="2"/>
  <c r="L274" i="2"/>
  <c r="BH274" i="2"/>
  <c r="AV275" i="2"/>
  <c r="Z276" i="2"/>
  <c r="N277" i="2"/>
  <c r="AW277" i="2"/>
  <c r="AH278" i="2"/>
  <c r="J279" i="2"/>
  <c r="AR279" i="2"/>
  <c r="AB280" i="2"/>
  <c r="E281" i="2"/>
  <c r="AM281" i="2"/>
  <c r="O282" i="2"/>
  <c r="BF282" i="2"/>
  <c r="AF283" i="2"/>
  <c r="D284" i="2"/>
  <c r="AA284" i="2"/>
  <c r="BE284" i="2"/>
  <c r="AC285" i="2"/>
  <c r="BG285" i="2"/>
  <c r="AB286" i="2"/>
  <c r="BA286" i="2"/>
  <c r="W287" i="2"/>
  <c r="AS287" i="2"/>
  <c r="O288" i="2"/>
  <c r="AP288" i="2"/>
  <c r="E289" i="2"/>
  <c r="AD289" i="2"/>
  <c r="AZ289" i="2"/>
  <c r="N290" i="2"/>
  <c r="AL290" i="2"/>
  <c r="BF290" i="2"/>
  <c r="T291" i="2"/>
  <c r="AR291" i="2"/>
  <c r="F292" i="2"/>
  <c r="Z292" i="2"/>
  <c r="AX292" i="2"/>
  <c r="L293" i="2"/>
  <c r="AF293" i="2"/>
  <c r="BD293" i="2"/>
  <c r="R294" i="2"/>
  <c r="AL294" i="2"/>
  <c r="D295" i="2"/>
  <c r="X295" i="2"/>
  <c r="AR295" i="2"/>
  <c r="J296" i="2"/>
  <c r="AD296" i="2"/>
  <c r="AX296" i="2"/>
  <c r="P297" i="2"/>
  <c r="AJ297" i="2"/>
  <c r="BB297" i="2"/>
  <c r="N298" i="2"/>
  <c r="AH298" i="2"/>
  <c r="AZ298" i="2"/>
  <c r="L299" i="2"/>
  <c r="AD299" i="2"/>
  <c r="AV299" i="2"/>
  <c r="H300" i="2"/>
  <c r="Z300" i="2"/>
  <c r="AT300" i="2"/>
  <c r="F301" i="2"/>
  <c r="X301" i="2"/>
  <c r="AP301" i="2"/>
  <c r="BH301" i="2"/>
  <c r="T302" i="2"/>
  <c r="AK302" i="2"/>
  <c r="BA302" i="2"/>
  <c r="K303" i="2"/>
  <c r="AA303" i="2"/>
  <c r="AQ303" i="2"/>
  <c r="BG303" i="2"/>
  <c r="Q304" i="2"/>
  <c r="AG304" i="2"/>
  <c r="AW304" i="2"/>
  <c r="G305" i="2"/>
  <c r="W305" i="2"/>
  <c r="AM305" i="2"/>
  <c r="BC305" i="2"/>
  <c r="M306" i="2"/>
  <c r="AC306" i="2"/>
  <c r="AS306" i="2"/>
  <c r="C307" i="2"/>
  <c r="S307" i="2"/>
  <c r="AI307" i="2"/>
  <c r="AY307" i="2"/>
  <c r="I308" i="2"/>
  <c r="Y308" i="2"/>
  <c r="AO308" i="2"/>
  <c r="BE308" i="2"/>
  <c r="O309" i="2"/>
  <c r="AE309" i="2"/>
  <c r="AU309" i="2"/>
  <c r="E310" i="2"/>
  <c r="U310" i="2"/>
  <c r="AK310" i="2"/>
  <c r="BA310" i="2"/>
  <c r="K311" i="2"/>
  <c r="AA311" i="2"/>
  <c r="AQ311" i="2"/>
  <c r="BG311" i="2"/>
  <c r="Q312" i="2"/>
  <c r="AG312" i="2"/>
  <c r="AW312" i="2"/>
  <c r="G313" i="2"/>
  <c r="W313" i="2"/>
  <c r="AM313" i="2"/>
  <c r="BC313" i="2"/>
  <c r="M314" i="2"/>
  <c r="AC314" i="2"/>
  <c r="AS314" i="2"/>
  <c r="C315" i="2"/>
  <c r="O229" i="2"/>
  <c r="AW240" i="2"/>
  <c r="AK247" i="2"/>
  <c r="U252" i="2"/>
  <c r="BD255" i="2"/>
  <c r="AD259" i="2"/>
  <c r="BH262" i="2"/>
  <c r="AI265" i="2"/>
  <c r="AA267" i="2"/>
  <c r="H269" i="2"/>
  <c r="AC270" i="2"/>
  <c r="AX271" i="2"/>
  <c r="M273" i="2"/>
  <c r="M274" i="2"/>
  <c r="C275" i="2"/>
  <c r="AW275" i="2"/>
  <c r="AA276" i="2"/>
  <c r="O277" i="2"/>
  <c r="BF277" i="2"/>
  <c r="AI278" i="2"/>
  <c r="K279" i="2"/>
  <c r="AS279" i="2"/>
  <c r="AD280" i="2"/>
  <c r="F281" i="2"/>
  <c r="AN281" i="2"/>
  <c r="X282" i="2"/>
  <c r="BG282" i="2"/>
  <c r="AG283" i="2"/>
  <c r="E284" i="2"/>
  <c r="AF284" i="2"/>
  <c r="BF284" i="2"/>
  <c r="AD285" i="2"/>
  <c r="BH285" i="2"/>
  <c r="AF286" i="2"/>
  <c r="BB286" i="2"/>
  <c r="X287" i="2"/>
  <c r="AX287" i="2"/>
  <c r="P288" i="2"/>
  <c r="AQ288" i="2"/>
  <c r="F289" i="2"/>
  <c r="AF289" i="2"/>
  <c r="BA289" i="2"/>
  <c r="O290" i="2"/>
  <c r="AM290" i="2"/>
  <c r="BG290" i="2"/>
  <c r="U291" i="2"/>
  <c r="AS291" i="2"/>
  <c r="G292" i="2"/>
  <c r="AA292" i="2"/>
  <c r="AY292" i="2"/>
  <c r="M293" i="2"/>
  <c r="AG293" i="2"/>
  <c r="BE293" i="2"/>
  <c r="S294" i="2"/>
  <c r="AM294" i="2"/>
  <c r="E295" i="2"/>
  <c r="Y295" i="2"/>
  <c r="AS295" i="2"/>
  <c r="K296" i="2"/>
  <c r="AE296" i="2"/>
  <c r="AY296" i="2"/>
  <c r="Q297" i="2"/>
  <c r="AK297" i="2"/>
  <c r="BC297" i="2"/>
  <c r="O298" i="2"/>
  <c r="AI298" i="2"/>
  <c r="BA298" i="2"/>
  <c r="M299" i="2"/>
  <c r="AE299" i="2"/>
  <c r="AW299" i="2"/>
  <c r="I300" i="2"/>
  <c r="AA300" i="2"/>
  <c r="AU300" i="2"/>
  <c r="G301" i="2"/>
  <c r="Y301" i="2"/>
  <c r="AQ301" i="2"/>
  <c r="C302" i="2"/>
  <c r="U302" i="2"/>
  <c r="AL302" i="2"/>
  <c r="BB302" i="2"/>
  <c r="L303" i="2"/>
  <c r="AB303" i="2"/>
  <c r="AR303" i="2"/>
  <c r="BH303" i="2"/>
  <c r="R304" i="2"/>
  <c r="AH304" i="2"/>
  <c r="AX304" i="2"/>
  <c r="H305" i="2"/>
  <c r="X305" i="2"/>
  <c r="AN305" i="2"/>
  <c r="BD305" i="2"/>
  <c r="N306" i="2"/>
  <c r="AD306" i="2"/>
  <c r="AT306" i="2"/>
  <c r="D307" i="2"/>
  <c r="T307" i="2"/>
  <c r="AJ307" i="2"/>
  <c r="AZ307" i="2"/>
  <c r="J308" i="2"/>
  <c r="Z308" i="2"/>
  <c r="AP308" i="2"/>
  <c r="BF308" i="2"/>
  <c r="P309" i="2"/>
  <c r="AF309" i="2"/>
  <c r="AV309" i="2"/>
  <c r="F310" i="2"/>
  <c r="V310" i="2"/>
  <c r="AL310" i="2"/>
  <c r="BB310" i="2"/>
  <c r="L311" i="2"/>
  <c r="P229" i="2"/>
  <c r="BC240" i="2"/>
  <c r="AL247" i="2"/>
  <c r="V252" i="2"/>
  <c r="BF255" i="2"/>
  <c r="AE259" i="2"/>
  <c r="C263" i="2"/>
  <c r="AJ265" i="2"/>
  <c r="AB267" i="2"/>
  <c r="I269" i="2"/>
  <c r="AD270" i="2"/>
  <c r="AY271" i="2"/>
  <c r="N273" i="2"/>
  <c r="Y274" i="2"/>
  <c r="D275" i="2"/>
  <c r="AX275" i="2"/>
  <c r="AL276" i="2"/>
  <c r="P277" i="2"/>
  <c r="BH277" i="2"/>
  <c r="AJ278" i="2"/>
  <c r="L279" i="2"/>
  <c r="BB279" i="2"/>
  <c r="AE280" i="2"/>
  <c r="G281" i="2"/>
  <c r="AO281" i="2"/>
  <c r="Z282" i="2"/>
  <c r="BH282" i="2"/>
  <c r="AH283" i="2"/>
  <c r="F284" i="2"/>
  <c r="AJ284" i="2"/>
  <c r="BG284" i="2"/>
  <c r="AE285" i="2"/>
  <c r="C286" i="2"/>
  <c r="AG286" i="2"/>
  <c r="BC286" i="2"/>
  <c r="Y287" i="2"/>
  <c r="BA287" i="2"/>
  <c r="Q288" i="2"/>
  <c r="AR288" i="2"/>
  <c r="G289" i="2"/>
  <c r="AG289" i="2"/>
  <c r="BB289" i="2"/>
  <c r="T290" i="2"/>
  <c r="AN290" i="2"/>
  <c r="BH290" i="2"/>
  <c r="Z291" i="2"/>
  <c r="AT291" i="2"/>
  <c r="H292" i="2"/>
  <c r="AF292" i="2"/>
  <c r="AZ292" i="2"/>
  <c r="N293" i="2"/>
  <c r="AL293" i="2"/>
  <c r="BF293" i="2"/>
  <c r="T294" i="2"/>
  <c r="AR294" i="2"/>
  <c r="F295" i="2"/>
  <c r="Z295" i="2"/>
  <c r="AX295" i="2"/>
  <c r="L296" i="2"/>
  <c r="AF296" i="2"/>
  <c r="BD296" i="2"/>
  <c r="R297" i="2"/>
  <c r="AL297" i="2"/>
  <c r="BD297" i="2"/>
  <c r="R298" i="2"/>
  <c r="AJ298" i="2"/>
  <c r="BB298" i="2"/>
  <c r="N299" i="2"/>
  <c r="AF299" i="2"/>
  <c r="AX299" i="2"/>
  <c r="J300" i="2"/>
  <c r="AD300" i="2"/>
  <c r="AV300" i="2"/>
  <c r="H301" i="2"/>
  <c r="Z301" i="2"/>
  <c r="AR301" i="2"/>
  <c r="D302" i="2"/>
  <c r="V302" i="2"/>
  <c r="AM302" i="2"/>
  <c r="BC302" i="2"/>
  <c r="M303" i="2"/>
  <c r="AC303" i="2"/>
  <c r="AS303" i="2"/>
  <c r="C304" i="2"/>
  <c r="AZ230" i="2"/>
  <c r="BB241" i="2"/>
  <c r="N248" i="2"/>
  <c r="AY252" i="2"/>
  <c r="Z256" i="2"/>
  <c r="BF259" i="2"/>
  <c r="W263" i="2"/>
  <c r="AL265" i="2"/>
  <c r="AS267" i="2"/>
  <c r="J269" i="2"/>
  <c r="AE270" i="2"/>
  <c r="AZ271" i="2"/>
  <c r="O273" i="2"/>
  <c r="Z274" i="2"/>
  <c r="E275" i="2"/>
  <c r="AY275" i="2"/>
  <c r="AM276" i="2"/>
  <c r="Q277" i="2"/>
  <c r="C278" i="2"/>
  <c r="AK278" i="2"/>
  <c r="M279" i="2"/>
  <c r="BD279" i="2"/>
  <c r="AF280" i="2"/>
  <c r="H281" i="2"/>
  <c r="AX281" i="2"/>
  <c r="AA282" i="2"/>
  <c r="C283" i="2"/>
  <c r="AI283" i="2"/>
  <c r="G284" i="2"/>
  <c r="AK284" i="2"/>
  <c r="F285" i="2"/>
  <c r="AF285" i="2"/>
  <c r="D286" i="2"/>
  <c r="AH286" i="2"/>
  <c r="BH286" i="2"/>
  <c r="Z287" i="2"/>
  <c r="BB287" i="2"/>
  <c r="R288" i="2"/>
  <c r="AS288" i="2"/>
  <c r="H289" i="2"/>
  <c r="AH289" i="2"/>
  <c r="BC289" i="2"/>
  <c r="U290" i="2"/>
  <c r="AO290" i="2"/>
  <c r="C291" i="2"/>
  <c r="AA291" i="2"/>
  <c r="AU291" i="2"/>
  <c r="I292" i="2"/>
  <c r="AG292" i="2"/>
  <c r="BA292" i="2"/>
  <c r="O293" i="2"/>
  <c r="AM293" i="2"/>
  <c r="BG293" i="2"/>
  <c r="U294" i="2"/>
  <c r="AS294" i="2"/>
  <c r="G295" i="2"/>
  <c r="AA295" i="2"/>
  <c r="AY295" i="2"/>
  <c r="M296" i="2"/>
  <c r="AG296" i="2"/>
  <c r="BE296" i="2"/>
  <c r="S297" i="2"/>
  <c r="AM297" i="2"/>
  <c r="BE297" i="2"/>
  <c r="S298" i="2"/>
  <c r="AK298" i="2"/>
  <c r="BC298" i="2"/>
  <c r="O299" i="2"/>
  <c r="AG299" i="2"/>
  <c r="AY299" i="2"/>
  <c r="K300" i="2"/>
  <c r="AE300" i="2"/>
  <c r="AW300" i="2"/>
  <c r="I301" i="2"/>
  <c r="AA301" i="2"/>
  <c r="AS301" i="2"/>
  <c r="E302" i="2"/>
  <c r="W302" i="2"/>
  <c r="AN302" i="2"/>
  <c r="BD302" i="2"/>
  <c r="N303" i="2"/>
  <c r="AD303" i="2"/>
  <c r="AT303" i="2"/>
  <c r="D304" i="2"/>
  <c r="T304" i="2"/>
  <c r="BA230" i="2"/>
  <c r="H242" i="2"/>
  <c r="P248" i="2"/>
  <c r="AZ252" i="2"/>
  <c r="AA256" i="2"/>
  <c r="BG259" i="2"/>
  <c r="X263" i="2"/>
  <c r="BG265" i="2"/>
  <c r="AT267" i="2"/>
  <c r="Y269" i="2"/>
  <c r="AT270" i="2"/>
  <c r="I272" i="2"/>
  <c r="AD273" i="2"/>
  <c r="AA274" i="2"/>
  <c r="P275" i="2"/>
  <c r="AZ275" i="2"/>
  <c r="AN276" i="2"/>
  <c r="AB277" i="2"/>
  <c r="D278" i="2"/>
  <c r="AL278" i="2"/>
  <c r="V279" i="2"/>
  <c r="BE279" i="2"/>
  <c r="AG280" i="2"/>
  <c r="I281" i="2"/>
  <c r="AZ281" i="2"/>
  <c r="AB282" i="2"/>
  <c r="D283" i="2"/>
  <c r="AJ283" i="2"/>
  <c r="H284" i="2"/>
  <c r="AL284" i="2"/>
  <c r="J285" i="2"/>
  <c r="AG285" i="2"/>
  <c r="E286" i="2"/>
  <c r="AI286" i="2"/>
  <c r="E287" i="2"/>
  <c r="AA287" i="2"/>
  <c r="BC287" i="2"/>
  <c r="S288" i="2"/>
  <c r="AT288" i="2"/>
  <c r="I289" i="2"/>
  <c r="AI289" i="2"/>
  <c r="BD289" i="2"/>
  <c r="V290" i="2"/>
  <c r="AP290" i="2"/>
  <c r="D291" i="2"/>
  <c r="AB291" i="2"/>
  <c r="AV291" i="2"/>
  <c r="J292" i="2"/>
  <c r="AH292" i="2"/>
  <c r="BB292" i="2"/>
  <c r="P293" i="2"/>
  <c r="AN293" i="2"/>
  <c r="BH293" i="2"/>
  <c r="V294" i="2"/>
  <c r="AT294" i="2"/>
  <c r="H295" i="2"/>
  <c r="AB295" i="2"/>
  <c r="AZ295" i="2"/>
  <c r="N296" i="2"/>
  <c r="AH296" i="2"/>
  <c r="BF296" i="2"/>
  <c r="T297" i="2"/>
  <c r="AN297" i="2"/>
  <c r="BH297" i="2"/>
  <c r="T298" i="2"/>
  <c r="AL298" i="2"/>
  <c r="BD298" i="2"/>
  <c r="P299" i="2"/>
  <c r="AH299" i="2"/>
  <c r="AZ299" i="2"/>
  <c r="N300" i="2"/>
  <c r="AF300" i="2"/>
  <c r="AX300" i="2"/>
  <c r="J301" i="2"/>
  <c r="AB301" i="2"/>
  <c r="AT301" i="2"/>
  <c r="F302" i="2"/>
  <c r="Y302" i="2"/>
  <c r="AO302" i="2"/>
  <c r="BE302" i="2"/>
  <c r="O303" i="2"/>
  <c r="AE303" i="2"/>
  <c r="AU303" i="2"/>
  <c r="AD232" i="2"/>
  <c r="BA242" i="2"/>
  <c r="AY248" i="2"/>
  <c r="V253" i="2"/>
  <c r="AY256" i="2"/>
  <c r="V260" i="2"/>
  <c r="AV263" i="2"/>
  <c r="BH265" i="2"/>
  <c r="AU267" i="2"/>
  <c r="AA269" i="2"/>
  <c r="AV270" i="2"/>
  <c r="K272" i="2"/>
  <c r="AF273" i="2"/>
  <c r="AB274" i="2"/>
  <c r="Q275" i="2"/>
  <c r="BA275" i="2"/>
  <c r="AO276" i="2"/>
  <c r="AC277" i="2"/>
  <c r="E278" i="2"/>
  <c r="AM278" i="2"/>
  <c r="X279" i="2"/>
  <c r="BF279" i="2"/>
  <c r="AH280" i="2"/>
  <c r="R281" i="2"/>
  <c r="BA281" i="2"/>
  <c r="AC282" i="2"/>
  <c r="E283" i="2"/>
  <c r="AK283" i="2"/>
  <c r="I284" i="2"/>
  <c r="AM284" i="2"/>
  <c r="K285" i="2"/>
  <c r="AL285" i="2"/>
  <c r="F286" i="2"/>
  <c r="AJ286" i="2"/>
  <c r="F287" i="2"/>
  <c r="AB287" i="2"/>
  <c r="BD287" i="2"/>
  <c r="X288" i="2"/>
  <c r="AU288" i="2"/>
  <c r="N289" i="2"/>
  <c r="AJ289" i="2"/>
  <c r="BE289" i="2"/>
  <c r="W290" i="2"/>
  <c r="AQ290" i="2"/>
  <c r="E291" i="2"/>
  <c r="AC291" i="2"/>
  <c r="AW291" i="2"/>
  <c r="K292" i="2"/>
  <c r="AI292" i="2"/>
  <c r="BC292" i="2"/>
  <c r="Q293" i="2"/>
  <c r="AO293" i="2"/>
  <c r="C294" i="2"/>
  <c r="W294" i="2"/>
  <c r="AU294" i="2"/>
  <c r="I295" i="2"/>
  <c r="AC295" i="2"/>
  <c r="BA295" i="2"/>
  <c r="O296" i="2"/>
  <c r="AI296" i="2"/>
  <c r="BG296" i="2"/>
  <c r="U297" i="2"/>
  <c r="AO297" i="2"/>
  <c r="C298" i="2"/>
  <c r="U298" i="2"/>
  <c r="AM298" i="2"/>
  <c r="BE298" i="2"/>
  <c r="Q299" i="2"/>
  <c r="AI299" i="2"/>
  <c r="BA299" i="2"/>
  <c r="O300" i="2"/>
  <c r="AG300" i="2"/>
  <c r="AY300" i="2"/>
  <c r="K301" i="2"/>
  <c r="AC301" i="2"/>
  <c r="AU301" i="2"/>
  <c r="G302" i="2"/>
  <c r="Z302" i="2"/>
  <c r="AP302" i="2"/>
  <c r="BF302" i="2"/>
  <c r="P303" i="2"/>
  <c r="AF303" i="2"/>
  <c r="AV303" i="2"/>
  <c r="F304" i="2"/>
  <c r="V304" i="2"/>
  <c r="AE232" i="2"/>
  <c r="BD242" i="2"/>
  <c r="BC248" i="2"/>
  <c r="W253" i="2"/>
  <c r="BC256" i="2"/>
  <c r="X260" i="2"/>
  <c r="AW263" i="2"/>
  <c r="C266" i="2"/>
  <c r="F268" i="2"/>
  <c r="AB269" i="2"/>
  <c r="AW270" i="2"/>
  <c r="L272" i="2"/>
  <c r="AG273" i="2"/>
  <c r="AC274" i="2"/>
  <c r="R275" i="2"/>
  <c r="F276" i="2"/>
  <c r="AP276" i="2"/>
  <c r="AD277" i="2"/>
  <c r="F278" i="2"/>
  <c r="AV278" i="2"/>
  <c r="Y279" i="2"/>
  <c r="BG279" i="2"/>
  <c r="AI280" i="2"/>
  <c r="T281" i="2"/>
  <c r="BB281" i="2"/>
  <c r="AD282" i="2"/>
  <c r="N283" i="2"/>
  <c r="AP283" i="2"/>
  <c r="J284" i="2"/>
  <c r="AN284" i="2"/>
  <c r="L285" i="2"/>
  <c r="AP285" i="2"/>
  <c r="G286" i="2"/>
  <c r="AK286" i="2"/>
  <c r="G287" i="2"/>
  <c r="AC287" i="2"/>
  <c r="BE287" i="2"/>
  <c r="AA288" i="2"/>
  <c r="AV288" i="2"/>
  <c r="P289" i="2"/>
  <c r="AK289" i="2"/>
  <c r="D290" i="2"/>
  <c r="X290" i="2"/>
  <c r="AR290" i="2"/>
  <c r="J291" i="2"/>
  <c r="AD291" i="2"/>
  <c r="AX291" i="2"/>
  <c r="P292" i="2"/>
  <c r="AJ292" i="2"/>
  <c r="BD292" i="2"/>
  <c r="V293" i="2"/>
  <c r="AP293" i="2"/>
  <c r="D294" i="2"/>
  <c r="AB294" i="2"/>
  <c r="AV294" i="2"/>
  <c r="J295" i="2"/>
  <c r="AH295" i="2"/>
  <c r="BB295" i="2"/>
  <c r="P296" i="2"/>
  <c r="AN296" i="2"/>
  <c r="BH296" i="2"/>
  <c r="V297" i="2"/>
  <c r="AR297" i="2"/>
  <c r="D298" i="2"/>
  <c r="V298" i="2"/>
  <c r="AN298" i="2"/>
  <c r="BF298" i="2"/>
  <c r="R299" i="2"/>
  <c r="AJ299" i="2"/>
  <c r="BD299" i="2"/>
  <c r="P300" i="2"/>
  <c r="AH300" i="2"/>
  <c r="AZ300" i="2"/>
  <c r="L301" i="2"/>
  <c r="AD301" i="2"/>
  <c r="AV301" i="2"/>
  <c r="J302" i="2"/>
  <c r="AA302" i="2"/>
  <c r="AQ302" i="2"/>
  <c r="BG302" i="2"/>
  <c r="H234" i="2"/>
  <c r="H268" i="2"/>
  <c r="AQ276" i="2"/>
  <c r="BC281" i="2"/>
  <c r="L286" i="2"/>
  <c r="AL289" i="2"/>
  <c r="AK292" i="2"/>
  <c r="AI295" i="2"/>
  <c r="W298" i="2"/>
  <c r="BA300" i="2"/>
  <c r="Q303" i="2"/>
  <c r="X304" i="2"/>
  <c r="I305" i="2"/>
  <c r="AQ305" i="2"/>
  <c r="S306" i="2"/>
  <c r="BA306" i="2"/>
  <c r="AL307" i="2"/>
  <c r="N308" i="2"/>
  <c r="AV308" i="2"/>
  <c r="AG309" i="2"/>
  <c r="I310" i="2"/>
  <c r="AQ310" i="2"/>
  <c r="S311" i="2"/>
  <c r="AY311" i="2"/>
  <c r="Y312" i="2"/>
  <c r="BE312" i="2"/>
  <c r="AE313" i="2"/>
  <c r="E314" i="2"/>
  <c r="AK314" i="2"/>
  <c r="K315" i="2"/>
  <c r="AO315" i="2"/>
  <c r="M316" i="2"/>
  <c r="AQ316" i="2"/>
  <c r="O317" i="2"/>
  <c r="AL317" i="2"/>
  <c r="J318" i="2"/>
  <c r="AN318" i="2"/>
  <c r="L319" i="2"/>
  <c r="AI319" i="2"/>
  <c r="G320" i="2"/>
  <c r="AH320" i="2"/>
  <c r="BC320" i="2"/>
  <c r="W321" i="2"/>
  <c r="AR321" i="2"/>
  <c r="G322" i="2"/>
  <c r="AD322" i="2"/>
  <c r="AW322" i="2"/>
  <c r="J323" i="2"/>
  <c r="AF323" i="2"/>
  <c r="AY323" i="2"/>
  <c r="L324" i="2"/>
  <c r="AD324" i="2"/>
  <c r="AV324" i="2"/>
  <c r="I325" i="2"/>
  <c r="AB325" i="2"/>
  <c r="AT325" i="2"/>
  <c r="F326" i="2"/>
  <c r="X326" i="2"/>
  <c r="AP326" i="2"/>
  <c r="BH326" i="2"/>
  <c r="U327" i="2"/>
  <c r="AN327" i="2"/>
  <c r="BF327" i="2"/>
  <c r="R328" i="2"/>
  <c r="AJ328" i="2"/>
  <c r="BB328" i="2"/>
  <c r="N329" i="2"/>
  <c r="AG329" i="2"/>
  <c r="AZ329" i="2"/>
  <c r="L330" i="2"/>
  <c r="AD330" i="2"/>
  <c r="AV330" i="2"/>
  <c r="H331" i="2"/>
  <c r="Z331" i="2"/>
  <c r="AS331" i="2"/>
  <c r="E332" i="2"/>
  <c r="V332" i="2"/>
  <c r="AM332" i="2"/>
  <c r="BD332" i="2"/>
  <c r="O333" i="2"/>
  <c r="AF333" i="2"/>
  <c r="AW333" i="2"/>
  <c r="G334" i="2"/>
  <c r="W334" i="2"/>
  <c r="AM334" i="2"/>
  <c r="BC334" i="2"/>
  <c r="M335" i="2"/>
  <c r="AC335" i="2"/>
  <c r="AS335" i="2"/>
  <c r="C336" i="2"/>
  <c r="S336" i="2"/>
  <c r="AI336" i="2"/>
  <c r="AY336" i="2"/>
  <c r="I337" i="2"/>
  <c r="Y337" i="2"/>
  <c r="AO337" i="2"/>
  <c r="BE337" i="2"/>
  <c r="O338" i="2"/>
  <c r="AE338" i="2"/>
  <c r="AU338" i="2"/>
  <c r="E339" i="2"/>
  <c r="U339" i="2"/>
  <c r="AK339" i="2"/>
  <c r="BA339" i="2"/>
  <c r="K340" i="2"/>
  <c r="AA340" i="2"/>
  <c r="AQ340" i="2"/>
  <c r="BG340" i="2"/>
  <c r="Q341" i="2"/>
  <c r="AG341" i="2"/>
  <c r="AW341" i="2"/>
  <c r="G342" i="2"/>
  <c r="W342" i="2"/>
  <c r="AM342" i="2"/>
  <c r="BC342" i="2"/>
  <c r="M343" i="2"/>
  <c r="AC343" i="2"/>
  <c r="AS343" i="2"/>
  <c r="C344" i="2"/>
  <c r="S344" i="2"/>
  <c r="AI344" i="2"/>
  <c r="AY344" i="2"/>
  <c r="I345" i="2"/>
  <c r="Y345" i="2"/>
  <c r="AO345" i="2"/>
  <c r="BE345" i="2"/>
  <c r="O346" i="2"/>
  <c r="AE346" i="2"/>
  <c r="AU346" i="2"/>
  <c r="E347" i="2"/>
  <c r="U347" i="2"/>
  <c r="AK347" i="2"/>
  <c r="BA347" i="2"/>
  <c r="K348" i="2"/>
  <c r="AA348" i="2"/>
  <c r="AQ348" i="2"/>
  <c r="BG348" i="2"/>
  <c r="Q349" i="2"/>
  <c r="AG349" i="2"/>
  <c r="AW349" i="2"/>
  <c r="G350" i="2"/>
  <c r="W350" i="2"/>
  <c r="AM350" i="2"/>
  <c r="BC350" i="2"/>
  <c r="M351" i="2"/>
  <c r="AC351" i="2"/>
  <c r="AS351" i="2"/>
  <c r="C352" i="2"/>
  <c r="S352" i="2"/>
  <c r="AI352" i="2"/>
  <c r="AY352" i="2"/>
  <c r="I353" i="2"/>
  <c r="Y353" i="2"/>
  <c r="AO353" i="2"/>
  <c r="BE353" i="2"/>
  <c r="O354" i="2"/>
  <c r="AE354" i="2"/>
  <c r="AU354" i="2"/>
  <c r="E355" i="2"/>
  <c r="U355" i="2"/>
  <c r="AK355" i="2"/>
  <c r="BA355" i="2"/>
  <c r="K356" i="2"/>
  <c r="AA356" i="2"/>
  <c r="AQ356" i="2"/>
  <c r="BG356" i="2"/>
  <c r="Q357" i="2"/>
  <c r="AG357" i="2"/>
  <c r="AW357" i="2"/>
  <c r="G358" i="2"/>
  <c r="W358" i="2"/>
  <c r="AM358" i="2"/>
  <c r="BC358" i="2"/>
  <c r="M359" i="2"/>
  <c r="AC359" i="2"/>
  <c r="AS359" i="2"/>
  <c r="C360" i="2"/>
  <c r="S360" i="2"/>
  <c r="AI360" i="2"/>
  <c r="AY360" i="2"/>
  <c r="I361" i="2"/>
  <c r="Y361" i="2"/>
  <c r="AO361" i="2"/>
  <c r="I234" i="2"/>
  <c r="K268" i="2"/>
  <c r="BB276" i="2"/>
  <c r="BD281" i="2"/>
  <c r="P286" i="2"/>
  <c r="AM289" i="2"/>
  <c r="AL292" i="2"/>
  <c r="AJ295" i="2"/>
  <c r="X298" i="2"/>
  <c r="BB300" i="2"/>
  <c r="R303" i="2"/>
  <c r="Y304" i="2"/>
  <c r="J305" i="2"/>
  <c r="AR305" i="2"/>
  <c r="T306" i="2"/>
  <c r="E307" i="2"/>
  <c r="AM307" i="2"/>
  <c r="O308" i="2"/>
  <c r="AW308" i="2"/>
  <c r="AH309" i="2"/>
  <c r="J310" i="2"/>
  <c r="AR310" i="2"/>
  <c r="AB311" i="2"/>
  <c r="BH311" i="2"/>
  <c r="AH312" i="2"/>
  <c r="H313" i="2"/>
  <c r="AN313" i="2"/>
  <c r="N314" i="2"/>
  <c r="AT314" i="2"/>
  <c r="S315" i="2"/>
  <c r="AP315" i="2"/>
  <c r="N316" i="2"/>
  <c r="AR316" i="2"/>
  <c r="P317" i="2"/>
  <c r="AM317" i="2"/>
  <c r="K318" i="2"/>
  <c r="AO318" i="2"/>
  <c r="M319" i="2"/>
  <c r="AQ319" i="2"/>
  <c r="H320" i="2"/>
  <c r="AI320" i="2"/>
  <c r="BD320" i="2"/>
  <c r="X321" i="2"/>
  <c r="AS321" i="2"/>
  <c r="K322" i="2"/>
  <c r="AE322" i="2"/>
  <c r="AX322" i="2"/>
  <c r="K323" i="2"/>
  <c r="AG323" i="2"/>
  <c r="AZ323" i="2"/>
  <c r="M324" i="2"/>
  <c r="AE324" i="2"/>
  <c r="AW324" i="2"/>
  <c r="K325" i="2"/>
  <c r="AC325" i="2"/>
  <c r="AU325" i="2"/>
  <c r="G326" i="2"/>
  <c r="Y326" i="2"/>
  <c r="AQ326" i="2"/>
  <c r="C327" i="2"/>
  <c r="W327" i="2"/>
  <c r="AO327" i="2"/>
  <c r="BG327" i="2"/>
  <c r="S328" i="2"/>
  <c r="AK328" i="2"/>
  <c r="BC328" i="2"/>
  <c r="O329" i="2"/>
  <c r="AI329" i="2"/>
  <c r="BA329" i="2"/>
  <c r="M330" i="2"/>
  <c r="AE330" i="2"/>
  <c r="AW330" i="2"/>
  <c r="I331" i="2"/>
  <c r="AA331" i="2"/>
  <c r="AU331" i="2"/>
  <c r="F332" i="2"/>
  <c r="W332" i="2"/>
  <c r="AN332" i="2"/>
  <c r="BE332" i="2"/>
  <c r="P333" i="2"/>
  <c r="AG333" i="2"/>
  <c r="AX333" i="2"/>
  <c r="H334" i="2"/>
  <c r="X334" i="2"/>
  <c r="AN334" i="2"/>
  <c r="BD334" i="2"/>
  <c r="N335" i="2"/>
  <c r="AD335" i="2"/>
  <c r="AT335" i="2"/>
  <c r="D336" i="2"/>
  <c r="T336" i="2"/>
  <c r="AJ336" i="2"/>
  <c r="AZ336" i="2"/>
  <c r="J337" i="2"/>
  <c r="Z337" i="2"/>
  <c r="AP337" i="2"/>
  <c r="BF337" i="2"/>
  <c r="P338" i="2"/>
  <c r="AF338" i="2"/>
  <c r="AV338" i="2"/>
  <c r="F339" i="2"/>
  <c r="V339" i="2"/>
  <c r="AL339" i="2"/>
  <c r="BB339" i="2"/>
  <c r="L340" i="2"/>
  <c r="AB340" i="2"/>
  <c r="AR340" i="2"/>
  <c r="BH340" i="2"/>
  <c r="R341" i="2"/>
  <c r="AH341" i="2"/>
  <c r="AX341" i="2"/>
  <c r="H342" i="2"/>
  <c r="X342" i="2"/>
  <c r="AN342" i="2"/>
  <c r="BD342" i="2"/>
  <c r="N343" i="2"/>
  <c r="AD343" i="2"/>
  <c r="AT343" i="2"/>
  <c r="D344" i="2"/>
  <c r="T344" i="2"/>
  <c r="AJ344" i="2"/>
  <c r="AZ344" i="2"/>
  <c r="J345" i="2"/>
  <c r="Z345" i="2"/>
  <c r="AP345" i="2"/>
  <c r="BF345" i="2"/>
  <c r="P346" i="2"/>
  <c r="AF346" i="2"/>
  <c r="AV346" i="2"/>
  <c r="F347" i="2"/>
  <c r="V347" i="2"/>
  <c r="AL347" i="2"/>
  <c r="BB347" i="2"/>
  <c r="L348" i="2"/>
  <c r="AB348" i="2"/>
  <c r="AR348" i="2"/>
  <c r="BH348" i="2"/>
  <c r="R349" i="2"/>
  <c r="AH349" i="2"/>
  <c r="AX349" i="2"/>
  <c r="H350" i="2"/>
  <c r="X350" i="2"/>
  <c r="AN350" i="2"/>
  <c r="BD350" i="2"/>
  <c r="N351" i="2"/>
  <c r="AD351" i="2"/>
  <c r="AT351" i="2"/>
  <c r="D352" i="2"/>
  <c r="T352" i="2"/>
  <c r="AJ352" i="2"/>
  <c r="AZ352" i="2"/>
  <c r="J353" i="2"/>
  <c r="Z353" i="2"/>
  <c r="AP353" i="2"/>
  <c r="BF353" i="2"/>
  <c r="P354" i="2"/>
  <c r="AF354" i="2"/>
  <c r="AV354" i="2"/>
  <c r="AW243" i="2"/>
  <c r="AD269" i="2"/>
  <c r="AE277" i="2"/>
  <c r="AE282" i="2"/>
  <c r="AL286" i="2"/>
  <c r="E290" i="2"/>
  <c r="BE292" i="2"/>
  <c r="BC295" i="2"/>
  <c r="AO298" i="2"/>
  <c r="M301" i="2"/>
  <c r="S303" i="2"/>
  <c r="AI304" i="2"/>
  <c r="K305" i="2"/>
  <c r="AS305" i="2"/>
  <c r="U306" i="2"/>
  <c r="F307" i="2"/>
  <c r="AN307" i="2"/>
  <c r="P308" i="2"/>
  <c r="BG308" i="2"/>
  <c r="AI309" i="2"/>
  <c r="K310" i="2"/>
  <c r="AS310" i="2"/>
  <c r="AC311" i="2"/>
  <c r="C312" i="2"/>
  <c r="AI312" i="2"/>
  <c r="I313" i="2"/>
  <c r="AO313" i="2"/>
  <c r="O314" i="2"/>
  <c r="AU314" i="2"/>
  <c r="T315" i="2"/>
  <c r="AQ315" i="2"/>
  <c r="O316" i="2"/>
  <c r="AS316" i="2"/>
  <c r="Q317" i="2"/>
  <c r="AU317" i="2"/>
  <c r="L318" i="2"/>
  <c r="AP318" i="2"/>
  <c r="N319" i="2"/>
  <c r="AR319" i="2"/>
  <c r="I320" i="2"/>
  <c r="AJ320" i="2"/>
  <c r="BE320" i="2"/>
  <c r="Y321" i="2"/>
  <c r="AT321" i="2"/>
  <c r="L322" i="2"/>
  <c r="AF322" i="2"/>
  <c r="AY322" i="2"/>
  <c r="M323" i="2"/>
  <c r="AH323" i="2"/>
  <c r="BA323" i="2"/>
  <c r="N324" i="2"/>
  <c r="AF324" i="2"/>
  <c r="AY324" i="2"/>
  <c r="L325" i="2"/>
  <c r="AD325" i="2"/>
  <c r="AV325" i="2"/>
  <c r="H326" i="2"/>
  <c r="Z326" i="2"/>
  <c r="AR326" i="2"/>
  <c r="E327" i="2"/>
  <c r="X327" i="2"/>
  <c r="AP327" i="2"/>
  <c r="BH327" i="2"/>
  <c r="T328" i="2"/>
  <c r="AL328" i="2"/>
  <c r="BD328" i="2"/>
  <c r="Q329" i="2"/>
  <c r="AJ329" i="2"/>
  <c r="BB329" i="2"/>
  <c r="N330" i="2"/>
  <c r="AF330" i="2"/>
  <c r="AX330" i="2"/>
  <c r="J331" i="2"/>
  <c r="AC331" i="2"/>
  <c r="AV331" i="2"/>
  <c r="G332" i="2"/>
  <c r="X332" i="2"/>
  <c r="AO332" i="2"/>
  <c r="BF332" i="2"/>
  <c r="Q333" i="2"/>
  <c r="AH333" i="2"/>
  <c r="AY333" i="2"/>
  <c r="I334" i="2"/>
  <c r="Y334" i="2"/>
  <c r="AO334" i="2"/>
  <c r="BE334" i="2"/>
  <c r="O335" i="2"/>
  <c r="AE335" i="2"/>
  <c r="AU335" i="2"/>
  <c r="E336" i="2"/>
  <c r="U336" i="2"/>
  <c r="AK336" i="2"/>
  <c r="BA336" i="2"/>
  <c r="K337" i="2"/>
  <c r="AA337" i="2"/>
  <c r="AQ337" i="2"/>
  <c r="BG337" i="2"/>
  <c r="Q338" i="2"/>
  <c r="AG338" i="2"/>
  <c r="AW338" i="2"/>
  <c r="G339" i="2"/>
  <c r="W339" i="2"/>
  <c r="AM339" i="2"/>
  <c r="BC339" i="2"/>
  <c r="M340" i="2"/>
  <c r="AC340" i="2"/>
  <c r="AS340" i="2"/>
  <c r="C341" i="2"/>
  <c r="S341" i="2"/>
  <c r="AI341" i="2"/>
  <c r="AY341" i="2"/>
  <c r="I342" i="2"/>
  <c r="Y342" i="2"/>
  <c r="AO342" i="2"/>
  <c r="BE342" i="2"/>
  <c r="O343" i="2"/>
  <c r="AE343" i="2"/>
  <c r="AU343" i="2"/>
  <c r="E344" i="2"/>
  <c r="U344" i="2"/>
  <c r="AK344" i="2"/>
  <c r="BA344" i="2"/>
  <c r="K345" i="2"/>
  <c r="AA345" i="2"/>
  <c r="AQ345" i="2"/>
  <c r="BG345" i="2"/>
  <c r="Q346" i="2"/>
  <c r="AG346" i="2"/>
  <c r="AW346" i="2"/>
  <c r="G347" i="2"/>
  <c r="W347" i="2"/>
  <c r="AM347" i="2"/>
  <c r="BC347" i="2"/>
  <c r="M348" i="2"/>
  <c r="AC348" i="2"/>
  <c r="AS348" i="2"/>
  <c r="C349" i="2"/>
  <c r="S349" i="2"/>
  <c r="AI349" i="2"/>
  <c r="AY349" i="2"/>
  <c r="I350" i="2"/>
  <c r="Y350" i="2"/>
  <c r="AO350" i="2"/>
  <c r="BE350" i="2"/>
  <c r="O351" i="2"/>
  <c r="AE351" i="2"/>
  <c r="AU351" i="2"/>
  <c r="E352" i="2"/>
  <c r="U352" i="2"/>
  <c r="AK352" i="2"/>
  <c r="BA352" i="2"/>
  <c r="K353" i="2"/>
  <c r="AA353" i="2"/>
  <c r="AQ353" i="2"/>
  <c r="BG353" i="2"/>
  <c r="Q354" i="2"/>
  <c r="AX243" i="2"/>
  <c r="AR269" i="2"/>
  <c r="AF277" i="2"/>
  <c r="AN282" i="2"/>
  <c r="AM286" i="2"/>
  <c r="F290" i="2"/>
  <c r="BF292" i="2"/>
  <c r="BD295" i="2"/>
  <c r="AP298" i="2"/>
  <c r="N301" i="2"/>
  <c r="AG303" i="2"/>
  <c r="AJ304" i="2"/>
  <c r="L305" i="2"/>
  <c r="AT305" i="2"/>
  <c r="AE306" i="2"/>
  <c r="G307" i="2"/>
  <c r="AO307" i="2"/>
  <c r="Q308" i="2"/>
  <c r="BH308" i="2"/>
  <c r="AJ309" i="2"/>
  <c r="L310" i="2"/>
  <c r="BC310" i="2"/>
  <c r="AD311" i="2"/>
  <c r="D312" i="2"/>
  <c r="AJ312" i="2"/>
  <c r="J313" i="2"/>
  <c r="AP313" i="2"/>
  <c r="P314" i="2"/>
  <c r="AV314" i="2"/>
  <c r="U315" i="2"/>
  <c r="AY315" i="2"/>
  <c r="P316" i="2"/>
  <c r="AT316" i="2"/>
  <c r="R317" i="2"/>
  <c r="AV317" i="2"/>
  <c r="M318" i="2"/>
  <c r="AQ318" i="2"/>
  <c r="O319" i="2"/>
  <c r="AS319" i="2"/>
  <c r="P320" i="2"/>
  <c r="AK320" i="2"/>
  <c r="BG320" i="2"/>
  <c r="Z321" i="2"/>
  <c r="AU321" i="2"/>
  <c r="M322" i="2"/>
  <c r="AG322" i="2"/>
  <c r="AZ322" i="2"/>
  <c r="P323" i="2"/>
  <c r="AI323" i="2"/>
  <c r="BB323" i="2"/>
  <c r="O324" i="2"/>
  <c r="AG324" i="2"/>
  <c r="BA324" i="2"/>
  <c r="M325" i="2"/>
  <c r="AE325" i="2"/>
  <c r="AW325" i="2"/>
  <c r="I326" i="2"/>
  <c r="AA326" i="2"/>
  <c r="AS326" i="2"/>
  <c r="G327" i="2"/>
  <c r="Y327" i="2"/>
  <c r="AQ327" i="2"/>
  <c r="C328" i="2"/>
  <c r="U328" i="2"/>
  <c r="AM328" i="2"/>
  <c r="BE328" i="2"/>
  <c r="S329" i="2"/>
  <c r="AK329" i="2"/>
  <c r="BC329" i="2"/>
  <c r="O330" i="2"/>
  <c r="AG330" i="2"/>
  <c r="AY330" i="2"/>
  <c r="K331" i="2"/>
  <c r="AE331" i="2"/>
  <c r="AW331" i="2"/>
  <c r="H332" i="2"/>
  <c r="Y332" i="2"/>
  <c r="AP332" i="2"/>
  <c r="BG332" i="2"/>
  <c r="R333" i="2"/>
  <c r="AI333" i="2"/>
  <c r="AZ333" i="2"/>
  <c r="J334" i="2"/>
  <c r="Z334" i="2"/>
  <c r="AP334" i="2"/>
  <c r="BF334" i="2"/>
  <c r="P335" i="2"/>
  <c r="AF335" i="2"/>
  <c r="AV335" i="2"/>
  <c r="F336" i="2"/>
  <c r="V336" i="2"/>
  <c r="AL336" i="2"/>
  <c r="BB336" i="2"/>
  <c r="L337" i="2"/>
  <c r="AB337" i="2"/>
  <c r="AR337" i="2"/>
  <c r="BH337" i="2"/>
  <c r="R338" i="2"/>
  <c r="AH338" i="2"/>
  <c r="AX338" i="2"/>
  <c r="H339" i="2"/>
  <c r="X339" i="2"/>
  <c r="AN339" i="2"/>
  <c r="BD339" i="2"/>
  <c r="N340" i="2"/>
  <c r="AD340" i="2"/>
  <c r="AT340" i="2"/>
  <c r="D341" i="2"/>
  <c r="T341" i="2"/>
  <c r="AJ341" i="2"/>
  <c r="AZ341" i="2"/>
  <c r="J342" i="2"/>
  <c r="Z342" i="2"/>
  <c r="AP342" i="2"/>
  <c r="BF342" i="2"/>
  <c r="P343" i="2"/>
  <c r="AF343" i="2"/>
  <c r="AV343" i="2"/>
  <c r="F344" i="2"/>
  <c r="V344" i="2"/>
  <c r="AL344" i="2"/>
  <c r="BB344" i="2"/>
  <c r="L345" i="2"/>
  <c r="AB345" i="2"/>
  <c r="AR345" i="2"/>
  <c r="BH345" i="2"/>
  <c r="R346" i="2"/>
  <c r="AH346" i="2"/>
  <c r="AX346" i="2"/>
  <c r="H347" i="2"/>
  <c r="X347" i="2"/>
  <c r="AN347" i="2"/>
  <c r="BD347" i="2"/>
  <c r="N348" i="2"/>
  <c r="AD348" i="2"/>
  <c r="AT348" i="2"/>
  <c r="D349" i="2"/>
  <c r="T349" i="2"/>
  <c r="AJ349" i="2"/>
  <c r="AZ349" i="2"/>
  <c r="J350" i="2"/>
  <c r="Z350" i="2"/>
  <c r="AP350" i="2"/>
  <c r="AE249" i="2"/>
  <c r="AX270" i="2"/>
  <c r="G278" i="2"/>
  <c r="P283" i="2"/>
  <c r="H287" i="2"/>
  <c r="Y290" i="2"/>
  <c r="W293" i="2"/>
  <c r="Q296" i="2"/>
  <c r="BG298" i="2"/>
  <c r="AE301" i="2"/>
  <c r="AH303" i="2"/>
  <c r="AK304" i="2"/>
  <c r="M305" i="2"/>
  <c r="AU305" i="2"/>
  <c r="AF306" i="2"/>
  <c r="H307" i="2"/>
  <c r="AP307" i="2"/>
  <c r="AA308" i="2"/>
  <c r="C309" i="2"/>
  <c r="AK309" i="2"/>
  <c r="M310" i="2"/>
  <c r="BD310" i="2"/>
  <c r="AE311" i="2"/>
  <c r="E312" i="2"/>
  <c r="AK312" i="2"/>
  <c r="K313" i="2"/>
  <c r="AQ313" i="2"/>
  <c r="Q314" i="2"/>
  <c r="AW314" i="2"/>
  <c r="V315" i="2"/>
  <c r="AZ315" i="2"/>
  <c r="Q316" i="2"/>
  <c r="AU316" i="2"/>
  <c r="S317" i="2"/>
  <c r="AW317" i="2"/>
  <c r="U318" i="2"/>
  <c r="AR318" i="2"/>
  <c r="P319" i="2"/>
  <c r="AT319" i="2"/>
  <c r="Q320" i="2"/>
  <c r="AL320" i="2"/>
  <c r="F321" i="2"/>
  <c r="AA321" i="2"/>
  <c r="AW321" i="2"/>
  <c r="N322" i="2"/>
  <c r="AH322" i="2"/>
  <c r="BA322" i="2"/>
  <c r="Q323" i="2"/>
  <c r="AJ323" i="2"/>
  <c r="BC323" i="2"/>
  <c r="P324" i="2"/>
  <c r="AI324" i="2"/>
  <c r="BB324" i="2"/>
  <c r="N325" i="2"/>
  <c r="AF325" i="2"/>
  <c r="AX325" i="2"/>
  <c r="J326" i="2"/>
  <c r="AB326" i="2"/>
  <c r="AU326" i="2"/>
  <c r="H327" i="2"/>
  <c r="Z327" i="2"/>
  <c r="AR327" i="2"/>
  <c r="D328" i="2"/>
  <c r="V328" i="2"/>
  <c r="AN328" i="2"/>
  <c r="BG328" i="2"/>
  <c r="T329" i="2"/>
  <c r="AL329" i="2"/>
  <c r="BD329" i="2"/>
  <c r="P330" i="2"/>
  <c r="AH330" i="2"/>
  <c r="AZ330" i="2"/>
  <c r="M331" i="2"/>
  <c r="AF331" i="2"/>
  <c r="AX331" i="2"/>
  <c r="I332" i="2"/>
  <c r="Z332" i="2"/>
  <c r="AQ332" i="2"/>
  <c r="BH332" i="2"/>
  <c r="S333" i="2"/>
  <c r="AJ333" i="2"/>
  <c r="BA333" i="2"/>
  <c r="K334" i="2"/>
  <c r="AA334" i="2"/>
  <c r="AQ334" i="2"/>
  <c r="BG334" i="2"/>
  <c r="Q335" i="2"/>
  <c r="AG335" i="2"/>
  <c r="AW335" i="2"/>
  <c r="G336" i="2"/>
  <c r="W336" i="2"/>
  <c r="AM336" i="2"/>
  <c r="BC336" i="2"/>
  <c r="M337" i="2"/>
  <c r="AC337" i="2"/>
  <c r="AS337" i="2"/>
  <c r="C338" i="2"/>
  <c r="S338" i="2"/>
  <c r="AI338" i="2"/>
  <c r="AY338" i="2"/>
  <c r="I339" i="2"/>
  <c r="Y339" i="2"/>
  <c r="AO339" i="2"/>
  <c r="BE339" i="2"/>
  <c r="O340" i="2"/>
  <c r="AE340" i="2"/>
  <c r="AU340" i="2"/>
  <c r="E341" i="2"/>
  <c r="U341" i="2"/>
  <c r="AK341" i="2"/>
  <c r="BA341" i="2"/>
  <c r="K342" i="2"/>
  <c r="AA342" i="2"/>
  <c r="AQ342" i="2"/>
  <c r="BG342" i="2"/>
  <c r="Q343" i="2"/>
  <c r="AG343" i="2"/>
  <c r="AW343" i="2"/>
  <c r="G344" i="2"/>
  <c r="W344" i="2"/>
  <c r="AM344" i="2"/>
  <c r="BC344" i="2"/>
  <c r="M345" i="2"/>
  <c r="AC345" i="2"/>
  <c r="AS345" i="2"/>
  <c r="C346" i="2"/>
  <c r="S346" i="2"/>
  <c r="AI346" i="2"/>
  <c r="AY346" i="2"/>
  <c r="AH249" i="2"/>
  <c r="G271" i="2"/>
  <c r="P278" i="2"/>
  <c r="Q283" i="2"/>
  <c r="I287" i="2"/>
  <c r="Z290" i="2"/>
  <c r="X293" i="2"/>
  <c r="R296" i="2"/>
  <c r="BH298" i="2"/>
  <c r="AF301" i="2"/>
  <c r="AI303" i="2"/>
  <c r="AL304" i="2"/>
  <c r="N305" i="2"/>
  <c r="BE305" i="2"/>
  <c r="AG306" i="2"/>
  <c r="I307" i="2"/>
  <c r="AQ307" i="2"/>
  <c r="AB308" i="2"/>
  <c r="D309" i="2"/>
  <c r="AL309" i="2"/>
  <c r="W310" i="2"/>
  <c r="BE310" i="2"/>
  <c r="AF311" i="2"/>
  <c r="F312" i="2"/>
  <c r="AL312" i="2"/>
  <c r="L313" i="2"/>
  <c r="AR313" i="2"/>
  <c r="R314" i="2"/>
  <c r="AX314" i="2"/>
  <c r="W315" i="2"/>
  <c r="BA315" i="2"/>
  <c r="Y316" i="2"/>
  <c r="AV316" i="2"/>
  <c r="T317" i="2"/>
  <c r="AX317" i="2"/>
  <c r="V318" i="2"/>
  <c r="AS318" i="2"/>
  <c r="Q319" i="2"/>
  <c r="AU319" i="2"/>
  <c r="R320" i="2"/>
  <c r="AM320" i="2"/>
  <c r="G321" i="2"/>
  <c r="AB321" i="2"/>
  <c r="BA321" i="2"/>
  <c r="O322" i="2"/>
  <c r="AI322" i="2"/>
  <c r="BC322" i="2"/>
  <c r="R323" i="2"/>
  <c r="AK323" i="2"/>
  <c r="BD323" i="2"/>
  <c r="Q324" i="2"/>
  <c r="AK324" i="2"/>
  <c r="BC324" i="2"/>
  <c r="O325" i="2"/>
  <c r="AG325" i="2"/>
  <c r="AY325" i="2"/>
  <c r="K326" i="2"/>
  <c r="AC326" i="2"/>
  <c r="AW326" i="2"/>
  <c r="I327" i="2"/>
  <c r="AA327" i="2"/>
  <c r="AS327" i="2"/>
  <c r="E328" i="2"/>
  <c r="W328" i="2"/>
  <c r="AO328" i="2"/>
  <c r="C329" i="2"/>
  <c r="U329" i="2"/>
  <c r="AM329" i="2"/>
  <c r="BE329" i="2"/>
  <c r="Q330" i="2"/>
  <c r="AI330" i="2"/>
  <c r="BA330" i="2"/>
  <c r="O331" i="2"/>
  <c r="AG331" i="2"/>
  <c r="AY331" i="2"/>
  <c r="J332" i="2"/>
  <c r="AA332" i="2"/>
  <c r="AR332" i="2"/>
  <c r="C333" i="2"/>
  <c r="T333" i="2"/>
  <c r="AK333" i="2"/>
  <c r="BB333" i="2"/>
  <c r="L334" i="2"/>
  <c r="AB334" i="2"/>
  <c r="AR334" i="2"/>
  <c r="BH334" i="2"/>
  <c r="R335" i="2"/>
  <c r="AH335" i="2"/>
  <c r="AX335" i="2"/>
  <c r="H336" i="2"/>
  <c r="X336" i="2"/>
  <c r="AN336" i="2"/>
  <c r="BD336" i="2"/>
  <c r="N337" i="2"/>
  <c r="AD337" i="2"/>
  <c r="AT337" i="2"/>
  <c r="D338" i="2"/>
  <c r="T338" i="2"/>
  <c r="AJ338" i="2"/>
  <c r="AZ338" i="2"/>
  <c r="J339" i="2"/>
  <c r="Z339" i="2"/>
  <c r="AP339" i="2"/>
  <c r="BF339" i="2"/>
  <c r="P340" i="2"/>
  <c r="AF340" i="2"/>
  <c r="AV340" i="2"/>
  <c r="F341" i="2"/>
  <c r="V341" i="2"/>
  <c r="AL341" i="2"/>
  <c r="BB341" i="2"/>
  <c r="L342" i="2"/>
  <c r="AR253" i="2"/>
  <c r="M272" i="2"/>
  <c r="AX278" i="2"/>
  <c r="AT283" i="2"/>
  <c r="AH287" i="2"/>
  <c r="AS290" i="2"/>
  <c r="AQ293" i="2"/>
  <c r="AO296" i="2"/>
  <c r="S299" i="2"/>
  <c r="AW301" i="2"/>
  <c r="AW303" i="2"/>
  <c r="AM304" i="2"/>
  <c r="O305" i="2"/>
  <c r="BF305" i="2"/>
  <c r="AH306" i="2"/>
  <c r="J307" i="2"/>
  <c r="BA307" i="2"/>
  <c r="AC308" i="2"/>
  <c r="E309" i="2"/>
  <c r="AM309" i="2"/>
  <c r="X310" i="2"/>
  <c r="BF310" i="2"/>
  <c r="AG311" i="2"/>
  <c r="G312" i="2"/>
  <c r="AM312" i="2"/>
  <c r="M313" i="2"/>
  <c r="AS313" i="2"/>
  <c r="S314" i="2"/>
  <c r="AY314" i="2"/>
  <c r="X315" i="2"/>
  <c r="BB315" i="2"/>
  <c r="Z316" i="2"/>
  <c r="AW316" i="2"/>
  <c r="U317" i="2"/>
  <c r="AY317" i="2"/>
  <c r="W318" i="2"/>
  <c r="BA318" i="2"/>
  <c r="R319" i="2"/>
  <c r="AV319" i="2"/>
  <c r="S320" i="2"/>
  <c r="AN320" i="2"/>
  <c r="H321" i="2"/>
  <c r="AC321" i="2"/>
  <c r="BB321" i="2"/>
  <c r="P322" i="2"/>
  <c r="AJ322" i="2"/>
  <c r="BF322" i="2"/>
  <c r="S323" i="2"/>
  <c r="AL323" i="2"/>
  <c r="BE323" i="2"/>
  <c r="S324" i="2"/>
  <c r="AL324" i="2"/>
  <c r="BD324" i="2"/>
  <c r="P325" i="2"/>
  <c r="AH325" i="2"/>
  <c r="AZ325" i="2"/>
  <c r="L326" i="2"/>
  <c r="AE326" i="2"/>
  <c r="AX326" i="2"/>
  <c r="J327" i="2"/>
  <c r="AB327" i="2"/>
  <c r="AT327" i="2"/>
  <c r="F328" i="2"/>
  <c r="X328" i="2"/>
  <c r="AQ328" i="2"/>
  <c r="D329" i="2"/>
  <c r="V329" i="2"/>
  <c r="AN329" i="2"/>
  <c r="BF329" i="2"/>
  <c r="R330" i="2"/>
  <c r="AJ330" i="2"/>
  <c r="BC330" i="2"/>
  <c r="P331" i="2"/>
  <c r="AH331" i="2"/>
  <c r="AZ331" i="2"/>
  <c r="K332" i="2"/>
  <c r="AB332" i="2"/>
  <c r="AS332" i="2"/>
  <c r="D333" i="2"/>
  <c r="U333" i="2"/>
  <c r="AL333" i="2"/>
  <c r="BC333" i="2"/>
  <c r="M334" i="2"/>
  <c r="AC334" i="2"/>
  <c r="AS334" i="2"/>
  <c r="C335" i="2"/>
  <c r="S335" i="2"/>
  <c r="AI335" i="2"/>
  <c r="AY335" i="2"/>
  <c r="I336" i="2"/>
  <c r="Y336" i="2"/>
  <c r="AO336" i="2"/>
  <c r="BE336" i="2"/>
  <c r="O337" i="2"/>
  <c r="AE337" i="2"/>
  <c r="AU337" i="2"/>
  <c r="E338" i="2"/>
  <c r="U338" i="2"/>
  <c r="AK338" i="2"/>
  <c r="AT253" i="2"/>
  <c r="AB272" i="2"/>
  <c r="AY278" i="2"/>
  <c r="AU283" i="2"/>
  <c r="AK287" i="2"/>
  <c r="AT290" i="2"/>
  <c r="AR293" i="2"/>
  <c r="AP296" i="2"/>
  <c r="T299" i="2"/>
  <c r="AZ301" i="2"/>
  <c r="AX303" i="2"/>
  <c r="AN304" i="2"/>
  <c r="Y305" i="2"/>
  <c r="BG305" i="2"/>
  <c r="AI306" i="2"/>
  <c r="K307" i="2"/>
  <c r="BB307" i="2"/>
  <c r="AD308" i="2"/>
  <c r="F309" i="2"/>
  <c r="AW309" i="2"/>
  <c r="Y310" i="2"/>
  <c r="BG310" i="2"/>
  <c r="AH311" i="2"/>
  <c r="H312" i="2"/>
  <c r="AN312" i="2"/>
  <c r="N313" i="2"/>
  <c r="AT313" i="2"/>
  <c r="T314" i="2"/>
  <c r="AZ314" i="2"/>
  <c r="Y315" i="2"/>
  <c r="BC315" i="2"/>
  <c r="AA316" i="2"/>
  <c r="BE316" i="2"/>
  <c r="V317" i="2"/>
  <c r="AZ317" i="2"/>
  <c r="X318" i="2"/>
  <c r="BB318" i="2"/>
  <c r="S319" i="2"/>
  <c r="AW319" i="2"/>
  <c r="T320" i="2"/>
  <c r="AO320" i="2"/>
  <c r="I321" i="2"/>
  <c r="AD321" i="2"/>
  <c r="BC321" i="2"/>
  <c r="Q322" i="2"/>
  <c r="AK322" i="2"/>
  <c r="BG322" i="2"/>
  <c r="T323" i="2"/>
  <c r="AM323" i="2"/>
  <c r="BF323" i="2"/>
  <c r="U324" i="2"/>
  <c r="AM324" i="2"/>
  <c r="BE324" i="2"/>
  <c r="Q325" i="2"/>
  <c r="AI325" i="2"/>
  <c r="BA325" i="2"/>
  <c r="M326" i="2"/>
  <c r="AG326" i="2"/>
  <c r="AY326" i="2"/>
  <c r="K327" i="2"/>
  <c r="AC327" i="2"/>
  <c r="AU327" i="2"/>
  <c r="G328" i="2"/>
  <c r="Y328" i="2"/>
  <c r="AS328" i="2"/>
  <c r="E329" i="2"/>
  <c r="W329" i="2"/>
  <c r="AO329" i="2"/>
  <c r="BG329" i="2"/>
  <c r="S330" i="2"/>
  <c r="AK330" i="2"/>
  <c r="BE330" i="2"/>
  <c r="Q331" i="2"/>
  <c r="AI331" i="2"/>
  <c r="BA331" i="2"/>
  <c r="L332" i="2"/>
  <c r="AC332" i="2"/>
  <c r="AT332" i="2"/>
  <c r="E333" i="2"/>
  <c r="V333" i="2"/>
  <c r="AM333" i="2"/>
  <c r="BD333" i="2"/>
  <c r="N334" i="2"/>
  <c r="AD334" i="2"/>
  <c r="AT334" i="2"/>
  <c r="D335" i="2"/>
  <c r="T335" i="2"/>
  <c r="AJ335" i="2"/>
  <c r="AZ335" i="2"/>
  <c r="J336" i="2"/>
  <c r="Z336" i="2"/>
  <c r="AP336" i="2"/>
  <c r="BF336" i="2"/>
  <c r="P337" i="2"/>
  <c r="AF337" i="2"/>
  <c r="AV337" i="2"/>
  <c r="F338" i="2"/>
  <c r="V338" i="2"/>
  <c r="AL338" i="2"/>
  <c r="BB338" i="2"/>
  <c r="L339" i="2"/>
  <c r="AB339" i="2"/>
  <c r="AR339" i="2"/>
  <c r="BH339" i="2"/>
  <c r="R257" i="2"/>
  <c r="AH273" i="2"/>
  <c r="Z279" i="2"/>
  <c r="K284" i="2"/>
  <c r="BF287" i="2"/>
  <c r="K291" i="2"/>
  <c r="E294" i="2"/>
  <c r="C297" i="2"/>
  <c r="AK299" i="2"/>
  <c r="K302" i="2"/>
  <c r="AY303" i="2"/>
  <c r="AO304" i="2"/>
  <c r="Z305" i="2"/>
  <c r="BH305" i="2"/>
  <c r="AJ306" i="2"/>
  <c r="U307" i="2"/>
  <c r="BC307" i="2"/>
  <c r="AE308" i="2"/>
  <c r="G309" i="2"/>
  <c r="AX309" i="2"/>
  <c r="Z310" i="2"/>
  <c r="BH310" i="2"/>
  <c r="AI311" i="2"/>
  <c r="I312" i="2"/>
  <c r="AO312" i="2"/>
  <c r="O313" i="2"/>
  <c r="AU313" i="2"/>
  <c r="U314" i="2"/>
  <c r="BA314" i="2"/>
  <c r="Z315" i="2"/>
  <c r="BD315" i="2"/>
  <c r="AB316" i="2"/>
  <c r="BF316" i="2"/>
  <c r="W317" i="2"/>
  <c r="BA317" i="2"/>
  <c r="Y318" i="2"/>
  <c r="BC318" i="2"/>
  <c r="AA319" i="2"/>
  <c r="AX319" i="2"/>
  <c r="U320" i="2"/>
  <c r="AQ320" i="2"/>
  <c r="J321" i="2"/>
  <c r="AE321" i="2"/>
  <c r="BD321" i="2"/>
  <c r="R322" i="2"/>
  <c r="AM322" i="2"/>
  <c r="BH322" i="2"/>
  <c r="U323" i="2"/>
  <c r="AN323" i="2"/>
  <c r="BG323" i="2"/>
  <c r="V324" i="2"/>
  <c r="AN324" i="2"/>
  <c r="BF324" i="2"/>
  <c r="R325" i="2"/>
  <c r="AJ325" i="2"/>
  <c r="BB325" i="2"/>
  <c r="O326" i="2"/>
  <c r="AH326" i="2"/>
  <c r="AZ326" i="2"/>
  <c r="L327" i="2"/>
  <c r="AD327" i="2"/>
  <c r="AV327" i="2"/>
  <c r="H328" i="2"/>
  <c r="AA328" i="2"/>
  <c r="AT328" i="2"/>
  <c r="F329" i="2"/>
  <c r="X329" i="2"/>
  <c r="AP329" i="2"/>
  <c r="BH329" i="2"/>
  <c r="T330" i="2"/>
  <c r="AM330" i="2"/>
  <c r="BF330" i="2"/>
  <c r="R331" i="2"/>
  <c r="AJ331" i="2"/>
  <c r="BB331" i="2"/>
  <c r="M332" i="2"/>
  <c r="AD332" i="2"/>
  <c r="AU332" i="2"/>
  <c r="F333" i="2"/>
  <c r="W333" i="2"/>
  <c r="AN333" i="2"/>
  <c r="BE333" i="2"/>
  <c r="O334" i="2"/>
  <c r="AE334" i="2"/>
  <c r="AU334" i="2"/>
  <c r="E335" i="2"/>
  <c r="U335" i="2"/>
  <c r="AK335" i="2"/>
  <c r="BA335" i="2"/>
  <c r="K336" i="2"/>
  <c r="AA336" i="2"/>
  <c r="AQ336" i="2"/>
  <c r="BG336" i="2"/>
  <c r="Q337" i="2"/>
  <c r="AG337" i="2"/>
  <c r="AW337" i="2"/>
  <c r="G338" i="2"/>
  <c r="S257" i="2"/>
  <c r="AV273" i="2"/>
  <c r="AA279" i="2"/>
  <c r="P284" i="2"/>
  <c r="BG287" i="2"/>
  <c r="L291" i="2"/>
  <c r="F294" i="2"/>
  <c r="D297" i="2"/>
  <c r="AN299" i="2"/>
  <c r="L302" i="2"/>
  <c r="E304" i="2"/>
  <c r="AY304" i="2"/>
  <c r="AA305" i="2"/>
  <c r="C306" i="2"/>
  <c r="AK306" i="2"/>
  <c r="V307" i="2"/>
  <c r="BD307" i="2"/>
  <c r="AF308" i="2"/>
  <c r="Q309" i="2"/>
  <c r="AY309" i="2"/>
  <c r="AA310" i="2"/>
  <c r="C311" i="2"/>
  <c r="AR311" i="2"/>
  <c r="R312" i="2"/>
  <c r="AX312" i="2"/>
  <c r="X313" i="2"/>
  <c r="BD313" i="2"/>
  <c r="AD314" i="2"/>
  <c r="D315" i="2"/>
  <c r="AA315" i="2"/>
  <c r="BE315" i="2"/>
  <c r="AC316" i="2"/>
  <c r="BG316" i="2"/>
  <c r="AE317" i="2"/>
  <c r="BB317" i="2"/>
  <c r="Z318" i="2"/>
  <c r="BD318" i="2"/>
  <c r="AB319" i="2"/>
  <c r="AY319" i="2"/>
  <c r="V320" i="2"/>
  <c r="AV320" i="2"/>
  <c r="K321" i="2"/>
  <c r="AG321" i="2"/>
  <c r="BE321" i="2"/>
  <c r="S322" i="2"/>
  <c r="AP322" i="2"/>
  <c r="C323" i="2"/>
  <c r="V323" i="2"/>
  <c r="AO323" i="2"/>
  <c r="C324" i="2"/>
  <c r="W324" i="2"/>
  <c r="AO324" i="2"/>
  <c r="BG324" i="2"/>
  <c r="S325" i="2"/>
  <c r="AK325" i="2"/>
  <c r="BC325" i="2"/>
  <c r="Q326" i="2"/>
  <c r="AI326" i="2"/>
  <c r="BA326" i="2"/>
  <c r="M327" i="2"/>
  <c r="AE327" i="2"/>
  <c r="AW327" i="2"/>
  <c r="I328" i="2"/>
  <c r="AC328" i="2"/>
  <c r="AU328" i="2"/>
  <c r="G329" i="2"/>
  <c r="Y329" i="2"/>
  <c r="AQ329" i="2"/>
  <c r="C330" i="2"/>
  <c r="U330" i="2"/>
  <c r="AX260" i="2"/>
  <c r="AE274" i="2"/>
  <c r="BH279" i="2"/>
  <c r="AO284" i="2"/>
  <c r="AB288" i="2"/>
  <c r="AE291" i="2"/>
  <c r="AC294" i="2"/>
  <c r="W297" i="2"/>
  <c r="BE299" i="2"/>
  <c r="AB302" i="2"/>
  <c r="G304" i="2"/>
  <c r="AZ304" i="2"/>
  <c r="AB305" i="2"/>
  <c r="D306" i="2"/>
  <c r="AU306" i="2"/>
  <c r="W307" i="2"/>
  <c r="BE307" i="2"/>
  <c r="AG308" i="2"/>
  <c r="R309" i="2"/>
  <c r="AZ309" i="2"/>
  <c r="AB310" i="2"/>
  <c r="M311" i="2"/>
  <c r="AS311" i="2"/>
  <c r="S312" i="2"/>
  <c r="AY312" i="2"/>
  <c r="Y313" i="2"/>
  <c r="BE313" i="2"/>
  <c r="AE314" i="2"/>
  <c r="E315" i="2"/>
  <c r="AI315" i="2"/>
  <c r="BF315" i="2"/>
  <c r="AD316" i="2"/>
  <c r="BH316" i="2"/>
  <c r="AF317" i="2"/>
  <c r="BC317" i="2"/>
  <c r="AA318" i="2"/>
  <c r="BE318" i="2"/>
  <c r="AC319" i="2"/>
  <c r="BG319" i="2"/>
  <c r="W320" i="2"/>
  <c r="AW320" i="2"/>
  <c r="L321" i="2"/>
  <c r="AL321" i="2"/>
  <c r="BF321" i="2"/>
  <c r="T322" i="2"/>
  <c r="AQ322" i="2"/>
  <c r="D323" i="2"/>
  <c r="W323" i="2"/>
  <c r="AP323" i="2"/>
  <c r="F324" i="2"/>
  <c r="X324" i="2"/>
  <c r="AP324" i="2"/>
  <c r="BH324" i="2"/>
  <c r="T325" i="2"/>
  <c r="AL325" i="2"/>
  <c r="BE325" i="2"/>
  <c r="R326" i="2"/>
  <c r="AJ326" i="2"/>
  <c r="BB326" i="2"/>
  <c r="N327" i="2"/>
  <c r="AF327" i="2"/>
  <c r="AX327" i="2"/>
  <c r="K328" i="2"/>
  <c r="AD328" i="2"/>
  <c r="AV328" i="2"/>
  <c r="H329" i="2"/>
  <c r="Z329" i="2"/>
  <c r="AR329" i="2"/>
  <c r="D330" i="2"/>
  <c r="W330" i="2"/>
  <c r="AP330" i="2"/>
  <c r="BH330" i="2"/>
  <c r="T331" i="2"/>
  <c r="AL331" i="2"/>
  <c r="BD331" i="2"/>
  <c r="O332" i="2"/>
  <c r="AF332" i="2"/>
  <c r="AW332" i="2"/>
  <c r="H333" i="2"/>
  <c r="Y333" i="2"/>
  <c r="AQ333" i="2"/>
  <c r="BG333" i="2"/>
  <c r="Q334" i="2"/>
  <c r="AG334" i="2"/>
  <c r="AW334" i="2"/>
  <c r="AY260" i="2"/>
  <c r="AP274" i="2"/>
  <c r="C280" i="2"/>
  <c r="AP284" i="2"/>
  <c r="AC288" i="2"/>
  <c r="AF291" i="2"/>
  <c r="AD294" i="2"/>
  <c r="X297" i="2"/>
  <c r="BF299" i="2"/>
  <c r="AC302" i="2"/>
  <c r="H304" i="2"/>
  <c r="BA304" i="2"/>
  <c r="AC305" i="2"/>
  <c r="E306" i="2"/>
  <c r="AV306" i="2"/>
  <c r="X307" i="2"/>
  <c r="BF307" i="2"/>
  <c r="AQ308" i="2"/>
  <c r="S309" i="2"/>
  <c r="BA309" i="2"/>
  <c r="AC310" i="2"/>
  <c r="N311" i="2"/>
  <c r="AT311" i="2"/>
  <c r="T312" i="2"/>
  <c r="AZ312" i="2"/>
  <c r="Z313" i="2"/>
  <c r="BF313" i="2"/>
  <c r="AF314" i="2"/>
  <c r="F315" i="2"/>
  <c r="AJ315" i="2"/>
  <c r="BG315" i="2"/>
  <c r="AE316" i="2"/>
  <c r="C317" i="2"/>
  <c r="AG317" i="2"/>
  <c r="E318" i="2"/>
  <c r="AB318" i="2"/>
  <c r="BF318" i="2"/>
  <c r="AD319" i="2"/>
  <c r="BH319" i="2"/>
  <c r="X320" i="2"/>
  <c r="AX320" i="2"/>
  <c r="M321" i="2"/>
  <c r="AM321" i="2"/>
  <c r="BG321" i="2"/>
  <c r="U322" i="2"/>
  <c r="AR322" i="2"/>
  <c r="E323" i="2"/>
  <c r="X323" i="2"/>
  <c r="AQ323" i="2"/>
  <c r="G324" i="2"/>
  <c r="Y324" i="2"/>
  <c r="AQ324" i="2"/>
  <c r="C325" i="2"/>
  <c r="U325" i="2"/>
  <c r="AM325" i="2"/>
  <c r="BG325" i="2"/>
  <c r="S326" i="2"/>
  <c r="AK326" i="2"/>
  <c r="J264" i="2"/>
  <c r="S275" i="2"/>
  <c r="AR280" i="2"/>
  <c r="M285" i="2"/>
  <c r="AW288" i="2"/>
  <c r="AY291" i="2"/>
  <c r="AW294" i="2"/>
  <c r="AS297" i="2"/>
  <c r="Q300" i="2"/>
  <c r="AR302" i="2"/>
  <c r="I304" i="2"/>
  <c r="BB304" i="2"/>
  <c r="AD305" i="2"/>
  <c r="O306" i="2"/>
  <c r="AW306" i="2"/>
  <c r="Y307" i="2"/>
  <c r="BG307" i="2"/>
  <c r="AR308" i="2"/>
  <c r="T309" i="2"/>
  <c r="BB309" i="2"/>
  <c r="AM310" i="2"/>
  <c r="O311" i="2"/>
  <c r="AU311" i="2"/>
  <c r="U312" i="2"/>
  <c r="BA312" i="2"/>
  <c r="AA313" i="2"/>
  <c r="BG313" i="2"/>
  <c r="AG314" i="2"/>
  <c r="G315" i="2"/>
  <c r="AK315" i="2"/>
  <c r="I316" i="2"/>
  <c r="AF316" i="2"/>
  <c r="D317" i="2"/>
  <c r="AH317" i="2"/>
  <c r="F318" i="2"/>
  <c r="AC318" i="2"/>
  <c r="BG318" i="2"/>
  <c r="AE319" i="2"/>
  <c r="C320" i="2"/>
  <c r="Y320" i="2"/>
  <c r="AY320" i="2"/>
  <c r="N321" i="2"/>
  <c r="AN321" i="2"/>
  <c r="BH321" i="2"/>
  <c r="W322" i="2"/>
  <c r="AS322" i="2"/>
  <c r="F323" i="2"/>
  <c r="Y323" i="2"/>
  <c r="AS323" i="2"/>
  <c r="H324" i="2"/>
  <c r="Z324" i="2"/>
  <c r="AR324" i="2"/>
  <c r="D325" i="2"/>
  <c r="V325" i="2"/>
  <c r="AO325" i="2"/>
  <c r="BH325" i="2"/>
  <c r="T326" i="2"/>
  <c r="AL326" i="2"/>
  <c r="BD326" i="2"/>
  <c r="P327" i="2"/>
  <c r="AH327" i="2"/>
  <c r="BA327" i="2"/>
  <c r="N328" i="2"/>
  <c r="AF328" i="2"/>
  <c r="AX328" i="2"/>
  <c r="J329" i="2"/>
  <c r="AB329" i="2"/>
  <c r="AT329" i="2"/>
  <c r="U266" i="2"/>
  <c r="G276" i="2"/>
  <c r="U281" i="2"/>
  <c r="AQ285" i="2"/>
  <c r="Q289" i="2"/>
  <c r="Q292" i="2"/>
  <c r="K295" i="2"/>
  <c r="E298" i="2"/>
  <c r="AI300" i="2"/>
  <c r="BH302" i="2"/>
  <c r="U304" i="2"/>
  <c r="BD304" i="2"/>
  <c r="AO305" i="2"/>
  <c r="Q306" i="2"/>
  <c r="AY306" i="2"/>
  <c r="AA307" i="2"/>
  <c r="L308" i="2"/>
  <c r="AT308" i="2"/>
  <c r="V309" i="2"/>
  <c r="G310" i="2"/>
  <c r="AO310" i="2"/>
  <c r="Q311" i="2"/>
  <c r="AW311" i="2"/>
  <c r="W312" i="2"/>
  <c r="BC312" i="2"/>
  <c r="AC313" i="2"/>
  <c r="C314" i="2"/>
  <c r="AI314" i="2"/>
  <c r="I315" i="2"/>
  <c r="AM315" i="2"/>
  <c r="K316" i="2"/>
  <c r="AO316" i="2"/>
  <c r="F317" i="2"/>
  <c r="AJ317" i="2"/>
  <c r="H318" i="2"/>
  <c r="AL318" i="2"/>
  <c r="C319" i="2"/>
  <c r="AG319" i="2"/>
  <c r="E320" i="2"/>
  <c r="AF320" i="2"/>
  <c r="BA320" i="2"/>
  <c r="K264" i="2"/>
  <c r="R300" i="2"/>
  <c r="K308" i="2"/>
  <c r="BB312" i="2"/>
  <c r="E317" i="2"/>
  <c r="AZ320" i="2"/>
  <c r="AV322" i="2"/>
  <c r="AS324" i="2"/>
  <c r="V326" i="2"/>
  <c r="AM327" i="2"/>
  <c r="BA328" i="2"/>
  <c r="J330" i="2"/>
  <c r="E331" i="2"/>
  <c r="BE331" i="2"/>
  <c r="AL332" i="2"/>
  <c r="AC333" i="2"/>
  <c r="R334" i="2"/>
  <c r="BB334" i="2"/>
  <c r="AM335" i="2"/>
  <c r="O336" i="2"/>
  <c r="AW336" i="2"/>
  <c r="AH337" i="2"/>
  <c r="J338" i="2"/>
  <c r="AP338" i="2"/>
  <c r="N339" i="2"/>
  <c r="AQ339" i="2"/>
  <c r="I340" i="2"/>
  <c r="AK340" i="2"/>
  <c r="G341" i="2"/>
  <c r="AC341" i="2"/>
  <c r="BE341" i="2"/>
  <c r="U342" i="2"/>
  <c r="AU342" i="2"/>
  <c r="J343" i="2"/>
  <c r="AJ343" i="2"/>
  <c r="BE343" i="2"/>
  <c r="Y344" i="2"/>
  <c r="AT344" i="2"/>
  <c r="N345" i="2"/>
  <c r="AI345" i="2"/>
  <c r="BD345" i="2"/>
  <c r="X346" i="2"/>
  <c r="AS346" i="2"/>
  <c r="L347" i="2"/>
  <c r="AF347" i="2"/>
  <c r="AZ347" i="2"/>
  <c r="R348" i="2"/>
  <c r="AL348" i="2"/>
  <c r="BF348" i="2"/>
  <c r="X349" i="2"/>
  <c r="AR349" i="2"/>
  <c r="F350" i="2"/>
  <c r="AD350" i="2"/>
  <c r="AX350" i="2"/>
  <c r="K351" i="2"/>
  <c r="AG351" i="2"/>
  <c r="AZ351" i="2"/>
  <c r="M352" i="2"/>
  <c r="AF352" i="2"/>
  <c r="BB352" i="2"/>
  <c r="O353" i="2"/>
  <c r="AH353" i="2"/>
  <c r="BA353" i="2"/>
  <c r="N354" i="2"/>
  <c r="AI354" i="2"/>
  <c r="BA354" i="2"/>
  <c r="L355" i="2"/>
  <c r="AC355" i="2"/>
  <c r="AT355" i="2"/>
  <c r="E356" i="2"/>
  <c r="V356" i="2"/>
  <c r="AM356" i="2"/>
  <c r="BD356" i="2"/>
  <c r="O357" i="2"/>
  <c r="AF357" i="2"/>
  <c r="AX357" i="2"/>
  <c r="I358" i="2"/>
  <c r="Z358" i="2"/>
  <c r="AQ358" i="2"/>
  <c r="BH358" i="2"/>
  <c r="S359" i="2"/>
  <c r="AJ359" i="2"/>
  <c r="BA359" i="2"/>
  <c r="L360" i="2"/>
  <c r="AC360" i="2"/>
  <c r="AT360" i="2"/>
  <c r="E361" i="2"/>
  <c r="V361" i="2"/>
  <c r="AM361" i="2"/>
  <c r="BD361" i="2"/>
  <c r="N362" i="2"/>
  <c r="AD362" i="2"/>
  <c r="AT362" i="2"/>
  <c r="D363" i="2"/>
  <c r="T363" i="2"/>
  <c r="AJ363" i="2"/>
  <c r="AZ363" i="2"/>
  <c r="J364" i="2"/>
  <c r="Z364" i="2"/>
  <c r="AP364" i="2"/>
  <c r="BF364" i="2"/>
  <c r="P365" i="2"/>
  <c r="AF365" i="2"/>
  <c r="AV365" i="2"/>
  <c r="F366" i="2"/>
  <c r="V366" i="2"/>
  <c r="AL366" i="2"/>
  <c r="BB366" i="2"/>
  <c r="L367" i="2"/>
  <c r="AB367" i="2"/>
  <c r="AR367" i="2"/>
  <c r="BH367" i="2"/>
  <c r="R368" i="2"/>
  <c r="AH368" i="2"/>
  <c r="AX368" i="2"/>
  <c r="H369" i="2"/>
  <c r="X369" i="2"/>
  <c r="AN369" i="2"/>
  <c r="BD369" i="2"/>
  <c r="N370" i="2"/>
  <c r="AD370" i="2"/>
  <c r="AT370" i="2"/>
  <c r="D371" i="2"/>
  <c r="T371" i="2"/>
  <c r="AJ371" i="2"/>
  <c r="AZ371" i="2"/>
  <c r="J372" i="2"/>
  <c r="Z372" i="2"/>
  <c r="AP372" i="2"/>
  <c r="BF372" i="2"/>
  <c r="P373" i="2"/>
  <c r="AF373" i="2"/>
  <c r="AV373" i="2"/>
  <c r="F374" i="2"/>
  <c r="V374" i="2"/>
  <c r="AL374" i="2"/>
  <c r="BB374" i="2"/>
  <c r="L375" i="2"/>
  <c r="AB375" i="2"/>
  <c r="AR375" i="2"/>
  <c r="BH375" i="2"/>
  <c r="R376" i="2"/>
  <c r="AH376" i="2"/>
  <c r="AX376" i="2"/>
  <c r="H377" i="2"/>
  <c r="X377" i="2"/>
  <c r="AN377" i="2"/>
  <c r="BD377" i="2"/>
  <c r="N378" i="2"/>
  <c r="AD378" i="2"/>
  <c r="AT378" i="2"/>
  <c r="D379" i="2"/>
  <c r="T379" i="2"/>
  <c r="AJ379" i="2"/>
  <c r="AZ379" i="2"/>
  <c r="J380" i="2"/>
  <c r="Z380" i="2"/>
  <c r="AP380" i="2"/>
  <c r="BF380" i="2"/>
  <c r="P381" i="2"/>
  <c r="AF381" i="2"/>
  <c r="AV381" i="2"/>
  <c r="F382" i="2"/>
  <c r="V382" i="2"/>
  <c r="AL382" i="2"/>
  <c r="BB382" i="2"/>
  <c r="L383" i="2"/>
  <c r="AB383" i="2"/>
  <c r="AR383" i="2"/>
  <c r="BH383" i="2"/>
  <c r="R384" i="2"/>
  <c r="AH384" i="2"/>
  <c r="AX384" i="2"/>
  <c r="H385" i="2"/>
  <c r="X385" i="2"/>
  <c r="AN385" i="2"/>
  <c r="BD385" i="2"/>
  <c r="N386" i="2"/>
  <c r="AD386" i="2"/>
  <c r="AT386" i="2"/>
  <c r="D387" i="2"/>
  <c r="T387" i="2"/>
  <c r="AJ387" i="2"/>
  <c r="AZ387" i="2"/>
  <c r="J388" i="2"/>
  <c r="Z388" i="2"/>
  <c r="AP388" i="2"/>
  <c r="BF388" i="2"/>
  <c r="P389" i="2"/>
  <c r="AF389" i="2"/>
  <c r="AV389" i="2"/>
  <c r="F390" i="2"/>
  <c r="V390" i="2"/>
  <c r="AL390" i="2"/>
  <c r="BB390" i="2"/>
  <c r="L391" i="2"/>
  <c r="AB391" i="2"/>
  <c r="T275" i="2"/>
  <c r="AS302" i="2"/>
  <c r="AS308" i="2"/>
  <c r="AB313" i="2"/>
  <c r="AI317" i="2"/>
  <c r="O321" i="2"/>
  <c r="H323" i="2"/>
  <c r="AU324" i="2"/>
  <c r="AM326" i="2"/>
  <c r="BC327" i="2"/>
  <c r="K329" i="2"/>
  <c r="Y330" i="2"/>
  <c r="G331" i="2"/>
  <c r="BG331" i="2"/>
  <c r="AX332" i="2"/>
  <c r="AE333" i="2"/>
  <c r="T334" i="2"/>
  <c r="G335" i="2"/>
  <c r="AO335" i="2"/>
  <c r="Q336" i="2"/>
  <c r="BH336" i="2"/>
  <c r="AJ337" i="2"/>
  <c r="L338" i="2"/>
  <c r="AR338" i="2"/>
  <c r="P339" i="2"/>
  <c r="AT339" i="2"/>
  <c r="Q340" i="2"/>
  <c r="AM340" i="2"/>
  <c r="I341" i="2"/>
  <c r="AE341" i="2"/>
  <c r="BG341" i="2"/>
  <c r="AB342" i="2"/>
  <c r="AW342" i="2"/>
  <c r="L343" i="2"/>
  <c r="AL343" i="2"/>
  <c r="BG343" i="2"/>
  <c r="AA344" i="2"/>
  <c r="AV344" i="2"/>
  <c r="P345" i="2"/>
  <c r="AK345" i="2"/>
  <c r="E346" i="2"/>
  <c r="Z346" i="2"/>
  <c r="AZ346" i="2"/>
  <c r="N347" i="2"/>
  <c r="AH347" i="2"/>
  <c r="BF347" i="2"/>
  <c r="T348" i="2"/>
  <c r="AN348" i="2"/>
  <c r="F349" i="2"/>
  <c r="Z349" i="2"/>
  <c r="AT349" i="2"/>
  <c r="L350" i="2"/>
  <c r="AF350" i="2"/>
  <c r="AZ350" i="2"/>
  <c r="P351" i="2"/>
  <c r="AI351" i="2"/>
  <c r="BB351" i="2"/>
  <c r="O352" i="2"/>
  <c r="AH352" i="2"/>
  <c r="BD352" i="2"/>
  <c r="Q353" i="2"/>
  <c r="AJ353" i="2"/>
  <c r="BC353" i="2"/>
  <c r="S354" i="2"/>
  <c r="AK354" i="2"/>
  <c r="BC354" i="2"/>
  <c r="N355" i="2"/>
  <c r="AE355" i="2"/>
  <c r="AV355" i="2"/>
  <c r="G356" i="2"/>
  <c r="X356" i="2"/>
  <c r="AO356" i="2"/>
  <c r="BF356" i="2"/>
  <c r="R357" i="2"/>
  <c r="AI357" i="2"/>
  <c r="AZ357" i="2"/>
  <c r="K358" i="2"/>
  <c r="AB358" i="2"/>
  <c r="AS358" i="2"/>
  <c r="D359" i="2"/>
  <c r="U359" i="2"/>
  <c r="AL359" i="2"/>
  <c r="BC359" i="2"/>
  <c r="N360" i="2"/>
  <c r="AE360" i="2"/>
  <c r="AV360" i="2"/>
  <c r="G361" i="2"/>
  <c r="X361" i="2"/>
  <c r="AP361" i="2"/>
  <c r="BF361" i="2"/>
  <c r="P362" i="2"/>
  <c r="AF362" i="2"/>
  <c r="AV362" i="2"/>
  <c r="F363" i="2"/>
  <c r="V363" i="2"/>
  <c r="AL363" i="2"/>
  <c r="BB363" i="2"/>
  <c r="L364" i="2"/>
  <c r="AB364" i="2"/>
  <c r="AR364" i="2"/>
  <c r="BH364" i="2"/>
  <c r="R365" i="2"/>
  <c r="AH365" i="2"/>
  <c r="AX365" i="2"/>
  <c r="H366" i="2"/>
  <c r="X366" i="2"/>
  <c r="AN366" i="2"/>
  <c r="BD366" i="2"/>
  <c r="N367" i="2"/>
  <c r="AD367" i="2"/>
  <c r="AT367" i="2"/>
  <c r="D368" i="2"/>
  <c r="T368" i="2"/>
  <c r="AJ368" i="2"/>
  <c r="AZ368" i="2"/>
  <c r="J369" i="2"/>
  <c r="Z369" i="2"/>
  <c r="AP369" i="2"/>
  <c r="BF369" i="2"/>
  <c r="P370" i="2"/>
  <c r="AF370" i="2"/>
  <c r="AV370" i="2"/>
  <c r="F371" i="2"/>
  <c r="V371" i="2"/>
  <c r="AL371" i="2"/>
  <c r="BB371" i="2"/>
  <c r="L372" i="2"/>
  <c r="AB372" i="2"/>
  <c r="AR372" i="2"/>
  <c r="BH372" i="2"/>
  <c r="R373" i="2"/>
  <c r="AH373" i="2"/>
  <c r="AX373" i="2"/>
  <c r="H374" i="2"/>
  <c r="X374" i="2"/>
  <c r="AN374" i="2"/>
  <c r="BD374" i="2"/>
  <c r="N375" i="2"/>
  <c r="AD375" i="2"/>
  <c r="AT375" i="2"/>
  <c r="D376" i="2"/>
  <c r="T376" i="2"/>
  <c r="AJ376" i="2"/>
  <c r="AZ376" i="2"/>
  <c r="J377" i="2"/>
  <c r="Z377" i="2"/>
  <c r="AP377" i="2"/>
  <c r="BF377" i="2"/>
  <c r="P378" i="2"/>
  <c r="AF378" i="2"/>
  <c r="AV378" i="2"/>
  <c r="F379" i="2"/>
  <c r="V379" i="2"/>
  <c r="AL379" i="2"/>
  <c r="BB379" i="2"/>
  <c r="L380" i="2"/>
  <c r="AB380" i="2"/>
  <c r="AR380" i="2"/>
  <c r="BH380" i="2"/>
  <c r="R381" i="2"/>
  <c r="AH381" i="2"/>
  <c r="AX381" i="2"/>
  <c r="H382" i="2"/>
  <c r="X382" i="2"/>
  <c r="AN382" i="2"/>
  <c r="BD382" i="2"/>
  <c r="N383" i="2"/>
  <c r="AD383" i="2"/>
  <c r="AT383" i="2"/>
  <c r="D384" i="2"/>
  <c r="T384" i="2"/>
  <c r="AJ384" i="2"/>
  <c r="AZ384" i="2"/>
  <c r="J385" i="2"/>
  <c r="Z385" i="2"/>
  <c r="AP385" i="2"/>
  <c r="BF385" i="2"/>
  <c r="P386" i="2"/>
  <c r="AF386" i="2"/>
  <c r="AV386" i="2"/>
  <c r="F387" i="2"/>
  <c r="V387" i="2"/>
  <c r="AL387" i="2"/>
  <c r="BB387" i="2"/>
  <c r="L388" i="2"/>
  <c r="AB388" i="2"/>
  <c r="AR388" i="2"/>
  <c r="BH388" i="2"/>
  <c r="R389" i="2"/>
  <c r="AH389" i="2"/>
  <c r="AX389" i="2"/>
  <c r="H390" i="2"/>
  <c r="X390" i="2"/>
  <c r="AN390" i="2"/>
  <c r="BD390" i="2"/>
  <c r="N391" i="2"/>
  <c r="AD391" i="2"/>
  <c r="AT391" i="2"/>
  <c r="D392" i="2"/>
  <c r="H276" i="2"/>
  <c r="C303" i="2"/>
  <c r="AU308" i="2"/>
  <c r="AD313" i="2"/>
  <c r="AK317" i="2"/>
  <c r="Q321" i="2"/>
  <c r="I323" i="2"/>
  <c r="E325" i="2"/>
  <c r="AN326" i="2"/>
  <c r="BD327" i="2"/>
  <c r="L329" i="2"/>
  <c r="Z330" i="2"/>
  <c r="S331" i="2"/>
  <c r="BH331" i="2"/>
  <c r="AY332" i="2"/>
  <c r="AO333" i="2"/>
  <c r="U334" i="2"/>
  <c r="H335" i="2"/>
  <c r="AP335" i="2"/>
  <c r="R336" i="2"/>
  <c r="C337" i="2"/>
  <c r="AK337" i="2"/>
  <c r="M338" i="2"/>
  <c r="AS338" i="2"/>
  <c r="Q339" i="2"/>
  <c r="AU339" i="2"/>
  <c r="R340" i="2"/>
  <c r="AN340" i="2"/>
  <c r="J341" i="2"/>
  <c r="AF341" i="2"/>
  <c r="BH341" i="2"/>
  <c r="AC342" i="2"/>
  <c r="AX342" i="2"/>
  <c r="R343" i="2"/>
  <c r="AM343" i="2"/>
  <c r="BH343" i="2"/>
  <c r="AB344" i="2"/>
  <c r="AW344" i="2"/>
  <c r="Q345" i="2"/>
  <c r="AL345" i="2"/>
  <c r="F346" i="2"/>
  <c r="AA346" i="2"/>
  <c r="BA346" i="2"/>
  <c r="O347" i="2"/>
  <c r="AI347" i="2"/>
  <c r="BG347" i="2"/>
  <c r="U348" i="2"/>
  <c r="AO348" i="2"/>
  <c r="G349" i="2"/>
  <c r="AA349" i="2"/>
  <c r="AU349" i="2"/>
  <c r="M350" i="2"/>
  <c r="AG350" i="2"/>
  <c r="BA350" i="2"/>
  <c r="Q351" i="2"/>
  <c r="AJ351" i="2"/>
  <c r="BC351" i="2"/>
  <c r="P352" i="2"/>
  <c r="AL352" i="2"/>
  <c r="BE352" i="2"/>
  <c r="R353" i="2"/>
  <c r="AK353" i="2"/>
  <c r="BD353" i="2"/>
  <c r="T354" i="2"/>
  <c r="AL354" i="2"/>
  <c r="BD354" i="2"/>
  <c r="O355" i="2"/>
  <c r="AF355" i="2"/>
  <c r="AW355" i="2"/>
  <c r="H356" i="2"/>
  <c r="Y356" i="2"/>
  <c r="AP356" i="2"/>
  <c r="BH356" i="2"/>
  <c r="S357" i="2"/>
  <c r="AJ357" i="2"/>
  <c r="BA357" i="2"/>
  <c r="L358" i="2"/>
  <c r="AC358" i="2"/>
  <c r="AT358" i="2"/>
  <c r="E359" i="2"/>
  <c r="V359" i="2"/>
  <c r="AM359" i="2"/>
  <c r="BD359" i="2"/>
  <c r="O360" i="2"/>
  <c r="AF360" i="2"/>
  <c r="AW360" i="2"/>
  <c r="H361" i="2"/>
  <c r="Z361" i="2"/>
  <c r="AQ361" i="2"/>
  <c r="BG361" i="2"/>
  <c r="Q362" i="2"/>
  <c r="AG362" i="2"/>
  <c r="AW362" i="2"/>
  <c r="G363" i="2"/>
  <c r="W363" i="2"/>
  <c r="AM363" i="2"/>
  <c r="BC363" i="2"/>
  <c r="M364" i="2"/>
  <c r="AC364" i="2"/>
  <c r="AS364" i="2"/>
  <c r="C365" i="2"/>
  <c r="S365" i="2"/>
  <c r="AI365" i="2"/>
  <c r="AY365" i="2"/>
  <c r="I366" i="2"/>
  <c r="Y366" i="2"/>
  <c r="AO366" i="2"/>
  <c r="BE366" i="2"/>
  <c r="O367" i="2"/>
  <c r="AE367" i="2"/>
  <c r="AU367" i="2"/>
  <c r="E368" i="2"/>
  <c r="U368" i="2"/>
  <c r="AK368" i="2"/>
  <c r="BA368" i="2"/>
  <c r="K369" i="2"/>
  <c r="AA369" i="2"/>
  <c r="AQ369" i="2"/>
  <c r="BG369" i="2"/>
  <c r="Q370" i="2"/>
  <c r="AG370" i="2"/>
  <c r="AW370" i="2"/>
  <c r="G371" i="2"/>
  <c r="W371" i="2"/>
  <c r="AM371" i="2"/>
  <c r="BC371" i="2"/>
  <c r="M372" i="2"/>
  <c r="AC372" i="2"/>
  <c r="AS372" i="2"/>
  <c r="C373" i="2"/>
  <c r="S373" i="2"/>
  <c r="AI373" i="2"/>
  <c r="AY373" i="2"/>
  <c r="I374" i="2"/>
  <c r="Y374" i="2"/>
  <c r="AO374" i="2"/>
  <c r="BE374" i="2"/>
  <c r="O375" i="2"/>
  <c r="AE375" i="2"/>
  <c r="AU375" i="2"/>
  <c r="E376" i="2"/>
  <c r="U376" i="2"/>
  <c r="AK376" i="2"/>
  <c r="BA376" i="2"/>
  <c r="K377" i="2"/>
  <c r="AA377" i="2"/>
  <c r="AQ377" i="2"/>
  <c r="BG377" i="2"/>
  <c r="Q378" i="2"/>
  <c r="AG378" i="2"/>
  <c r="AW378" i="2"/>
  <c r="G379" i="2"/>
  <c r="W379" i="2"/>
  <c r="AM379" i="2"/>
  <c r="BC379" i="2"/>
  <c r="M380" i="2"/>
  <c r="AT280" i="2"/>
  <c r="S304" i="2"/>
  <c r="U309" i="2"/>
  <c r="BH313" i="2"/>
  <c r="G318" i="2"/>
  <c r="V321" i="2"/>
  <c r="Z323" i="2"/>
  <c r="F325" i="2"/>
  <c r="AO326" i="2"/>
  <c r="BE327" i="2"/>
  <c r="M329" i="2"/>
  <c r="AA330" i="2"/>
  <c r="U331" i="2"/>
  <c r="C332" i="2"/>
  <c r="BA332" i="2"/>
  <c r="AR333" i="2"/>
  <c r="V334" i="2"/>
  <c r="I335" i="2"/>
  <c r="AQ335" i="2"/>
  <c r="AB336" i="2"/>
  <c r="D337" i="2"/>
  <c r="AL337" i="2"/>
  <c r="N338" i="2"/>
  <c r="AT338" i="2"/>
  <c r="R339" i="2"/>
  <c r="AV339" i="2"/>
  <c r="S340" i="2"/>
  <c r="AO340" i="2"/>
  <c r="K341" i="2"/>
  <c r="AM341" i="2"/>
  <c r="C342" i="2"/>
  <c r="AD342" i="2"/>
  <c r="AY342" i="2"/>
  <c r="S343" i="2"/>
  <c r="AN343" i="2"/>
  <c r="H344" i="2"/>
  <c r="AC344" i="2"/>
  <c r="AX344" i="2"/>
  <c r="R345" i="2"/>
  <c r="AM345" i="2"/>
  <c r="G346" i="2"/>
  <c r="AB346" i="2"/>
  <c r="BB346" i="2"/>
  <c r="P347" i="2"/>
  <c r="AJ347" i="2"/>
  <c r="BH347" i="2"/>
  <c r="V348" i="2"/>
  <c r="AP348" i="2"/>
  <c r="H349" i="2"/>
  <c r="AB349" i="2"/>
  <c r="AV349" i="2"/>
  <c r="N350" i="2"/>
  <c r="AH350" i="2"/>
  <c r="BB350" i="2"/>
  <c r="R351" i="2"/>
  <c r="AK351" i="2"/>
  <c r="BD351" i="2"/>
  <c r="Q352" i="2"/>
  <c r="AM352" i="2"/>
  <c r="BF352" i="2"/>
  <c r="S353" i="2"/>
  <c r="AL353" i="2"/>
  <c r="BH353" i="2"/>
  <c r="U354" i="2"/>
  <c r="AM354" i="2"/>
  <c r="BE354" i="2"/>
  <c r="P355" i="2"/>
  <c r="AG355" i="2"/>
  <c r="AX355" i="2"/>
  <c r="I356" i="2"/>
  <c r="Z356" i="2"/>
  <c r="AR356" i="2"/>
  <c r="C357" i="2"/>
  <c r="T357" i="2"/>
  <c r="AK357" i="2"/>
  <c r="BB357" i="2"/>
  <c r="M358" i="2"/>
  <c r="AD358" i="2"/>
  <c r="AU358" i="2"/>
  <c r="F359" i="2"/>
  <c r="W359" i="2"/>
  <c r="AN359" i="2"/>
  <c r="BE359" i="2"/>
  <c r="P360" i="2"/>
  <c r="AG360" i="2"/>
  <c r="AX360" i="2"/>
  <c r="J361" i="2"/>
  <c r="AA361" i="2"/>
  <c r="AR361" i="2"/>
  <c r="BH361" i="2"/>
  <c r="R362" i="2"/>
  <c r="AH362" i="2"/>
  <c r="AX362" i="2"/>
  <c r="H363" i="2"/>
  <c r="X363" i="2"/>
  <c r="AN363" i="2"/>
  <c r="BD363" i="2"/>
  <c r="N364" i="2"/>
  <c r="AD364" i="2"/>
  <c r="AT364" i="2"/>
  <c r="D365" i="2"/>
  <c r="T365" i="2"/>
  <c r="AJ365" i="2"/>
  <c r="AZ365" i="2"/>
  <c r="J366" i="2"/>
  <c r="Z366" i="2"/>
  <c r="AP366" i="2"/>
  <c r="BF366" i="2"/>
  <c r="P367" i="2"/>
  <c r="AF367" i="2"/>
  <c r="AV367" i="2"/>
  <c r="F368" i="2"/>
  <c r="V368" i="2"/>
  <c r="AL368" i="2"/>
  <c r="BB368" i="2"/>
  <c r="L369" i="2"/>
  <c r="AB369" i="2"/>
  <c r="AR369" i="2"/>
  <c r="BH369" i="2"/>
  <c r="R370" i="2"/>
  <c r="AH370" i="2"/>
  <c r="AX370" i="2"/>
  <c r="H371" i="2"/>
  <c r="X371" i="2"/>
  <c r="AN371" i="2"/>
  <c r="BD371" i="2"/>
  <c r="N372" i="2"/>
  <c r="AD372" i="2"/>
  <c r="AT372" i="2"/>
  <c r="D373" i="2"/>
  <c r="T373" i="2"/>
  <c r="AJ373" i="2"/>
  <c r="AZ373" i="2"/>
  <c r="J374" i="2"/>
  <c r="Z374" i="2"/>
  <c r="AP374" i="2"/>
  <c r="BF374" i="2"/>
  <c r="P375" i="2"/>
  <c r="AF375" i="2"/>
  <c r="AV375" i="2"/>
  <c r="F376" i="2"/>
  <c r="V376" i="2"/>
  <c r="AL376" i="2"/>
  <c r="BB376" i="2"/>
  <c r="L377" i="2"/>
  <c r="AB377" i="2"/>
  <c r="AR377" i="2"/>
  <c r="BH377" i="2"/>
  <c r="V281" i="2"/>
  <c r="W304" i="2"/>
  <c r="W309" i="2"/>
  <c r="D314" i="2"/>
  <c r="I318" i="2"/>
  <c r="AO321" i="2"/>
  <c r="AA323" i="2"/>
  <c r="G325" i="2"/>
  <c r="BC326" i="2"/>
  <c r="M328" i="2"/>
  <c r="AA329" i="2"/>
  <c r="AB330" i="2"/>
  <c r="V331" i="2"/>
  <c r="N332" i="2"/>
  <c r="BB332" i="2"/>
  <c r="AS333" i="2"/>
  <c r="AF334" i="2"/>
  <c r="J335" i="2"/>
  <c r="AR335" i="2"/>
  <c r="AC336" i="2"/>
  <c r="E337" i="2"/>
  <c r="AM337" i="2"/>
  <c r="W338" i="2"/>
  <c r="BA338" i="2"/>
  <c r="S339" i="2"/>
  <c r="AW339" i="2"/>
  <c r="T340" i="2"/>
  <c r="AP340" i="2"/>
  <c r="L341" i="2"/>
  <c r="AN341" i="2"/>
  <c r="D342" i="2"/>
  <c r="AE342" i="2"/>
  <c r="AZ342" i="2"/>
  <c r="T343" i="2"/>
  <c r="AO343" i="2"/>
  <c r="I344" i="2"/>
  <c r="AD344" i="2"/>
  <c r="BD344" i="2"/>
  <c r="S345" i="2"/>
  <c r="AN345" i="2"/>
  <c r="H346" i="2"/>
  <c r="AC346" i="2"/>
  <c r="BC346" i="2"/>
  <c r="Q347" i="2"/>
  <c r="AO347" i="2"/>
  <c r="C348" i="2"/>
  <c r="W348" i="2"/>
  <c r="AU348" i="2"/>
  <c r="I349" i="2"/>
  <c r="AC349" i="2"/>
  <c r="BA349" i="2"/>
  <c r="O350" i="2"/>
  <c r="AI350" i="2"/>
  <c r="BF350" i="2"/>
  <c r="S351" i="2"/>
  <c r="AL351" i="2"/>
  <c r="BE351" i="2"/>
  <c r="R352" i="2"/>
  <c r="AN352" i="2"/>
  <c r="BG352" i="2"/>
  <c r="T353" i="2"/>
  <c r="AM353" i="2"/>
  <c r="C354" i="2"/>
  <c r="V354" i="2"/>
  <c r="AN354" i="2"/>
  <c r="BF354" i="2"/>
  <c r="Q355" i="2"/>
  <c r="AH355" i="2"/>
  <c r="AY355" i="2"/>
  <c r="J356" i="2"/>
  <c r="AB356" i="2"/>
  <c r="AS356" i="2"/>
  <c r="D357" i="2"/>
  <c r="U357" i="2"/>
  <c r="AL357" i="2"/>
  <c r="BC357" i="2"/>
  <c r="N358" i="2"/>
  <c r="AE358" i="2"/>
  <c r="AV358" i="2"/>
  <c r="G359" i="2"/>
  <c r="X359" i="2"/>
  <c r="AO359" i="2"/>
  <c r="BF359" i="2"/>
  <c r="Q360" i="2"/>
  <c r="AH360" i="2"/>
  <c r="AZ360" i="2"/>
  <c r="K361" i="2"/>
  <c r="AB361" i="2"/>
  <c r="AS361" i="2"/>
  <c r="C362" i="2"/>
  <c r="S362" i="2"/>
  <c r="AI362" i="2"/>
  <c r="AY362" i="2"/>
  <c r="I363" i="2"/>
  <c r="Y363" i="2"/>
  <c r="AO363" i="2"/>
  <c r="BE363" i="2"/>
  <c r="O364" i="2"/>
  <c r="AE364" i="2"/>
  <c r="AU364" i="2"/>
  <c r="E365" i="2"/>
  <c r="U365" i="2"/>
  <c r="AK365" i="2"/>
  <c r="BA365" i="2"/>
  <c r="K366" i="2"/>
  <c r="AA366" i="2"/>
  <c r="AQ366" i="2"/>
  <c r="BG366" i="2"/>
  <c r="Q367" i="2"/>
  <c r="AG367" i="2"/>
  <c r="AW367" i="2"/>
  <c r="G368" i="2"/>
  <c r="W368" i="2"/>
  <c r="AM368" i="2"/>
  <c r="BC368" i="2"/>
  <c r="M369" i="2"/>
  <c r="AC369" i="2"/>
  <c r="AS369" i="2"/>
  <c r="C370" i="2"/>
  <c r="S370" i="2"/>
  <c r="AI370" i="2"/>
  <c r="AY370" i="2"/>
  <c r="I371" i="2"/>
  <c r="Y371" i="2"/>
  <c r="AO371" i="2"/>
  <c r="BE371" i="2"/>
  <c r="O372" i="2"/>
  <c r="AE372" i="2"/>
  <c r="AU372" i="2"/>
  <c r="E373" i="2"/>
  <c r="U373" i="2"/>
  <c r="AK373" i="2"/>
  <c r="BA373" i="2"/>
  <c r="K374" i="2"/>
  <c r="AA374" i="2"/>
  <c r="AQ374" i="2"/>
  <c r="BG374" i="2"/>
  <c r="Q375" i="2"/>
  <c r="AG375" i="2"/>
  <c r="AW375" i="2"/>
  <c r="G376" i="2"/>
  <c r="W376" i="2"/>
  <c r="AM376" i="2"/>
  <c r="BC376" i="2"/>
  <c r="M377" i="2"/>
  <c r="AC377" i="2"/>
  <c r="AS377" i="2"/>
  <c r="C378" i="2"/>
  <c r="S378" i="2"/>
  <c r="AI378" i="2"/>
  <c r="AY378" i="2"/>
  <c r="I379" i="2"/>
  <c r="Y379" i="2"/>
  <c r="AO379" i="2"/>
  <c r="BE379" i="2"/>
  <c r="O380" i="2"/>
  <c r="AE380" i="2"/>
  <c r="AU380" i="2"/>
  <c r="E381" i="2"/>
  <c r="U381" i="2"/>
  <c r="AK381" i="2"/>
  <c r="BA381" i="2"/>
  <c r="K382" i="2"/>
  <c r="AA382" i="2"/>
  <c r="AQ382" i="2"/>
  <c r="BG382" i="2"/>
  <c r="Q383" i="2"/>
  <c r="AG383" i="2"/>
  <c r="AW383" i="2"/>
  <c r="G384" i="2"/>
  <c r="N285" i="2"/>
  <c r="BC304" i="2"/>
  <c r="BC309" i="2"/>
  <c r="AH314" i="2"/>
  <c r="AK318" i="2"/>
  <c r="AP321" i="2"/>
  <c r="AC323" i="2"/>
  <c r="W325" i="2"/>
  <c r="BE326" i="2"/>
  <c r="O328" i="2"/>
  <c r="AC329" i="2"/>
  <c r="AC330" i="2"/>
  <c r="W331" i="2"/>
  <c r="P332" i="2"/>
  <c r="BC332" i="2"/>
  <c r="AT333" i="2"/>
  <c r="AH334" i="2"/>
  <c r="K335" i="2"/>
  <c r="BB335" i="2"/>
  <c r="AD336" i="2"/>
  <c r="F337" i="2"/>
  <c r="AN337" i="2"/>
  <c r="X338" i="2"/>
  <c r="BC338" i="2"/>
  <c r="T339" i="2"/>
  <c r="AX339" i="2"/>
  <c r="U340" i="2"/>
  <c r="AW340" i="2"/>
  <c r="M341" i="2"/>
  <c r="AO341" i="2"/>
  <c r="E342" i="2"/>
  <c r="AF342" i="2"/>
  <c r="BA342" i="2"/>
  <c r="U343" i="2"/>
  <c r="AP343" i="2"/>
  <c r="J344" i="2"/>
  <c r="AE344" i="2"/>
  <c r="BE344" i="2"/>
  <c r="T345" i="2"/>
  <c r="AT345" i="2"/>
  <c r="I346" i="2"/>
  <c r="AD346" i="2"/>
  <c r="BD346" i="2"/>
  <c r="R347" i="2"/>
  <c r="AP347" i="2"/>
  <c r="D348" i="2"/>
  <c r="X348" i="2"/>
  <c r="AV348" i="2"/>
  <c r="J349" i="2"/>
  <c r="AD349" i="2"/>
  <c r="BB349" i="2"/>
  <c r="P350" i="2"/>
  <c r="AJ350" i="2"/>
  <c r="BG350" i="2"/>
  <c r="T351" i="2"/>
  <c r="AM351" i="2"/>
  <c r="BF351" i="2"/>
  <c r="V352" i="2"/>
  <c r="AO352" i="2"/>
  <c r="BH352" i="2"/>
  <c r="U353" i="2"/>
  <c r="AN353" i="2"/>
  <c r="D354" i="2"/>
  <c r="W354" i="2"/>
  <c r="AO354" i="2"/>
  <c r="BG354" i="2"/>
  <c r="R355" i="2"/>
  <c r="AI355" i="2"/>
  <c r="AZ355" i="2"/>
  <c r="L356" i="2"/>
  <c r="AC356" i="2"/>
  <c r="AT356" i="2"/>
  <c r="E357" i="2"/>
  <c r="V357" i="2"/>
  <c r="AM357" i="2"/>
  <c r="BD357" i="2"/>
  <c r="O358" i="2"/>
  <c r="AF358" i="2"/>
  <c r="AW358" i="2"/>
  <c r="H359" i="2"/>
  <c r="Y359" i="2"/>
  <c r="AP359" i="2"/>
  <c r="BG359" i="2"/>
  <c r="R360" i="2"/>
  <c r="AJ360" i="2"/>
  <c r="BA360" i="2"/>
  <c r="L361" i="2"/>
  <c r="AC361" i="2"/>
  <c r="AT361" i="2"/>
  <c r="D362" i="2"/>
  <c r="T362" i="2"/>
  <c r="AJ362" i="2"/>
  <c r="AZ362" i="2"/>
  <c r="J363" i="2"/>
  <c r="Z363" i="2"/>
  <c r="AP363" i="2"/>
  <c r="BF363" i="2"/>
  <c r="P364" i="2"/>
  <c r="AF364" i="2"/>
  <c r="AV364" i="2"/>
  <c r="F365" i="2"/>
  <c r="V365" i="2"/>
  <c r="AL365" i="2"/>
  <c r="BB365" i="2"/>
  <c r="L366" i="2"/>
  <c r="AB366" i="2"/>
  <c r="AR366" i="2"/>
  <c r="BH366" i="2"/>
  <c r="R367" i="2"/>
  <c r="AH367" i="2"/>
  <c r="AX367" i="2"/>
  <c r="H368" i="2"/>
  <c r="X368" i="2"/>
  <c r="AN368" i="2"/>
  <c r="BD368" i="2"/>
  <c r="N369" i="2"/>
  <c r="AD369" i="2"/>
  <c r="AT369" i="2"/>
  <c r="D370" i="2"/>
  <c r="T370" i="2"/>
  <c r="AJ370" i="2"/>
  <c r="AZ370" i="2"/>
  <c r="J371" i="2"/>
  <c r="Z371" i="2"/>
  <c r="AP371" i="2"/>
  <c r="BF371" i="2"/>
  <c r="P372" i="2"/>
  <c r="AR285" i="2"/>
  <c r="BE304" i="2"/>
  <c r="H310" i="2"/>
  <c r="AJ314" i="2"/>
  <c r="AM318" i="2"/>
  <c r="AQ321" i="2"/>
  <c r="AV323" i="2"/>
  <c r="Y325" i="2"/>
  <c r="BF326" i="2"/>
  <c r="P328" i="2"/>
  <c r="AD329" i="2"/>
  <c r="AO330" i="2"/>
  <c r="X331" i="2"/>
  <c r="Q332" i="2"/>
  <c r="G333" i="2"/>
  <c r="AU333" i="2"/>
  <c r="AI334" i="2"/>
  <c r="L335" i="2"/>
  <c r="BC335" i="2"/>
  <c r="AE336" i="2"/>
  <c r="G337" i="2"/>
  <c r="AX337" i="2"/>
  <c r="Y338" i="2"/>
  <c r="BD338" i="2"/>
  <c r="AA339" i="2"/>
  <c r="AY339" i="2"/>
  <c r="V340" i="2"/>
  <c r="AX340" i="2"/>
  <c r="N341" i="2"/>
  <c r="AP341" i="2"/>
  <c r="F342" i="2"/>
  <c r="AG342" i="2"/>
  <c r="BB342" i="2"/>
  <c r="V343" i="2"/>
  <c r="AQ343" i="2"/>
  <c r="K344" i="2"/>
  <c r="AF344" i="2"/>
  <c r="BF344" i="2"/>
  <c r="U345" i="2"/>
  <c r="AU345" i="2"/>
  <c r="J346" i="2"/>
  <c r="AJ346" i="2"/>
  <c r="BE346" i="2"/>
  <c r="S347" i="2"/>
  <c r="AQ347" i="2"/>
  <c r="E348" i="2"/>
  <c r="Y348" i="2"/>
  <c r="AW348" i="2"/>
  <c r="K349" i="2"/>
  <c r="AE349" i="2"/>
  <c r="BC349" i="2"/>
  <c r="Q350" i="2"/>
  <c r="AK350" i="2"/>
  <c r="BH350" i="2"/>
  <c r="U351" i="2"/>
  <c r="AN351" i="2"/>
  <c r="BG351" i="2"/>
  <c r="W352" i="2"/>
  <c r="AP352" i="2"/>
  <c r="C353" i="2"/>
  <c r="V353" i="2"/>
  <c r="AR353" i="2"/>
  <c r="E354" i="2"/>
  <c r="X354" i="2"/>
  <c r="AP354" i="2"/>
  <c r="BH354" i="2"/>
  <c r="S355" i="2"/>
  <c r="AJ355" i="2"/>
  <c r="BB355" i="2"/>
  <c r="M356" i="2"/>
  <c r="AD356" i="2"/>
  <c r="AU356" i="2"/>
  <c r="F357" i="2"/>
  <c r="W357" i="2"/>
  <c r="AN357" i="2"/>
  <c r="BE357" i="2"/>
  <c r="P358" i="2"/>
  <c r="AG358" i="2"/>
  <c r="AX358" i="2"/>
  <c r="I359" i="2"/>
  <c r="Z359" i="2"/>
  <c r="AQ359" i="2"/>
  <c r="BH359" i="2"/>
  <c r="T360" i="2"/>
  <c r="AK360" i="2"/>
  <c r="BB360" i="2"/>
  <c r="M361" i="2"/>
  <c r="AD361" i="2"/>
  <c r="AU361" i="2"/>
  <c r="E362" i="2"/>
  <c r="U362" i="2"/>
  <c r="AK362" i="2"/>
  <c r="BA362" i="2"/>
  <c r="K363" i="2"/>
  <c r="AA363" i="2"/>
  <c r="AQ363" i="2"/>
  <c r="BG363" i="2"/>
  <c r="Q364" i="2"/>
  <c r="AG364" i="2"/>
  <c r="AW364" i="2"/>
  <c r="G365" i="2"/>
  <c r="W365" i="2"/>
  <c r="AM365" i="2"/>
  <c r="BC365" i="2"/>
  <c r="M366" i="2"/>
  <c r="AC366" i="2"/>
  <c r="AS366" i="2"/>
  <c r="C367" i="2"/>
  <c r="S367" i="2"/>
  <c r="AI367" i="2"/>
  <c r="AY367" i="2"/>
  <c r="I368" i="2"/>
  <c r="Y368" i="2"/>
  <c r="AO368" i="2"/>
  <c r="BE368" i="2"/>
  <c r="O369" i="2"/>
  <c r="AE369" i="2"/>
  <c r="AU369" i="2"/>
  <c r="E370" i="2"/>
  <c r="U370" i="2"/>
  <c r="AK370" i="2"/>
  <c r="BA370" i="2"/>
  <c r="K371" i="2"/>
  <c r="AA371" i="2"/>
  <c r="AQ371" i="2"/>
  <c r="BG371" i="2"/>
  <c r="Q372" i="2"/>
  <c r="AG372" i="2"/>
  <c r="AX288" i="2"/>
  <c r="AE305" i="2"/>
  <c r="AN310" i="2"/>
  <c r="H315" i="2"/>
  <c r="BH318" i="2"/>
  <c r="C322" i="2"/>
  <c r="AW323" i="2"/>
  <c r="AA325" i="2"/>
  <c r="BG326" i="2"/>
  <c r="Q328" i="2"/>
  <c r="AE329" i="2"/>
  <c r="AQ330" i="2"/>
  <c r="Y331" i="2"/>
  <c r="R332" i="2"/>
  <c r="I333" i="2"/>
  <c r="AV333" i="2"/>
  <c r="AJ334" i="2"/>
  <c r="V335" i="2"/>
  <c r="BD335" i="2"/>
  <c r="AF336" i="2"/>
  <c r="H337" i="2"/>
  <c r="AY337" i="2"/>
  <c r="Z338" i="2"/>
  <c r="BE338" i="2"/>
  <c r="AC339" i="2"/>
  <c r="AZ339" i="2"/>
  <c r="W340" i="2"/>
  <c r="AY340" i="2"/>
  <c r="O341" i="2"/>
  <c r="AQ341" i="2"/>
  <c r="M342" i="2"/>
  <c r="AH342" i="2"/>
  <c r="BH342" i="2"/>
  <c r="W343" i="2"/>
  <c r="AR343" i="2"/>
  <c r="L344" i="2"/>
  <c r="AG344" i="2"/>
  <c r="BG344" i="2"/>
  <c r="V345" i="2"/>
  <c r="AV345" i="2"/>
  <c r="K346" i="2"/>
  <c r="AK346" i="2"/>
  <c r="BF346" i="2"/>
  <c r="T347" i="2"/>
  <c r="AR347" i="2"/>
  <c r="F348" i="2"/>
  <c r="Z348" i="2"/>
  <c r="AX348" i="2"/>
  <c r="L349" i="2"/>
  <c r="AF349" i="2"/>
  <c r="BD349" i="2"/>
  <c r="R350" i="2"/>
  <c r="AL350" i="2"/>
  <c r="C351" i="2"/>
  <c r="V351" i="2"/>
  <c r="AO351" i="2"/>
  <c r="BH351" i="2"/>
  <c r="X352" i="2"/>
  <c r="AQ352" i="2"/>
  <c r="D353" i="2"/>
  <c r="W353" i="2"/>
  <c r="AS353" i="2"/>
  <c r="F354" i="2"/>
  <c r="Y354" i="2"/>
  <c r="AQ354" i="2"/>
  <c r="C355" i="2"/>
  <c r="T355" i="2"/>
  <c r="AL355" i="2"/>
  <c r="BC355" i="2"/>
  <c r="N356" i="2"/>
  <c r="AE356" i="2"/>
  <c r="AV356" i="2"/>
  <c r="G357" i="2"/>
  <c r="X357" i="2"/>
  <c r="AO357" i="2"/>
  <c r="BF357" i="2"/>
  <c r="Q358" i="2"/>
  <c r="AH358" i="2"/>
  <c r="AY358" i="2"/>
  <c r="J359" i="2"/>
  <c r="AA359" i="2"/>
  <c r="AR359" i="2"/>
  <c r="D360" i="2"/>
  <c r="U360" i="2"/>
  <c r="AL360" i="2"/>
  <c r="BC360" i="2"/>
  <c r="N361" i="2"/>
  <c r="AE361" i="2"/>
  <c r="AV361" i="2"/>
  <c r="F362" i="2"/>
  <c r="V362" i="2"/>
  <c r="AL362" i="2"/>
  <c r="BB362" i="2"/>
  <c r="L363" i="2"/>
  <c r="AB363" i="2"/>
  <c r="AR363" i="2"/>
  <c r="BH363" i="2"/>
  <c r="R364" i="2"/>
  <c r="AH364" i="2"/>
  <c r="AX364" i="2"/>
  <c r="H365" i="2"/>
  <c r="X365" i="2"/>
  <c r="AN365" i="2"/>
  <c r="BD365" i="2"/>
  <c r="N366" i="2"/>
  <c r="AD366" i="2"/>
  <c r="AT366" i="2"/>
  <c r="D367" i="2"/>
  <c r="T367" i="2"/>
  <c r="AJ367" i="2"/>
  <c r="AZ367" i="2"/>
  <c r="J368" i="2"/>
  <c r="Z368" i="2"/>
  <c r="AP368" i="2"/>
  <c r="BF368" i="2"/>
  <c r="P369" i="2"/>
  <c r="AF369" i="2"/>
  <c r="AV369" i="2"/>
  <c r="F370" i="2"/>
  <c r="V370" i="2"/>
  <c r="AL370" i="2"/>
  <c r="BB370" i="2"/>
  <c r="L371" i="2"/>
  <c r="AB371" i="2"/>
  <c r="AR371" i="2"/>
  <c r="BH371" i="2"/>
  <c r="R372" i="2"/>
  <c r="AH372" i="2"/>
  <c r="AX372" i="2"/>
  <c r="R289" i="2"/>
  <c r="AP305" i="2"/>
  <c r="AP310" i="2"/>
  <c r="J315" i="2"/>
  <c r="K319" i="2"/>
  <c r="D322" i="2"/>
  <c r="AX323" i="2"/>
  <c r="AQ325" i="2"/>
  <c r="O327" i="2"/>
  <c r="AE328" i="2"/>
  <c r="AS329" i="2"/>
  <c r="AR330" i="2"/>
  <c r="AK331" i="2"/>
  <c r="S332" i="2"/>
  <c r="K333" i="2"/>
  <c r="BF333" i="2"/>
  <c r="AK334" i="2"/>
  <c r="W335" i="2"/>
  <c r="BE335" i="2"/>
  <c r="AG336" i="2"/>
  <c r="R337" i="2"/>
  <c r="AZ337" i="2"/>
  <c r="AA338" i="2"/>
  <c r="BF338" i="2"/>
  <c r="AD339" i="2"/>
  <c r="BG339" i="2"/>
  <c r="X340" i="2"/>
  <c r="AZ340" i="2"/>
  <c r="P341" i="2"/>
  <c r="AR341" i="2"/>
  <c r="N342" i="2"/>
  <c r="AI342" i="2"/>
  <c r="C343" i="2"/>
  <c r="X343" i="2"/>
  <c r="AX343" i="2"/>
  <c r="M344" i="2"/>
  <c r="AH344" i="2"/>
  <c r="BH344" i="2"/>
  <c r="W345" i="2"/>
  <c r="AW345" i="2"/>
  <c r="L346" i="2"/>
  <c r="AL346" i="2"/>
  <c r="BG346" i="2"/>
  <c r="Y347" i="2"/>
  <c r="AS347" i="2"/>
  <c r="G348" i="2"/>
  <c r="AE348" i="2"/>
  <c r="AY348" i="2"/>
  <c r="M349" i="2"/>
  <c r="AK349" i="2"/>
  <c r="BE349" i="2"/>
  <c r="S350" i="2"/>
  <c r="AQ350" i="2"/>
  <c r="D351" i="2"/>
  <c r="W351" i="2"/>
  <c r="AP351" i="2"/>
  <c r="F352" i="2"/>
  <c r="Y352" i="2"/>
  <c r="AR352" i="2"/>
  <c r="E353" i="2"/>
  <c r="X353" i="2"/>
  <c r="AT353" i="2"/>
  <c r="G354" i="2"/>
  <c r="Z354" i="2"/>
  <c r="AR354" i="2"/>
  <c r="D355" i="2"/>
  <c r="V355" i="2"/>
  <c r="AM355" i="2"/>
  <c r="BD355" i="2"/>
  <c r="O356" i="2"/>
  <c r="AF356" i="2"/>
  <c r="AW356" i="2"/>
  <c r="H357" i="2"/>
  <c r="Y357" i="2"/>
  <c r="AP357" i="2"/>
  <c r="BG357" i="2"/>
  <c r="R358" i="2"/>
  <c r="AI358" i="2"/>
  <c r="AZ358" i="2"/>
  <c r="K359" i="2"/>
  <c r="AB359" i="2"/>
  <c r="AT359" i="2"/>
  <c r="E360" i="2"/>
  <c r="V360" i="2"/>
  <c r="AM360" i="2"/>
  <c r="BD360" i="2"/>
  <c r="O361" i="2"/>
  <c r="AF361" i="2"/>
  <c r="AW361" i="2"/>
  <c r="G362" i="2"/>
  <c r="W362" i="2"/>
  <c r="AM362" i="2"/>
  <c r="BC362" i="2"/>
  <c r="M363" i="2"/>
  <c r="AC363" i="2"/>
  <c r="AS363" i="2"/>
  <c r="C364" i="2"/>
  <c r="S364" i="2"/>
  <c r="AI364" i="2"/>
  <c r="AY364" i="2"/>
  <c r="I365" i="2"/>
  <c r="Y365" i="2"/>
  <c r="AO365" i="2"/>
  <c r="BE365" i="2"/>
  <c r="O366" i="2"/>
  <c r="AE366" i="2"/>
  <c r="AU366" i="2"/>
  <c r="E367" i="2"/>
  <c r="U367" i="2"/>
  <c r="AK367" i="2"/>
  <c r="BA367" i="2"/>
  <c r="K368" i="2"/>
  <c r="AA368" i="2"/>
  <c r="AQ368" i="2"/>
  <c r="BG368" i="2"/>
  <c r="Q369" i="2"/>
  <c r="AG369" i="2"/>
  <c r="AW369" i="2"/>
  <c r="G370" i="2"/>
  <c r="W370" i="2"/>
  <c r="AM370" i="2"/>
  <c r="BC370" i="2"/>
  <c r="AZ291" i="2"/>
  <c r="P306" i="2"/>
  <c r="P311" i="2"/>
  <c r="AL315" i="2"/>
  <c r="AF319" i="2"/>
  <c r="E322" i="2"/>
  <c r="I324" i="2"/>
  <c r="AR325" i="2"/>
  <c r="Q327" i="2"/>
  <c r="AG328" i="2"/>
  <c r="AU329" i="2"/>
  <c r="AS330" i="2"/>
  <c r="AM331" i="2"/>
  <c r="U332" i="2"/>
  <c r="L333" i="2"/>
  <c r="BH333" i="2"/>
  <c r="AL334" i="2"/>
  <c r="X335" i="2"/>
  <c r="BF335" i="2"/>
  <c r="AH336" i="2"/>
  <c r="S337" i="2"/>
  <c r="BA337" i="2"/>
  <c r="AB338" i="2"/>
  <c r="BG338" i="2"/>
  <c r="AE339" i="2"/>
  <c r="C340" i="2"/>
  <c r="Y340" i="2"/>
  <c r="BA340" i="2"/>
  <c r="W341" i="2"/>
  <c r="AS341" i="2"/>
  <c r="O342" i="2"/>
  <c r="AJ342" i="2"/>
  <c r="D343" i="2"/>
  <c r="Y343" i="2"/>
  <c r="AY343" i="2"/>
  <c r="N344" i="2"/>
  <c r="AN344" i="2"/>
  <c r="C345" i="2"/>
  <c r="X345" i="2"/>
  <c r="AX345" i="2"/>
  <c r="M346" i="2"/>
  <c r="AM346" i="2"/>
  <c r="BH346" i="2"/>
  <c r="Z347" i="2"/>
  <c r="AT347" i="2"/>
  <c r="H348" i="2"/>
  <c r="AF348" i="2"/>
  <c r="AZ348" i="2"/>
  <c r="N349" i="2"/>
  <c r="AL349" i="2"/>
  <c r="BF349" i="2"/>
  <c r="T350" i="2"/>
  <c r="AR350" i="2"/>
  <c r="E351" i="2"/>
  <c r="X351" i="2"/>
  <c r="AQ351" i="2"/>
  <c r="G352" i="2"/>
  <c r="Z352" i="2"/>
  <c r="AS352" i="2"/>
  <c r="F353" i="2"/>
  <c r="AB353" i="2"/>
  <c r="AU353" i="2"/>
  <c r="H354" i="2"/>
  <c r="AA354" i="2"/>
  <c r="AS354" i="2"/>
  <c r="F355" i="2"/>
  <c r="W355" i="2"/>
  <c r="AN355" i="2"/>
  <c r="BE355" i="2"/>
  <c r="P356" i="2"/>
  <c r="AG356" i="2"/>
  <c r="AX356" i="2"/>
  <c r="I357" i="2"/>
  <c r="Z357" i="2"/>
  <c r="AQ357" i="2"/>
  <c r="BH357" i="2"/>
  <c r="S358" i="2"/>
  <c r="AJ358" i="2"/>
  <c r="BA358" i="2"/>
  <c r="L359" i="2"/>
  <c r="AD359" i="2"/>
  <c r="AU359" i="2"/>
  <c r="F360" i="2"/>
  <c r="W360" i="2"/>
  <c r="AN360" i="2"/>
  <c r="BE360" i="2"/>
  <c r="P361" i="2"/>
  <c r="AG361" i="2"/>
  <c r="AX361" i="2"/>
  <c r="H362" i="2"/>
  <c r="X362" i="2"/>
  <c r="AN362" i="2"/>
  <c r="BD362" i="2"/>
  <c r="N363" i="2"/>
  <c r="AD363" i="2"/>
  <c r="AT363" i="2"/>
  <c r="D364" i="2"/>
  <c r="T364" i="2"/>
  <c r="AJ364" i="2"/>
  <c r="AZ364" i="2"/>
  <c r="J365" i="2"/>
  <c r="Z365" i="2"/>
  <c r="L295" i="2"/>
  <c r="AZ306" i="2"/>
  <c r="AX311" i="2"/>
  <c r="L316" i="2"/>
  <c r="F320" i="2"/>
  <c r="AC322" i="2"/>
  <c r="AA324" i="2"/>
  <c r="D326" i="2"/>
  <c r="AG327" i="2"/>
  <c r="AW328" i="2"/>
  <c r="E330" i="2"/>
  <c r="BG330" i="2"/>
  <c r="AP331" i="2"/>
  <c r="AH332" i="2"/>
  <c r="X333" i="2"/>
  <c r="E334" i="2"/>
  <c r="AY334" i="2"/>
  <c r="AA335" i="2"/>
  <c r="L336" i="2"/>
  <c r="AT336" i="2"/>
  <c r="V337" i="2"/>
  <c r="BD337" i="2"/>
  <c r="AM338" i="2"/>
  <c r="D339" i="2"/>
  <c r="AH339" i="2"/>
  <c r="F340" i="2"/>
  <c r="AH340" i="2"/>
  <c r="BD340" i="2"/>
  <c r="Z341" i="2"/>
  <c r="AV341" i="2"/>
  <c r="R342" i="2"/>
  <c r="AR342" i="2"/>
  <c r="G343" i="2"/>
  <c r="AB343" i="2"/>
  <c r="BB343" i="2"/>
  <c r="Q344" i="2"/>
  <c r="AQ344" i="2"/>
  <c r="F345" i="2"/>
  <c r="AF345" i="2"/>
  <c r="BA345" i="2"/>
  <c r="U346" i="2"/>
  <c r="AP346" i="2"/>
  <c r="I347" i="2"/>
  <c r="AC347" i="2"/>
  <c r="AW347" i="2"/>
  <c r="O348" i="2"/>
  <c r="AI348" i="2"/>
  <c r="BC348" i="2"/>
  <c r="U349" i="2"/>
  <c r="AO349" i="2"/>
  <c r="C350" i="2"/>
  <c r="AA350" i="2"/>
  <c r="AU350" i="2"/>
  <c r="H351" i="2"/>
  <c r="AA351" i="2"/>
  <c r="AW351" i="2"/>
  <c r="J352" i="2"/>
  <c r="AC352" i="2"/>
  <c r="AV352" i="2"/>
  <c r="L353" i="2"/>
  <c r="AE353" i="2"/>
  <c r="AX353" i="2"/>
  <c r="K354" i="2"/>
  <c r="AD354" i="2"/>
  <c r="AX354" i="2"/>
  <c r="I355" i="2"/>
  <c r="Z355" i="2"/>
  <c r="AQ355" i="2"/>
  <c r="BH355" i="2"/>
  <c r="S356" i="2"/>
  <c r="AJ356" i="2"/>
  <c r="BA356" i="2"/>
  <c r="L357" i="2"/>
  <c r="AC357" i="2"/>
  <c r="AT357" i="2"/>
  <c r="E358" i="2"/>
  <c r="V358" i="2"/>
  <c r="AN358" i="2"/>
  <c r="BE358" i="2"/>
  <c r="P359" i="2"/>
  <c r="AG359" i="2"/>
  <c r="AX359" i="2"/>
  <c r="I360" i="2"/>
  <c r="Z360" i="2"/>
  <c r="AQ360" i="2"/>
  <c r="V266" i="2"/>
  <c r="AN315" i="2"/>
  <c r="K324" i="2"/>
  <c r="AY328" i="2"/>
  <c r="BC331" i="2"/>
  <c r="S334" i="2"/>
  <c r="AR336" i="2"/>
  <c r="AD338" i="2"/>
  <c r="G340" i="2"/>
  <c r="AB341" i="2"/>
  <c r="AV342" i="2"/>
  <c r="O344" i="2"/>
  <c r="AE345" i="2"/>
  <c r="AQ346" i="2"/>
  <c r="AY347" i="2"/>
  <c r="E349" i="2"/>
  <c r="U350" i="2"/>
  <c r="Z351" i="2"/>
  <c r="AD352" i="2"/>
  <c r="AG353" i="2"/>
  <c r="AJ354" i="2"/>
  <c r="AO355" i="2"/>
  <c r="AI356" i="2"/>
  <c r="AD357" i="2"/>
  <c r="Y358" i="2"/>
  <c r="T359" i="2"/>
  <c r="X360" i="2"/>
  <c r="Q361" i="2"/>
  <c r="BC361" i="2"/>
  <c r="AQ362" i="2"/>
  <c r="AE363" i="2"/>
  <c r="I364" i="2"/>
  <c r="BC364" i="2"/>
  <c r="AP365" i="2"/>
  <c r="R366" i="2"/>
  <c r="AZ366" i="2"/>
  <c r="AC367" i="2"/>
  <c r="M368" i="2"/>
  <c r="AU368" i="2"/>
  <c r="W369" i="2"/>
  <c r="H370" i="2"/>
  <c r="AP370" i="2"/>
  <c r="Q371" i="2"/>
  <c r="AW371" i="2"/>
  <c r="W372" i="2"/>
  <c r="AZ372" i="2"/>
  <c r="O373" i="2"/>
  <c r="AO373" i="2"/>
  <c r="D374" i="2"/>
  <c r="AD374" i="2"/>
  <c r="AY374" i="2"/>
  <c r="S375" i="2"/>
  <c r="AN375" i="2"/>
  <c r="H376" i="2"/>
  <c r="AC376" i="2"/>
  <c r="AY376" i="2"/>
  <c r="R377" i="2"/>
  <c r="AM377" i="2"/>
  <c r="G378" i="2"/>
  <c r="AA378" i="2"/>
  <c r="AX378" i="2"/>
  <c r="M379" i="2"/>
  <c r="AG379" i="2"/>
  <c r="BD379" i="2"/>
  <c r="S380" i="2"/>
  <c r="AL380" i="2"/>
  <c r="BE380" i="2"/>
  <c r="T381" i="2"/>
  <c r="AN381" i="2"/>
  <c r="BG381" i="2"/>
  <c r="T382" i="2"/>
  <c r="AO382" i="2"/>
  <c r="C383" i="2"/>
  <c r="V383" i="2"/>
  <c r="AO383" i="2"/>
  <c r="C384" i="2"/>
  <c r="W384" i="2"/>
  <c r="AO384" i="2"/>
  <c r="BG384" i="2"/>
  <c r="S385" i="2"/>
  <c r="AK385" i="2"/>
  <c r="BC385" i="2"/>
  <c r="Q386" i="2"/>
  <c r="AI386" i="2"/>
  <c r="BA386" i="2"/>
  <c r="M387" i="2"/>
  <c r="AE387" i="2"/>
  <c r="AW387" i="2"/>
  <c r="I388" i="2"/>
  <c r="AC388" i="2"/>
  <c r="AU388" i="2"/>
  <c r="G389" i="2"/>
  <c r="Y389" i="2"/>
  <c r="AQ389" i="2"/>
  <c r="C390" i="2"/>
  <c r="U390" i="2"/>
  <c r="AO390" i="2"/>
  <c r="BG390" i="2"/>
  <c r="S391" i="2"/>
  <c r="AK391" i="2"/>
  <c r="BB391" i="2"/>
  <c r="M392" i="2"/>
  <c r="AC392" i="2"/>
  <c r="AS392" i="2"/>
  <c r="C393" i="2"/>
  <c r="S393" i="2"/>
  <c r="AI393" i="2"/>
  <c r="AY393" i="2"/>
  <c r="I394" i="2"/>
  <c r="Y394" i="2"/>
  <c r="AO394" i="2"/>
  <c r="BE394" i="2"/>
  <c r="O395" i="2"/>
  <c r="AE395" i="2"/>
  <c r="AU395" i="2"/>
  <c r="E396" i="2"/>
  <c r="U396" i="2"/>
  <c r="AK396" i="2"/>
  <c r="BA396" i="2"/>
  <c r="K397" i="2"/>
  <c r="AA397" i="2"/>
  <c r="AQ397" i="2"/>
  <c r="BG397" i="2"/>
  <c r="Q398" i="2"/>
  <c r="AG398" i="2"/>
  <c r="AW398" i="2"/>
  <c r="G399" i="2"/>
  <c r="W399" i="2"/>
  <c r="AM399" i="2"/>
  <c r="BC399" i="2"/>
  <c r="M400" i="2"/>
  <c r="AC400" i="2"/>
  <c r="AS400" i="2"/>
  <c r="C401" i="2"/>
  <c r="S401" i="2"/>
  <c r="AI401" i="2"/>
  <c r="AY401" i="2"/>
  <c r="I402" i="2"/>
  <c r="Y402" i="2"/>
  <c r="AO402" i="2"/>
  <c r="BE402" i="2"/>
  <c r="O403" i="2"/>
  <c r="AE403" i="2"/>
  <c r="AU403" i="2"/>
  <c r="E404" i="2"/>
  <c r="U404" i="2"/>
  <c r="AK404" i="2"/>
  <c r="BA404" i="2"/>
  <c r="K405" i="2"/>
  <c r="AA405" i="2"/>
  <c r="AQ405" i="2"/>
  <c r="BG405" i="2"/>
  <c r="Q406" i="2"/>
  <c r="AG406" i="2"/>
  <c r="AW406" i="2"/>
  <c r="G407" i="2"/>
  <c r="W407" i="2"/>
  <c r="AM407" i="2"/>
  <c r="BC407" i="2"/>
  <c r="M408" i="2"/>
  <c r="AC408" i="2"/>
  <c r="AS408" i="2"/>
  <c r="C409" i="2"/>
  <c r="R292" i="2"/>
  <c r="J316" i="2"/>
  <c r="AB324" i="2"/>
  <c r="AZ328" i="2"/>
  <c r="BF331" i="2"/>
  <c r="AV334" i="2"/>
  <c r="AS336" i="2"/>
  <c r="AN338" i="2"/>
  <c r="H340" i="2"/>
  <c r="AD341" i="2"/>
  <c r="E343" i="2"/>
  <c r="P344" i="2"/>
  <c r="AG345" i="2"/>
  <c r="AR346" i="2"/>
  <c r="BE347" i="2"/>
  <c r="O349" i="2"/>
  <c r="V350" i="2"/>
  <c r="AB351" i="2"/>
  <c r="AE352" i="2"/>
  <c r="AI353" i="2"/>
  <c r="AT354" i="2"/>
  <c r="AP355" i="2"/>
  <c r="AK356" i="2"/>
  <c r="AE357" i="2"/>
  <c r="AA358" i="2"/>
  <c r="AE359" i="2"/>
  <c r="Y360" i="2"/>
  <c r="R361" i="2"/>
  <c r="BE361" i="2"/>
  <c r="AR362" i="2"/>
  <c r="AF363" i="2"/>
  <c r="K364" i="2"/>
  <c r="BD364" i="2"/>
  <c r="AQ365" i="2"/>
  <c r="S366" i="2"/>
  <c r="BA366" i="2"/>
  <c r="AL367" i="2"/>
  <c r="N368" i="2"/>
  <c r="AV368" i="2"/>
  <c r="Y369" i="2"/>
  <c r="I370" i="2"/>
  <c r="AQ370" i="2"/>
  <c r="R371" i="2"/>
  <c r="AX371" i="2"/>
  <c r="X372" i="2"/>
  <c r="BA372" i="2"/>
  <c r="Q373" i="2"/>
  <c r="AP373" i="2"/>
  <c r="E374" i="2"/>
  <c r="AE374" i="2"/>
  <c r="AZ374" i="2"/>
  <c r="T375" i="2"/>
  <c r="AO375" i="2"/>
  <c r="I376" i="2"/>
  <c r="AD376" i="2"/>
  <c r="BD376" i="2"/>
  <c r="S377" i="2"/>
  <c r="AO377" i="2"/>
  <c r="H378" i="2"/>
  <c r="AB378" i="2"/>
  <c r="AZ378" i="2"/>
  <c r="N379" i="2"/>
  <c r="AH379" i="2"/>
  <c r="BF379" i="2"/>
  <c r="T380" i="2"/>
  <c r="AM380" i="2"/>
  <c r="BG380" i="2"/>
  <c r="V381" i="2"/>
  <c r="AO381" i="2"/>
  <c r="BH381" i="2"/>
  <c r="U382" i="2"/>
  <c r="AP382" i="2"/>
  <c r="D383" i="2"/>
  <c r="W383" i="2"/>
  <c r="AP383" i="2"/>
  <c r="E384" i="2"/>
  <c r="X384" i="2"/>
  <c r="AP384" i="2"/>
  <c r="BH384" i="2"/>
  <c r="T385" i="2"/>
  <c r="AL385" i="2"/>
  <c r="BE385" i="2"/>
  <c r="R386" i="2"/>
  <c r="AJ386" i="2"/>
  <c r="BB386" i="2"/>
  <c r="N387" i="2"/>
  <c r="AF387" i="2"/>
  <c r="AX387" i="2"/>
  <c r="K388" i="2"/>
  <c r="AD388" i="2"/>
  <c r="AV388" i="2"/>
  <c r="H389" i="2"/>
  <c r="Z389" i="2"/>
  <c r="AR389" i="2"/>
  <c r="D390" i="2"/>
  <c r="W390" i="2"/>
  <c r="AP390" i="2"/>
  <c r="BH390" i="2"/>
  <c r="T391" i="2"/>
  <c r="AL391" i="2"/>
  <c r="BC391" i="2"/>
  <c r="N392" i="2"/>
  <c r="AD392" i="2"/>
  <c r="AT392" i="2"/>
  <c r="D393" i="2"/>
  <c r="T393" i="2"/>
  <c r="AJ393" i="2"/>
  <c r="AZ393" i="2"/>
  <c r="J394" i="2"/>
  <c r="Z394" i="2"/>
  <c r="AP394" i="2"/>
  <c r="BF394" i="2"/>
  <c r="P395" i="2"/>
  <c r="AF395" i="2"/>
  <c r="AV395" i="2"/>
  <c r="F396" i="2"/>
  <c r="V396" i="2"/>
  <c r="AL396" i="2"/>
  <c r="BB396" i="2"/>
  <c r="L397" i="2"/>
  <c r="AB397" i="2"/>
  <c r="AR397" i="2"/>
  <c r="BH397" i="2"/>
  <c r="R398" i="2"/>
  <c r="AH398" i="2"/>
  <c r="AX398" i="2"/>
  <c r="H399" i="2"/>
  <c r="X399" i="2"/>
  <c r="AN399" i="2"/>
  <c r="BD399" i="2"/>
  <c r="N400" i="2"/>
  <c r="AD400" i="2"/>
  <c r="AT400" i="2"/>
  <c r="D401" i="2"/>
  <c r="T401" i="2"/>
  <c r="AJ401" i="2"/>
  <c r="AZ401" i="2"/>
  <c r="J402" i="2"/>
  <c r="Z402" i="2"/>
  <c r="AP402" i="2"/>
  <c r="BF402" i="2"/>
  <c r="P403" i="2"/>
  <c r="AF403" i="2"/>
  <c r="AV403" i="2"/>
  <c r="F404" i="2"/>
  <c r="V404" i="2"/>
  <c r="AL404" i="2"/>
  <c r="BB404" i="2"/>
  <c r="L405" i="2"/>
  <c r="AB405" i="2"/>
  <c r="AR405" i="2"/>
  <c r="BH405" i="2"/>
  <c r="R406" i="2"/>
  <c r="AH406" i="2"/>
  <c r="AX406" i="2"/>
  <c r="H407" i="2"/>
  <c r="X407" i="2"/>
  <c r="AN407" i="2"/>
  <c r="BD407" i="2"/>
  <c r="N408" i="2"/>
  <c r="AD408" i="2"/>
  <c r="AT408" i="2"/>
  <c r="D409" i="2"/>
  <c r="T409" i="2"/>
  <c r="AJ409" i="2"/>
  <c r="AZ409" i="2"/>
  <c r="J410" i="2"/>
  <c r="Z410" i="2"/>
  <c r="AP410" i="2"/>
  <c r="BF410" i="2"/>
  <c r="P411" i="2"/>
  <c r="AT297" i="2"/>
  <c r="AP316" i="2"/>
  <c r="AT324" i="2"/>
  <c r="AW329" i="2"/>
  <c r="AG332" i="2"/>
  <c r="AZ334" i="2"/>
  <c r="AV336" i="2"/>
  <c r="AQ338" i="2"/>
  <c r="Z340" i="2"/>
  <c r="AU341" i="2"/>
  <c r="H343" i="2"/>
  <c r="X344" i="2"/>
  <c r="AJ345" i="2"/>
  <c r="C347" i="2"/>
  <c r="J348" i="2"/>
  <c r="V349" i="2"/>
  <c r="AC350" i="2"/>
  <c r="AH351" i="2"/>
  <c r="AT352" i="2"/>
  <c r="AW353" i="2"/>
  <c r="AY354" i="2"/>
  <c r="AS355" i="2"/>
  <c r="AN356" i="2"/>
  <c r="AR357" i="2"/>
  <c r="AL358" i="2"/>
  <c r="AH359" i="2"/>
  <c r="AB360" i="2"/>
  <c r="T361" i="2"/>
  <c r="J362" i="2"/>
  <c r="AU362" i="2"/>
  <c r="AH363" i="2"/>
  <c r="V364" i="2"/>
  <c r="BG364" i="2"/>
  <c r="AS365" i="2"/>
  <c r="U366" i="2"/>
  <c r="F367" i="2"/>
  <c r="AN367" i="2"/>
  <c r="P368" i="2"/>
  <c r="AY368" i="2"/>
  <c r="AI369" i="2"/>
  <c r="K370" i="2"/>
  <c r="AS370" i="2"/>
  <c r="U371" i="2"/>
  <c r="BA371" i="2"/>
  <c r="AA372" i="2"/>
  <c r="BC372" i="2"/>
  <c r="W373" i="2"/>
  <c r="AR373" i="2"/>
  <c r="L374" i="2"/>
  <c r="AG374" i="2"/>
  <c r="BC374" i="2"/>
  <c r="V375" i="2"/>
  <c r="AQ375" i="2"/>
  <c r="K376" i="2"/>
  <c r="AF376" i="2"/>
  <c r="BF376" i="2"/>
  <c r="U377" i="2"/>
  <c r="AU377" i="2"/>
  <c r="J378" i="2"/>
  <c r="AE378" i="2"/>
  <c r="BB378" i="2"/>
  <c r="P379" i="2"/>
  <c r="AK379" i="2"/>
  <c r="BH379" i="2"/>
  <c r="V380" i="2"/>
  <c r="AO380" i="2"/>
  <c r="D381" i="2"/>
  <c r="X381" i="2"/>
  <c r="AQ381" i="2"/>
  <c r="D382" i="2"/>
  <c r="Y382" i="2"/>
  <c r="AS382" i="2"/>
  <c r="F383" i="2"/>
  <c r="Y383" i="2"/>
  <c r="AS383" i="2"/>
  <c r="H384" i="2"/>
  <c r="Z384" i="2"/>
  <c r="AR384" i="2"/>
  <c r="D385" i="2"/>
  <c r="V385" i="2"/>
  <c r="AO385" i="2"/>
  <c r="BH385" i="2"/>
  <c r="T386" i="2"/>
  <c r="AL386" i="2"/>
  <c r="BD386" i="2"/>
  <c r="P387" i="2"/>
  <c r="AH387" i="2"/>
  <c r="BA387" i="2"/>
  <c r="N388" i="2"/>
  <c r="AF388" i="2"/>
  <c r="AX388" i="2"/>
  <c r="J389" i="2"/>
  <c r="AB389" i="2"/>
  <c r="AT389" i="2"/>
  <c r="G390" i="2"/>
  <c r="Z390" i="2"/>
  <c r="AR390" i="2"/>
  <c r="D391" i="2"/>
  <c r="V391" i="2"/>
  <c r="AN391" i="2"/>
  <c r="BE391" i="2"/>
  <c r="P392" i="2"/>
  <c r="AF392" i="2"/>
  <c r="AV392" i="2"/>
  <c r="F393" i="2"/>
  <c r="V393" i="2"/>
  <c r="AL393" i="2"/>
  <c r="BB393" i="2"/>
  <c r="L394" i="2"/>
  <c r="AB394" i="2"/>
  <c r="AR394" i="2"/>
  <c r="BH394" i="2"/>
  <c r="R395" i="2"/>
  <c r="AH395" i="2"/>
  <c r="AX395" i="2"/>
  <c r="H396" i="2"/>
  <c r="X396" i="2"/>
  <c r="AN396" i="2"/>
  <c r="BD396" i="2"/>
  <c r="N397" i="2"/>
  <c r="AD397" i="2"/>
  <c r="AT397" i="2"/>
  <c r="D398" i="2"/>
  <c r="T398" i="2"/>
  <c r="AJ398" i="2"/>
  <c r="AZ398" i="2"/>
  <c r="J399" i="2"/>
  <c r="Z399" i="2"/>
  <c r="AP399" i="2"/>
  <c r="BF399" i="2"/>
  <c r="P400" i="2"/>
  <c r="AF400" i="2"/>
  <c r="AV400" i="2"/>
  <c r="F401" i="2"/>
  <c r="V401" i="2"/>
  <c r="AL401" i="2"/>
  <c r="BB401" i="2"/>
  <c r="L402" i="2"/>
  <c r="AB402" i="2"/>
  <c r="AR402" i="2"/>
  <c r="BH402" i="2"/>
  <c r="R403" i="2"/>
  <c r="AH403" i="2"/>
  <c r="AX403" i="2"/>
  <c r="H404" i="2"/>
  <c r="X404" i="2"/>
  <c r="AN404" i="2"/>
  <c r="BD404" i="2"/>
  <c r="N405" i="2"/>
  <c r="AD405" i="2"/>
  <c r="AT405" i="2"/>
  <c r="D406" i="2"/>
  <c r="T406" i="2"/>
  <c r="AJ406" i="2"/>
  <c r="AZ406" i="2"/>
  <c r="J407" i="2"/>
  <c r="Z407" i="2"/>
  <c r="AP407" i="2"/>
  <c r="BF407" i="2"/>
  <c r="P408" i="2"/>
  <c r="AF408" i="2"/>
  <c r="AV408" i="2"/>
  <c r="F409" i="2"/>
  <c r="V409" i="2"/>
  <c r="AL409" i="2"/>
  <c r="BB409" i="2"/>
  <c r="L410" i="2"/>
  <c r="AB410" i="2"/>
  <c r="AR410" i="2"/>
  <c r="BH410" i="2"/>
  <c r="AJ300" i="2"/>
  <c r="AH319" i="2"/>
  <c r="C326" i="2"/>
  <c r="G330" i="2"/>
  <c r="AK332" i="2"/>
  <c r="F335" i="2"/>
  <c r="T337" i="2"/>
  <c r="C339" i="2"/>
  <c r="AI340" i="2"/>
  <c r="BD341" i="2"/>
  <c r="K343" i="2"/>
  <c r="AO344" i="2"/>
  <c r="AZ345" i="2"/>
  <c r="J347" i="2"/>
  <c r="Q348" i="2"/>
  <c r="Y349" i="2"/>
  <c r="AS350" i="2"/>
  <c r="AV351" i="2"/>
  <c r="AW352" i="2"/>
  <c r="AZ353" i="2"/>
  <c r="BB354" i="2"/>
  <c r="BF355" i="2"/>
  <c r="AZ356" i="2"/>
  <c r="AU357" i="2"/>
  <c r="AP358" i="2"/>
  <c r="AK359" i="2"/>
  <c r="AO360" i="2"/>
  <c r="W361" i="2"/>
  <c r="L362" i="2"/>
  <c r="BF362" i="2"/>
  <c r="AK363" i="2"/>
  <c r="X364" i="2"/>
  <c r="L365" i="2"/>
  <c r="AU365" i="2"/>
  <c r="AF366" i="2"/>
  <c r="H367" i="2"/>
  <c r="AP367" i="2"/>
  <c r="S368" i="2"/>
  <c r="C369" i="2"/>
  <c r="AK369" i="2"/>
  <c r="M370" i="2"/>
  <c r="BD370" i="2"/>
  <c r="AD371" i="2"/>
  <c r="D372" i="2"/>
  <c r="AI372" i="2"/>
  <c r="BE372" i="2"/>
  <c r="Y373" i="2"/>
  <c r="AT373" i="2"/>
  <c r="N374" i="2"/>
  <c r="AI374" i="2"/>
  <c r="C375" i="2"/>
  <c r="X375" i="2"/>
  <c r="AX375" i="2"/>
  <c r="M376" i="2"/>
  <c r="AI376" i="2"/>
  <c r="BH376" i="2"/>
  <c r="W377" i="2"/>
  <c r="AW377" i="2"/>
  <c r="L378" i="2"/>
  <c r="AJ378" i="2"/>
  <c r="BD378" i="2"/>
  <c r="R379" i="2"/>
  <c r="AP379" i="2"/>
  <c r="D380" i="2"/>
  <c r="X380" i="2"/>
  <c r="AS380" i="2"/>
  <c r="G381" i="2"/>
  <c r="Z381" i="2"/>
  <c r="AS381" i="2"/>
  <c r="G382" i="2"/>
  <c r="AB382" i="2"/>
  <c r="AU382" i="2"/>
  <c r="H383" i="2"/>
  <c r="AA383" i="2"/>
  <c r="AV383" i="2"/>
  <c r="J384" i="2"/>
  <c r="AB384" i="2"/>
  <c r="AT384" i="2"/>
  <c r="F385" i="2"/>
  <c r="Y385" i="2"/>
  <c r="AR385" i="2"/>
  <c r="D386" i="2"/>
  <c r="V386" i="2"/>
  <c r="AN386" i="2"/>
  <c r="BF386" i="2"/>
  <c r="R387" i="2"/>
  <c r="AK387" i="2"/>
  <c r="BD387" i="2"/>
  <c r="P388" i="2"/>
  <c r="AH388" i="2"/>
  <c r="AZ388" i="2"/>
  <c r="L389" i="2"/>
  <c r="AD389" i="2"/>
  <c r="AW389" i="2"/>
  <c r="J390" i="2"/>
  <c r="AB390" i="2"/>
  <c r="AT390" i="2"/>
  <c r="F391" i="2"/>
  <c r="X391" i="2"/>
  <c r="AP391" i="2"/>
  <c r="BG391" i="2"/>
  <c r="R392" i="2"/>
  <c r="AH392" i="2"/>
  <c r="AX392" i="2"/>
  <c r="H393" i="2"/>
  <c r="X393" i="2"/>
  <c r="AN393" i="2"/>
  <c r="BD393" i="2"/>
  <c r="N394" i="2"/>
  <c r="AD394" i="2"/>
  <c r="AT394" i="2"/>
  <c r="D395" i="2"/>
  <c r="T395" i="2"/>
  <c r="AJ395" i="2"/>
  <c r="AZ395" i="2"/>
  <c r="J396" i="2"/>
  <c r="Z396" i="2"/>
  <c r="AP396" i="2"/>
  <c r="BF396" i="2"/>
  <c r="P397" i="2"/>
  <c r="AF397" i="2"/>
  <c r="AV397" i="2"/>
  <c r="F398" i="2"/>
  <c r="V398" i="2"/>
  <c r="AL398" i="2"/>
  <c r="BB398" i="2"/>
  <c r="L399" i="2"/>
  <c r="AB399" i="2"/>
  <c r="AR399" i="2"/>
  <c r="BH399" i="2"/>
  <c r="R400" i="2"/>
  <c r="AH400" i="2"/>
  <c r="AX400" i="2"/>
  <c r="H401" i="2"/>
  <c r="X401" i="2"/>
  <c r="AN401" i="2"/>
  <c r="BD401" i="2"/>
  <c r="N402" i="2"/>
  <c r="AD402" i="2"/>
  <c r="AT402" i="2"/>
  <c r="D403" i="2"/>
  <c r="R306" i="2"/>
  <c r="D320" i="2"/>
  <c r="E326" i="2"/>
  <c r="I330" i="2"/>
  <c r="AV332" i="2"/>
  <c r="Y335" i="2"/>
  <c r="U337" i="2"/>
  <c r="K339" i="2"/>
  <c r="AJ340" i="2"/>
  <c r="BF341" i="2"/>
  <c r="Z343" i="2"/>
  <c r="AP344" i="2"/>
  <c r="BB345" i="2"/>
  <c r="K347" i="2"/>
  <c r="S348" i="2"/>
  <c r="AM349" i="2"/>
  <c r="AT350" i="2"/>
  <c r="AX351" i="2"/>
  <c r="AX352" i="2"/>
  <c r="BB353" i="2"/>
  <c r="G355" i="2"/>
  <c r="BG355" i="2"/>
  <c r="BB356" i="2"/>
  <c r="AV357" i="2"/>
  <c r="AR358" i="2"/>
  <c r="AV359" i="2"/>
  <c r="AP360" i="2"/>
  <c r="AH361" i="2"/>
  <c r="M362" i="2"/>
  <c r="BG362" i="2"/>
  <c r="AU363" i="2"/>
  <c r="Y364" i="2"/>
  <c r="M365" i="2"/>
  <c r="AW365" i="2"/>
  <c r="AG366" i="2"/>
  <c r="I367" i="2"/>
  <c r="AQ367" i="2"/>
  <c r="AB368" i="2"/>
  <c r="D369" i="2"/>
  <c r="AL369" i="2"/>
  <c r="O370" i="2"/>
  <c r="BE370" i="2"/>
  <c r="AE371" i="2"/>
  <c r="E372" i="2"/>
  <c r="AJ372" i="2"/>
  <c r="BG372" i="2"/>
  <c r="Z373" i="2"/>
  <c r="AU373" i="2"/>
  <c r="O374" i="2"/>
  <c r="AJ374" i="2"/>
  <c r="D375" i="2"/>
  <c r="Y375" i="2"/>
  <c r="AY375" i="2"/>
  <c r="N376" i="2"/>
  <c r="AN376" i="2"/>
  <c r="C377" i="2"/>
  <c r="Y377" i="2"/>
  <c r="AX377" i="2"/>
  <c r="M378" i="2"/>
  <c r="AK378" i="2"/>
  <c r="BE378" i="2"/>
  <c r="S379" i="2"/>
  <c r="AQ379" i="2"/>
  <c r="E380" i="2"/>
  <c r="Y380" i="2"/>
  <c r="AT380" i="2"/>
  <c r="H381" i="2"/>
  <c r="AA381" i="2"/>
  <c r="AT381" i="2"/>
  <c r="I382" i="2"/>
  <c r="AC382" i="2"/>
  <c r="AV382" i="2"/>
  <c r="I383" i="2"/>
  <c r="AC383" i="2"/>
  <c r="AX383" i="2"/>
  <c r="K384" i="2"/>
  <c r="AC384" i="2"/>
  <c r="AU384" i="2"/>
  <c r="G385" i="2"/>
  <c r="AA385" i="2"/>
  <c r="AS385" i="2"/>
  <c r="E386" i="2"/>
  <c r="W386" i="2"/>
  <c r="AO386" i="2"/>
  <c r="BG386" i="2"/>
  <c r="S387" i="2"/>
  <c r="AM387" i="2"/>
  <c r="BE387" i="2"/>
  <c r="Q388" i="2"/>
  <c r="AI388" i="2"/>
  <c r="BA388" i="2"/>
  <c r="M389" i="2"/>
  <c r="AE389" i="2"/>
  <c r="AY389" i="2"/>
  <c r="K390" i="2"/>
  <c r="AC390" i="2"/>
  <c r="AU390" i="2"/>
  <c r="G391" i="2"/>
  <c r="Y391" i="2"/>
  <c r="AQ391" i="2"/>
  <c r="BH391" i="2"/>
  <c r="S392" i="2"/>
  <c r="AI392" i="2"/>
  <c r="AY392" i="2"/>
  <c r="I393" i="2"/>
  <c r="Y393" i="2"/>
  <c r="AO393" i="2"/>
  <c r="BE393" i="2"/>
  <c r="O394" i="2"/>
  <c r="AE394" i="2"/>
  <c r="AU394" i="2"/>
  <c r="E395" i="2"/>
  <c r="U395" i="2"/>
  <c r="AK395" i="2"/>
  <c r="BA395" i="2"/>
  <c r="K396" i="2"/>
  <c r="AA396" i="2"/>
  <c r="AQ396" i="2"/>
  <c r="BG396" i="2"/>
  <c r="Q397" i="2"/>
  <c r="AG397" i="2"/>
  <c r="AW397" i="2"/>
  <c r="G398" i="2"/>
  <c r="W398" i="2"/>
  <c r="AM398" i="2"/>
  <c r="BC398" i="2"/>
  <c r="M399" i="2"/>
  <c r="AC399" i="2"/>
  <c r="AS399" i="2"/>
  <c r="C400" i="2"/>
  <c r="S400" i="2"/>
  <c r="AI400" i="2"/>
  <c r="AY400" i="2"/>
  <c r="I401" i="2"/>
  <c r="AX306" i="2"/>
  <c r="AA320" i="2"/>
  <c r="U326" i="2"/>
  <c r="K330" i="2"/>
  <c r="M333" i="2"/>
  <c r="Z335" i="2"/>
  <c r="W337" i="2"/>
  <c r="M339" i="2"/>
  <c r="AL340" i="2"/>
  <c r="P342" i="2"/>
  <c r="AA343" i="2"/>
  <c r="AR344" i="2"/>
  <c r="BC345" i="2"/>
  <c r="M347" i="2"/>
  <c r="AG348" i="2"/>
  <c r="AN349" i="2"/>
  <c r="AV350" i="2"/>
  <c r="AY351" i="2"/>
  <c r="BC352" i="2"/>
  <c r="I354" i="2"/>
  <c r="H355" i="2"/>
  <c r="C356" i="2"/>
  <c r="BC356" i="2"/>
  <c r="AY357" i="2"/>
  <c r="BB358" i="2"/>
  <c r="AW359" i="2"/>
  <c r="AR360" i="2"/>
  <c r="AI361" i="2"/>
  <c r="O362" i="2"/>
  <c r="BH362" i="2"/>
  <c r="AV363" i="2"/>
  <c r="AA364" i="2"/>
  <c r="N365" i="2"/>
  <c r="BF365" i="2"/>
  <c r="AH366" i="2"/>
  <c r="J367" i="2"/>
  <c r="AS367" i="2"/>
  <c r="AC368" i="2"/>
  <c r="E369" i="2"/>
  <c r="AM369" i="2"/>
  <c r="X370" i="2"/>
  <c r="BF370" i="2"/>
  <c r="AF371" i="2"/>
  <c r="F372" i="2"/>
  <c r="AK372" i="2"/>
  <c r="F373" i="2"/>
  <c r="AA373" i="2"/>
  <c r="AW373" i="2"/>
  <c r="P374" i="2"/>
  <c r="AK374" i="2"/>
  <c r="E375" i="2"/>
  <c r="Z375" i="2"/>
  <c r="AZ375" i="2"/>
  <c r="O376" i="2"/>
  <c r="AO376" i="2"/>
  <c r="D377" i="2"/>
  <c r="AD377" i="2"/>
  <c r="AY377" i="2"/>
  <c r="O378" i="2"/>
  <c r="AL378" i="2"/>
  <c r="BF378" i="2"/>
  <c r="U379" i="2"/>
  <c r="AR379" i="2"/>
  <c r="F380" i="2"/>
  <c r="AA380" i="2"/>
  <c r="AV380" i="2"/>
  <c r="I381" i="2"/>
  <c r="AB381" i="2"/>
  <c r="AU381" i="2"/>
  <c r="J382" i="2"/>
  <c r="AD382" i="2"/>
  <c r="AW382" i="2"/>
  <c r="J383" i="2"/>
  <c r="AE383" i="2"/>
  <c r="AY383" i="2"/>
  <c r="L384" i="2"/>
  <c r="AD384" i="2"/>
  <c r="AV384" i="2"/>
  <c r="I385" i="2"/>
  <c r="AB385" i="2"/>
  <c r="AT385" i="2"/>
  <c r="F386" i="2"/>
  <c r="X386" i="2"/>
  <c r="AP386" i="2"/>
  <c r="BH386" i="2"/>
  <c r="U387" i="2"/>
  <c r="AN387" i="2"/>
  <c r="BF387" i="2"/>
  <c r="R388" i="2"/>
  <c r="AJ388" i="2"/>
  <c r="BB388" i="2"/>
  <c r="N389" i="2"/>
  <c r="AG389" i="2"/>
  <c r="AZ389" i="2"/>
  <c r="L390" i="2"/>
  <c r="AD390" i="2"/>
  <c r="AV390" i="2"/>
  <c r="H391" i="2"/>
  <c r="Z391" i="2"/>
  <c r="AR391" i="2"/>
  <c r="C392" i="2"/>
  <c r="T392" i="2"/>
  <c r="AJ392" i="2"/>
  <c r="AZ392" i="2"/>
  <c r="J393" i="2"/>
  <c r="Z393" i="2"/>
  <c r="AP393" i="2"/>
  <c r="BF393" i="2"/>
  <c r="P394" i="2"/>
  <c r="AF394" i="2"/>
  <c r="AV394" i="2"/>
  <c r="F395" i="2"/>
  <c r="V395" i="2"/>
  <c r="AL395" i="2"/>
  <c r="BB395" i="2"/>
  <c r="L396" i="2"/>
  <c r="AB396" i="2"/>
  <c r="AR396" i="2"/>
  <c r="BH396" i="2"/>
  <c r="R397" i="2"/>
  <c r="AH397" i="2"/>
  <c r="AX397" i="2"/>
  <c r="H398" i="2"/>
  <c r="X398" i="2"/>
  <c r="AN398" i="2"/>
  <c r="BD398" i="2"/>
  <c r="N399" i="2"/>
  <c r="AD399" i="2"/>
  <c r="AT399" i="2"/>
  <c r="D400" i="2"/>
  <c r="T400" i="2"/>
  <c r="AJ400" i="2"/>
  <c r="AZ400" i="2"/>
  <c r="Z307" i="2"/>
  <c r="AG320" i="2"/>
  <c r="W326" i="2"/>
  <c r="AT330" i="2"/>
  <c r="N333" i="2"/>
  <c r="AB335" i="2"/>
  <c r="X337" i="2"/>
  <c r="O339" i="2"/>
  <c r="BB340" i="2"/>
  <c r="Q342" i="2"/>
  <c r="AH343" i="2"/>
  <c r="AS344" i="2"/>
  <c r="D346" i="2"/>
  <c r="AA347" i="2"/>
  <c r="AH348" i="2"/>
  <c r="AP349" i="2"/>
  <c r="AW350" i="2"/>
  <c r="BA351" i="2"/>
  <c r="G353" i="2"/>
  <c r="J354" i="2"/>
  <c r="J355" i="2"/>
  <c r="D356" i="2"/>
  <c r="BE356" i="2"/>
  <c r="C358" i="2"/>
  <c r="BD358" i="2"/>
  <c r="AY359" i="2"/>
  <c r="AS360" i="2"/>
  <c r="AJ361" i="2"/>
  <c r="Y362" i="2"/>
  <c r="C363" i="2"/>
  <c r="AW363" i="2"/>
  <c r="AK364" i="2"/>
  <c r="O365" i="2"/>
  <c r="BG365" i="2"/>
  <c r="AI366" i="2"/>
  <c r="K367" i="2"/>
  <c r="BB367" i="2"/>
  <c r="AD368" i="2"/>
  <c r="F369" i="2"/>
  <c r="AO369" i="2"/>
  <c r="Y370" i="2"/>
  <c r="BG370" i="2"/>
  <c r="AG371" i="2"/>
  <c r="G372" i="2"/>
  <c r="AL372" i="2"/>
  <c r="G373" i="2"/>
  <c r="AB373" i="2"/>
  <c r="BB373" i="2"/>
  <c r="Q374" i="2"/>
  <c r="AM374" i="2"/>
  <c r="F375" i="2"/>
  <c r="AA375" i="2"/>
  <c r="BA375" i="2"/>
  <c r="P376" i="2"/>
  <c r="AP376" i="2"/>
  <c r="E377" i="2"/>
  <c r="AE377" i="2"/>
  <c r="AZ377" i="2"/>
  <c r="R378" i="2"/>
  <c r="AM378" i="2"/>
  <c r="BG378" i="2"/>
  <c r="X379" i="2"/>
  <c r="AS379" i="2"/>
  <c r="G380" i="2"/>
  <c r="AC380" i="2"/>
  <c r="AW380" i="2"/>
  <c r="J381" i="2"/>
  <c r="AC381" i="2"/>
  <c r="AW381" i="2"/>
  <c r="L382" i="2"/>
  <c r="AE382" i="2"/>
  <c r="AX382" i="2"/>
  <c r="K383" i="2"/>
  <c r="AF383" i="2"/>
  <c r="AZ383" i="2"/>
  <c r="M384" i="2"/>
  <c r="AE384" i="2"/>
  <c r="AW384" i="2"/>
  <c r="K385" i="2"/>
  <c r="AC385" i="2"/>
  <c r="AU385" i="2"/>
  <c r="G386" i="2"/>
  <c r="Y386" i="2"/>
  <c r="AQ386" i="2"/>
  <c r="C387" i="2"/>
  <c r="W387" i="2"/>
  <c r="AO387" i="2"/>
  <c r="BG387" i="2"/>
  <c r="S388" i="2"/>
  <c r="AK388" i="2"/>
  <c r="BC388" i="2"/>
  <c r="O389" i="2"/>
  <c r="AI389" i="2"/>
  <c r="BA389" i="2"/>
  <c r="M390" i="2"/>
  <c r="AE390" i="2"/>
  <c r="AW390" i="2"/>
  <c r="I391" i="2"/>
  <c r="AA391" i="2"/>
  <c r="AS391" i="2"/>
  <c r="E392" i="2"/>
  <c r="U392" i="2"/>
  <c r="AK392" i="2"/>
  <c r="BA392" i="2"/>
  <c r="AK307" i="2"/>
  <c r="BB320" i="2"/>
  <c r="R327" i="2"/>
  <c r="AU330" i="2"/>
  <c r="AA333" i="2"/>
  <c r="AL335" i="2"/>
  <c r="AI337" i="2"/>
  <c r="AF339" i="2"/>
  <c r="BC340" i="2"/>
  <c r="S342" i="2"/>
  <c r="AI343" i="2"/>
  <c r="AU344" i="2"/>
  <c r="N346" i="2"/>
  <c r="AB347" i="2"/>
  <c r="AJ348" i="2"/>
  <c r="AQ349" i="2"/>
  <c r="AY350" i="2"/>
  <c r="H352" i="2"/>
  <c r="H353" i="2"/>
  <c r="L354" i="2"/>
  <c r="K355" i="2"/>
  <c r="F356" i="2"/>
  <c r="J357" i="2"/>
  <c r="D358" i="2"/>
  <c r="BF358" i="2"/>
  <c r="AZ359" i="2"/>
  <c r="AU360" i="2"/>
  <c r="AK361" i="2"/>
  <c r="Z362" i="2"/>
  <c r="E363" i="2"/>
  <c r="AX363" i="2"/>
  <c r="AL364" i="2"/>
  <c r="Q365" i="2"/>
  <c r="BH365" i="2"/>
  <c r="AJ366" i="2"/>
  <c r="M367" i="2"/>
  <c r="BC367" i="2"/>
  <c r="AE368" i="2"/>
  <c r="G369" i="2"/>
  <c r="AX369" i="2"/>
  <c r="Z370" i="2"/>
  <c r="BH370" i="2"/>
  <c r="AH371" i="2"/>
  <c r="H372" i="2"/>
  <c r="AM372" i="2"/>
  <c r="H373" i="2"/>
  <c r="AC373" i="2"/>
  <c r="BC373" i="2"/>
  <c r="R374" i="2"/>
  <c r="AR374" i="2"/>
  <c r="G375" i="2"/>
  <c r="AC375" i="2"/>
  <c r="BB375" i="2"/>
  <c r="Q376" i="2"/>
  <c r="AQ376" i="2"/>
  <c r="F377" i="2"/>
  <c r="AF377" i="2"/>
  <c r="BA377" i="2"/>
  <c r="T378" i="2"/>
  <c r="AN378" i="2"/>
  <c r="BH378" i="2"/>
  <c r="Z379" i="2"/>
  <c r="AT379" i="2"/>
  <c r="H380" i="2"/>
  <c r="AD380" i="2"/>
  <c r="AX380" i="2"/>
  <c r="K381" i="2"/>
  <c r="AD381" i="2"/>
  <c r="AY381" i="2"/>
  <c r="M382" i="2"/>
  <c r="AF382" i="2"/>
  <c r="AY382" i="2"/>
  <c r="M383" i="2"/>
  <c r="AH383" i="2"/>
  <c r="BA383" i="2"/>
  <c r="N384" i="2"/>
  <c r="AF384" i="2"/>
  <c r="AY384" i="2"/>
  <c r="L385" i="2"/>
  <c r="AD385" i="2"/>
  <c r="AV385" i="2"/>
  <c r="H386" i="2"/>
  <c r="Z386" i="2"/>
  <c r="AR386" i="2"/>
  <c r="E387" i="2"/>
  <c r="X387" i="2"/>
  <c r="AP387" i="2"/>
  <c r="BH387" i="2"/>
  <c r="T388" i="2"/>
  <c r="AL388" i="2"/>
  <c r="BD388" i="2"/>
  <c r="Q389" i="2"/>
  <c r="AJ389" i="2"/>
  <c r="BB389" i="2"/>
  <c r="N390" i="2"/>
  <c r="AF390" i="2"/>
  <c r="AX390" i="2"/>
  <c r="J391" i="2"/>
  <c r="AC391" i="2"/>
  <c r="AU391" i="2"/>
  <c r="F392" i="2"/>
  <c r="V392" i="2"/>
  <c r="AL392" i="2"/>
  <c r="M308" i="2"/>
  <c r="AA322" i="2"/>
  <c r="S327" i="2"/>
  <c r="C331" i="2"/>
  <c r="AB333" i="2"/>
  <c r="AN335" i="2"/>
  <c r="BB337" i="2"/>
  <c r="AG339" i="2"/>
  <c r="BE340" i="2"/>
  <c r="T342" i="2"/>
  <c r="AK343" i="2"/>
  <c r="D345" i="2"/>
  <c r="T346" i="2"/>
  <c r="AD347" i="2"/>
  <c r="AK348" i="2"/>
  <c r="AS349" i="2"/>
  <c r="F351" i="2"/>
  <c r="I352" i="2"/>
  <c r="M353" i="2"/>
  <c r="M354" i="2"/>
  <c r="M355" i="2"/>
  <c r="Q356" i="2"/>
  <c r="K357" i="2"/>
  <c r="F358" i="2"/>
  <c r="BG358" i="2"/>
  <c r="BB359" i="2"/>
  <c r="BF360" i="2"/>
  <c r="AL361" i="2"/>
  <c r="AA362" i="2"/>
  <c r="O363" i="2"/>
  <c r="AY363" i="2"/>
  <c r="AM364" i="2"/>
  <c r="AA365" i="2"/>
  <c r="C366" i="2"/>
  <c r="AK366" i="2"/>
  <c r="V367" i="2"/>
  <c r="BD367" i="2"/>
  <c r="AF368" i="2"/>
  <c r="I369" i="2"/>
  <c r="AY369" i="2"/>
  <c r="AA370" i="2"/>
  <c r="C371" i="2"/>
  <c r="AI371" i="2"/>
  <c r="I372" i="2"/>
  <c r="AN372" i="2"/>
  <c r="R311" i="2"/>
  <c r="AB322" i="2"/>
  <c r="AI327" i="2"/>
  <c r="D331" i="2"/>
  <c r="AD333" i="2"/>
  <c r="BG335" i="2"/>
  <c r="BC337" i="2"/>
  <c r="AI339" i="2"/>
  <c r="BF340" i="2"/>
  <c r="V342" i="2"/>
  <c r="AZ343" i="2"/>
  <c r="E345" i="2"/>
  <c r="V346" i="2"/>
  <c r="AE347" i="2"/>
  <c r="AM348" i="2"/>
  <c r="BG349" i="2"/>
  <c r="G351" i="2"/>
  <c r="K352" i="2"/>
  <c r="N353" i="2"/>
  <c r="R354" i="2"/>
  <c r="X355" i="2"/>
  <c r="R356" i="2"/>
  <c r="M357" i="2"/>
  <c r="H358" i="2"/>
  <c r="C359" i="2"/>
  <c r="G360" i="2"/>
  <c r="BG360" i="2"/>
  <c r="AN361" i="2"/>
  <c r="AB362" i="2"/>
  <c r="P363" i="2"/>
  <c r="BA363" i="2"/>
  <c r="AN364" i="2"/>
  <c r="AB365" i="2"/>
  <c r="D366" i="2"/>
  <c r="AM366" i="2"/>
  <c r="W367" i="2"/>
  <c r="BE367" i="2"/>
  <c r="AG368" i="2"/>
  <c r="R369" i="2"/>
  <c r="AZ369" i="2"/>
  <c r="AB370" i="2"/>
  <c r="E371" i="2"/>
  <c r="AK371" i="2"/>
  <c r="K372" i="2"/>
  <c r="AO372" i="2"/>
  <c r="J373" i="2"/>
  <c r="AE373" i="2"/>
  <c r="BE373" i="2"/>
  <c r="AV311" i="2"/>
  <c r="AT322" i="2"/>
  <c r="AK327" i="2"/>
  <c r="F331" i="2"/>
  <c r="C334" i="2"/>
  <c r="BH335" i="2"/>
  <c r="H338" i="2"/>
  <c r="AJ339" i="2"/>
  <c r="H341" i="2"/>
  <c r="AK342" i="2"/>
  <c r="BA343" i="2"/>
  <c r="G345" i="2"/>
  <c r="W346" i="2"/>
  <c r="AG347" i="2"/>
  <c r="BA348" i="2"/>
  <c r="BH349" i="2"/>
  <c r="I351" i="2"/>
  <c r="L352" i="2"/>
  <c r="P353" i="2"/>
  <c r="AB354" i="2"/>
  <c r="Y355" i="2"/>
  <c r="T356" i="2"/>
  <c r="N357" i="2"/>
  <c r="J358" i="2"/>
  <c r="N359" i="2"/>
  <c r="H360" i="2"/>
  <c r="BH360" i="2"/>
  <c r="AY361" i="2"/>
  <c r="AC362" i="2"/>
  <c r="Q363" i="2"/>
  <c r="E364" i="2"/>
  <c r="AO364" i="2"/>
  <c r="AC365" i="2"/>
  <c r="E366" i="2"/>
  <c r="AV366" i="2"/>
  <c r="X367" i="2"/>
  <c r="BF367" i="2"/>
  <c r="AI368" i="2"/>
  <c r="S369" i="2"/>
  <c r="BA369" i="2"/>
  <c r="AC370" i="2"/>
  <c r="M371" i="2"/>
  <c r="AS371" i="2"/>
  <c r="S372" i="2"/>
  <c r="AQ372" i="2"/>
  <c r="K373" i="2"/>
  <c r="AG373" i="2"/>
  <c r="BF373" i="2"/>
  <c r="U374" i="2"/>
  <c r="AU374" i="2"/>
  <c r="J375" i="2"/>
  <c r="AJ375" i="2"/>
  <c r="BE375" i="2"/>
  <c r="Y376" i="2"/>
  <c r="AT376" i="2"/>
  <c r="N377" i="2"/>
  <c r="AI377" i="2"/>
  <c r="BE377" i="2"/>
  <c r="W378" i="2"/>
  <c r="AQ378" i="2"/>
  <c r="H379" i="2"/>
  <c r="AC379" i="2"/>
  <c r="AW379" i="2"/>
  <c r="N380" i="2"/>
  <c r="AH380" i="2"/>
  <c r="BA380" i="2"/>
  <c r="N381" i="2"/>
  <c r="AI381" i="2"/>
  <c r="BC381" i="2"/>
  <c r="P382" i="2"/>
  <c r="AI382" i="2"/>
  <c r="BC382" i="2"/>
  <c r="R383" i="2"/>
  <c r="AK383" i="2"/>
  <c r="BD383" i="2"/>
  <c r="Q384" i="2"/>
  <c r="AK384" i="2"/>
  <c r="BC384" i="2"/>
  <c r="V312" i="2"/>
  <c r="AU322" i="2"/>
  <c r="AY327" i="2"/>
  <c r="AN331" i="2"/>
  <c r="D334" i="2"/>
  <c r="M336" i="2"/>
  <c r="I338" i="2"/>
  <c r="AS339" i="2"/>
  <c r="X341" i="2"/>
  <c r="AL342" i="2"/>
  <c r="BC343" i="2"/>
  <c r="H345" i="2"/>
  <c r="Y346" i="2"/>
  <c r="AU347" i="2"/>
  <c r="BB348" i="2"/>
  <c r="D350" i="2"/>
  <c r="J351" i="2"/>
  <c r="N352" i="2"/>
  <c r="AC353" i="2"/>
  <c r="AC354" i="2"/>
  <c r="AA355" i="2"/>
  <c r="U356" i="2"/>
  <c r="P357" i="2"/>
  <c r="T358" i="2"/>
  <c r="O359" i="2"/>
  <c r="J360" i="2"/>
  <c r="C361" i="2"/>
  <c r="AZ361" i="2"/>
  <c r="AE362" i="2"/>
  <c r="R363" i="2"/>
  <c r="F364" i="2"/>
  <c r="AQ364" i="2"/>
  <c r="AD365" i="2"/>
  <c r="G366" i="2"/>
  <c r="AW366" i="2"/>
  <c r="Y367" i="2"/>
  <c r="BG367" i="2"/>
  <c r="AR368" i="2"/>
  <c r="T369" i="2"/>
  <c r="BB369" i="2"/>
  <c r="AE370" i="2"/>
  <c r="N371" i="2"/>
  <c r="AT371" i="2"/>
  <c r="T372" i="2"/>
  <c r="X312" i="2"/>
  <c r="G323" i="2"/>
  <c r="AH328" i="2"/>
  <c r="AO331" i="2"/>
  <c r="F334" i="2"/>
  <c r="N336" i="2"/>
  <c r="K338" i="2"/>
  <c r="D340" i="2"/>
  <c r="Y341" i="2"/>
  <c r="AS342" i="2"/>
  <c r="BD343" i="2"/>
  <c r="O345" i="2"/>
  <c r="AN346" i="2"/>
  <c r="AV347" i="2"/>
  <c r="BD348" i="2"/>
  <c r="E350" i="2"/>
  <c r="L351" i="2"/>
  <c r="AA352" i="2"/>
  <c r="AD353" i="2"/>
  <c r="AG354" i="2"/>
  <c r="AB355" i="2"/>
  <c r="W356" i="2"/>
  <c r="AA357" i="2"/>
  <c r="U358" i="2"/>
  <c r="Q359" i="2"/>
  <c r="K360" i="2"/>
  <c r="D361" i="2"/>
  <c r="BA361" i="2"/>
  <c r="AO362" i="2"/>
  <c r="S363" i="2"/>
  <c r="G364" i="2"/>
  <c r="BA364" i="2"/>
  <c r="AE365" i="2"/>
  <c r="P366" i="2"/>
  <c r="AX366" i="2"/>
  <c r="Z367" i="2"/>
  <c r="C368" i="2"/>
  <c r="AS368" i="2"/>
  <c r="U369" i="2"/>
  <c r="BC369" i="2"/>
  <c r="AN370" i="2"/>
  <c r="O371" i="2"/>
  <c r="AU371" i="2"/>
  <c r="U372" i="2"/>
  <c r="AW372" i="2"/>
  <c r="M373" i="2"/>
  <c r="AM373" i="2"/>
  <c r="AX294" i="2"/>
  <c r="BA334" i="2"/>
  <c r="BF343" i="2"/>
  <c r="AB350" i="2"/>
  <c r="AU355" i="2"/>
  <c r="F361" i="2"/>
  <c r="BE364" i="2"/>
  <c r="Q368" i="2"/>
  <c r="AV371" i="2"/>
  <c r="AL373" i="2"/>
  <c r="AH374" i="2"/>
  <c r="AI375" i="2"/>
  <c r="AA376" i="2"/>
  <c r="T377" i="2"/>
  <c r="U378" i="2"/>
  <c r="J379" i="2"/>
  <c r="BA379" i="2"/>
  <c r="AQ380" i="2"/>
  <c r="AG381" i="2"/>
  <c r="R382" i="2"/>
  <c r="E383" i="2"/>
  <c r="BB383" i="2"/>
  <c r="AL384" i="2"/>
  <c r="Q385" i="2"/>
  <c r="BA385" i="2"/>
  <c r="AG386" i="2"/>
  <c r="K387" i="2"/>
  <c r="AU387" i="2"/>
  <c r="Y388" i="2"/>
  <c r="E389" i="2"/>
  <c r="AO389" i="2"/>
  <c r="S390" i="2"/>
  <c r="BE390" i="2"/>
  <c r="AI391" i="2"/>
  <c r="K392" i="2"/>
  <c r="AQ392" i="2"/>
  <c r="N393" i="2"/>
  <c r="AM393" i="2"/>
  <c r="F394" i="2"/>
  <c r="AH394" i="2"/>
  <c r="BD394" i="2"/>
  <c r="Z395" i="2"/>
  <c r="AY395" i="2"/>
  <c r="R396" i="2"/>
  <c r="AT396" i="2"/>
  <c r="J397" i="2"/>
  <c r="AL397" i="2"/>
  <c r="E398" i="2"/>
  <c r="AD398" i="2"/>
  <c r="BF398" i="2"/>
  <c r="V399" i="2"/>
  <c r="AX399" i="2"/>
  <c r="Q400" i="2"/>
  <c r="AP400" i="2"/>
  <c r="K401" i="2"/>
  <c r="AE401" i="2"/>
  <c r="BA401" i="2"/>
  <c r="Q402" i="2"/>
  <c r="AK402" i="2"/>
  <c r="BG402" i="2"/>
  <c r="V403" i="2"/>
  <c r="AO403" i="2"/>
  <c r="BH403" i="2"/>
  <c r="W404" i="2"/>
  <c r="AQ404" i="2"/>
  <c r="D405" i="2"/>
  <c r="W405" i="2"/>
  <c r="AP405" i="2"/>
  <c r="F406" i="2"/>
  <c r="Y406" i="2"/>
  <c r="AR406" i="2"/>
  <c r="E407" i="2"/>
  <c r="AA407" i="2"/>
  <c r="AT407" i="2"/>
  <c r="G408" i="2"/>
  <c r="Z408" i="2"/>
  <c r="AU408" i="2"/>
  <c r="I409" i="2"/>
  <c r="AA409" i="2"/>
  <c r="AS409" i="2"/>
  <c r="E410" i="2"/>
  <c r="W410" i="2"/>
  <c r="AO410" i="2"/>
  <c r="C411" i="2"/>
  <c r="T411" i="2"/>
  <c r="AJ411" i="2"/>
  <c r="AZ411" i="2"/>
  <c r="J412" i="2"/>
  <c r="Z412" i="2"/>
  <c r="AP412" i="2"/>
  <c r="BF412" i="2"/>
  <c r="P413" i="2"/>
  <c r="AF413" i="2"/>
  <c r="AV413" i="2"/>
  <c r="F414" i="2"/>
  <c r="V414" i="2"/>
  <c r="AL414" i="2"/>
  <c r="BB414" i="2"/>
  <c r="L415" i="2"/>
  <c r="AB415" i="2"/>
  <c r="AR415" i="2"/>
  <c r="BH415" i="2"/>
  <c r="R416" i="2"/>
  <c r="AH416" i="2"/>
  <c r="AX416" i="2"/>
  <c r="H417" i="2"/>
  <c r="X417" i="2"/>
  <c r="AN417" i="2"/>
  <c r="BD417" i="2"/>
  <c r="N418" i="2"/>
  <c r="AD418" i="2"/>
  <c r="AT418" i="2"/>
  <c r="D419" i="2"/>
  <c r="T419" i="2"/>
  <c r="AJ419" i="2"/>
  <c r="AZ419" i="2"/>
  <c r="J420" i="2"/>
  <c r="Z420" i="2"/>
  <c r="AP420" i="2"/>
  <c r="BF420" i="2"/>
  <c r="P421" i="2"/>
  <c r="AF421" i="2"/>
  <c r="AV421" i="2"/>
  <c r="F422" i="2"/>
  <c r="V422" i="2"/>
  <c r="AL422" i="2"/>
  <c r="BB422" i="2"/>
  <c r="L423" i="2"/>
  <c r="AB423" i="2"/>
  <c r="AR423" i="2"/>
  <c r="BH423" i="2"/>
  <c r="R424" i="2"/>
  <c r="AH424" i="2"/>
  <c r="AX424" i="2"/>
  <c r="H425" i="2"/>
  <c r="X425" i="2"/>
  <c r="AN425" i="2"/>
  <c r="BD425" i="2"/>
  <c r="N426" i="2"/>
  <c r="AD426" i="2"/>
  <c r="AT426" i="2"/>
  <c r="D427" i="2"/>
  <c r="T427" i="2"/>
  <c r="AJ427" i="2"/>
  <c r="AZ427" i="2"/>
  <c r="J428" i="2"/>
  <c r="Z428" i="2"/>
  <c r="AP428" i="2"/>
  <c r="BF428" i="2"/>
  <c r="P429" i="2"/>
  <c r="AF429" i="2"/>
  <c r="AV429" i="2"/>
  <c r="F430" i="2"/>
  <c r="V430" i="2"/>
  <c r="AL430" i="2"/>
  <c r="BB430" i="2"/>
  <c r="L431" i="2"/>
  <c r="AB431" i="2"/>
  <c r="AR431" i="2"/>
  <c r="BH431" i="2"/>
  <c r="R432" i="2"/>
  <c r="AH432" i="2"/>
  <c r="AX432" i="2"/>
  <c r="H433" i="2"/>
  <c r="X433" i="2"/>
  <c r="AN433" i="2"/>
  <c r="BD433" i="2"/>
  <c r="N434" i="2"/>
  <c r="AD434" i="2"/>
  <c r="AT434" i="2"/>
  <c r="D435" i="2"/>
  <c r="T435" i="2"/>
  <c r="AJ435" i="2"/>
  <c r="AZ435" i="2"/>
  <c r="J436" i="2"/>
  <c r="Z436" i="2"/>
  <c r="AP436" i="2"/>
  <c r="BF436" i="2"/>
  <c r="P437" i="2"/>
  <c r="AF437" i="2"/>
  <c r="AV437" i="2"/>
  <c r="F438" i="2"/>
  <c r="V438" i="2"/>
  <c r="AL438" i="2"/>
  <c r="BB438" i="2"/>
  <c r="L439" i="2"/>
  <c r="AB439" i="2"/>
  <c r="AR439" i="2"/>
  <c r="BH439" i="2"/>
  <c r="R440" i="2"/>
  <c r="AH440" i="2"/>
  <c r="AX440" i="2"/>
  <c r="H441" i="2"/>
  <c r="F298" i="2"/>
  <c r="P336" i="2"/>
  <c r="R344" i="2"/>
  <c r="AE350" i="2"/>
  <c r="AH356" i="2"/>
  <c r="S361" i="2"/>
  <c r="K365" i="2"/>
  <c r="AT368" i="2"/>
  <c r="AY371" i="2"/>
  <c r="AN373" i="2"/>
  <c r="AS374" i="2"/>
  <c r="AK375" i="2"/>
  <c r="AB376" i="2"/>
  <c r="V377" i="2"/>
  <c r="V378" i="2"/>
  <c r="K379" i="2"/>
  <c r="BG379" i="2"/>
  <c r="AY380" i="2"/>
  <c r="AJ381" i="2"/>
  <c r="S382" i="2"/>
  <c r="G383" i="2"/>
  <c r="BC383" i="2"/>
  <c r="AM384" i="2"/>
  <c r="R385" i="2"/>
  <c r="BB385" i="2"/>
  <c r="AH386" i="2"/>
  <c r="L387" i="2"/>
  <c r="AV387" i="2"/>
  <c r="AA388" i="2"/>
  <c r="F389" i="2"/>
  <c r="AP389" i="2"/>
  <c r="T390" i="2"/>
  <c r="BF390" i="2"/>
  <c r="AJ391" i="2"/>
  <c r="L392" i="2"/>
  <c r="AR392" i="2"/>
  <c r="O393" i="2"/>
  <c r="AQ393" i="2"/>
  <c r="G394" i="2"/>
  <c r="AI394" i="2"/>
  <c r="BG394" i="2"/>
  <c r="AA395" i="2"/>
  <c r="BC395" i="2"/>
  <c r="S396" i="2"/>
  <c r="AU396" i="2"/>
  <c r="M397" i="2"/>
  <c r="AM397" i="2"/>
  <c r="I398" i="2"/>
  <c r="AE398" i="2"/>
  <c r="BG398" i="2"/>
  <c r="Y399" i="2"/>
  <c r="AY399" i="2"/>
  <c r="U400" i="2"/>
  <c r="AQ400" i="2"/>
  <c r="L401" i="2"/>
  <c r="AF401" i="2"/>
  <c r="BC401" i="2"/>
  <c r="R402" i="2"/>
  <c r="AL402" i="2"/>
  <c r="C403" i="2"/>
  <c r="W403" i="2"/>
  <c r="AP403" i="2"/>
  <c r="C404" i="2"/>
  <c r="Y404" i="2"/>
  <c r="AR404" i="2"/>
  <c r="E405" i="2"/>
  <c r="X405" i="2"/>
  <c r="AS405" i="2"/>
  <c r="G406" i="2"/>
  <c r="Z406" i="2"/>
  <c r="AS406" i="2"/>
  <c r="F407" i="2"/>
  <c r="AB407" i="2"/>
  <c r="AU407" i="2"/>
  <c r="H408" i="2"/>
  <c r="AA408" i="2"/>
  <c r="AW408" i="2"/>
  <c r="J409" i="2"/>
  <c r="AB409" i="2"/>
  <c r="AT409" i="2"/>
  <c r="F410" i="2"/>
  <c r="X410" i="2"/>
  <c r="AQ410" i="2"/>
  <c r="D411" i="2"/>
  <c r="U411" i="2"/>
  <c r="AK411" i="2"/>
  <c r="BA411" i="2"/>
  <c r="K412" i="2"/>
  <c r="AA412" i="2"/>
  <c r="AQ412" i="2"/>
  <c r="BG412" i="2"/>
  <c r="Q413" i="2"/>
  <c r="AG413" i="2"/>
  <c r="AW413" i="2"/>
  <c r="G414" i="2"/>
  <c r="W414" i="2"/>
  <c r="AM414" i="2"/>
  <c r="BC414" i="2"/>
  <c r="M415" i="2"/>
  <c r="AC415" i="2"/>
  <c r="AS415" i="2"/>
  <c r="C416" i="2"/>
  <c r="S416" i="2"/>
  <c r="AI416" i="2"/>
  <c r="AY416" i="2"/>
  <c r="I417" i="2"/>
  <c r="Y417" i="2"/>
  <c r="AO417" i="2"/>
  <c r="BE417" i="2"/>
  <c r="O418" i="2"/>
  <c r="AE418" i="2"/>
  <c r="AU418" i="2"/>
  <c r="E419" i="2"/>
  <c r="U419" i="2"/>
  <c r="AK419" i="2"/>
  <c r="BA419" i="2"/>
  <c r="K420" i="2"/>
  <c r="AA420" i="2"/>
  <c r="AQ420" i="2"/>
  <c r="BG420" i="2"/>
  <c r="Q421" i="2"/>
  <c r="AG421" i="2"/>
  <c r="AW421" i="2"/>
  <c r="G422" i="2"/>
  <c r="W422" i="2"/>
  <c r="AM422" i="2"/>
  <c r="BC422" i="2"/>
  <c r="M423" i="2"/>
  <c r="AC423" i="2"/>
  <c r="AS423" i="2"/>
  <c r="C424" i="2"/>
  <c r="S424" i="2"/>
  <c r="AI424" i="2"/>
  <c r="AY424" i="2"/>
  <c r="I425" i="2"/>
  <c r="Y425" i="2"/>
  <c r="AO425" i="2"/>
  <c r="BE425" i="2"/>
  <c r="O426" i="2"/>
  <c r="AE426" i="2"/>
  <c r="AU426" i="2"/>
  <c r="E427" i="2"/>
  <c r="U427" i="2"/>
  <c r="AK427" i="2"/>
  <c r="BA427" i="2"/>
  <c r="K428" i="2"/>
  <c r="AA428" i="2"/>
  <c r="AQ428" i="2"/>
  <c r="BG428" i="2"/>
  <c r="Q429" i="2"/>
  <c r="AG429" i="2"/>
  <c r="AW429" i="2"/>
  <c r="G430" i="2"/>
  <c r="W430" i="2"/>
  <c r="AM430" i="2"/>
  <c r="BC430" i="2"/>
  <c r="M431" i="2"/>
  <c r="AC431" i="2"/>
  <c r="AS431" i="2"/>
  <c r="C432" i="2"/>
  <c r="S432" i="2"/>
  <c r="AI432" i="2"/>
  <c r="AY432" i="2"/>
  <c r="I433" i="2"/>
  <c r="Y433" i="2"/>
  <c r="AO433" i="2"/>
  <c r="BE433" i="2"/>
  <c r="O434" i="2"/>
  <c r="AE434" i="2"/>
  <c r="AU434" i="2"/>
  <c r="E435" i="2"/>
  <c r="U435" i="2"/>
  <c r="AK435" i="2"/>
  <c r="BA435" i="2"/>
  <c r="K436" i="2"/>
  <c r="AA436" i="2"/>
  <c r="AQ436" i="2"/>
  <c r="BG436" i="2"/>
  <c r="Q437" i="2"/>
  <c r="AG437" i="2"/>
  <c r="AW437" i="2"/>
  <c r="G438" i="2"/>
  <c r="W438" i="2"/>
  <c r="AM438" i="2"/>
  <c r="BC438" i="2"/>
  <c r="M439" i="2"/>
  <c r="AC439" i="2"/>
  <c r="AS439" i="2"/>
  <c r="C440" i="2"/>
  <c r="S440" i="2"/>
  <c r="AI440" i="2"/>
  <c r="AY440" i="2"/>
  <c r="I441" i="2"/>
  <c r="Y441" i="2"/>
  <c r="AO441" i="2"/>
  <c r="AG316" i="2"/>
  <c r="AX336" i="2"/>
  <c r="AD345" i="2"/>
  <c r="AF351" i="2"/>
  <c r="AY356" i="2"/>
  <c r="BB361" i="2"/>
  <c r="AR365" i="2"/>
  <c r="BH368" i="2"/>
  <c r="V372" i="2"/>
  <c r="AS373" i="2"/>
  <c r="AV374" i="2"/>
  <c r="AM375" i="2"/>
  <c r="AG376" i="2"/>
  <c r="AH377" i="2"/>
  <c r="Y378" i="2"/>
  <c r="O379" i="2"/>
  <c r="I380" i="2"/>
  <c r="BB380" i="2"/>
  <c r="AM381" i="2"/>
  <c r="Z382" i="2"/>
  <c r="P383" i="2"/>
  <c r="BF383" i="2"/>
  <c r="AQ384" i="2"/>
  <c r="W385" i="2"/>
  <c r="C386" i="2"/>
  <c r="AM386" i="2"/>
  <c r="Q387" i="2"/>
  <c r="BC387" i="2"/>
  <c r="AG388" i="2"/>
  <c r="K389" i="2"/>
  <c r="AU389" i="2"/>
  <c r="AA390" i="2"/>
  <c r="E391" i="2"/>
  <c r="AO391" i="2"/>
  <c r="Q392" i="2"/>
  <c r="AW392" i="2"/>
  <c r="Q393" i="2"/>
  <c r="AS393" i="2"/>
  <c r="K394" i="2"/>
  <c r="AK394" i="2"/>
  <c r="G395" i="2"/>
  <c r="AC395" i="2"/>
  <c r="BE395" i="2"/>
  <c r="W396" i="2"/>
  <c r="AW396" i="2"/>
  <c r="S397" i="2"/>
  <c r="AO397" i="2"/>
  <c r="K398" i="2"/>
  <c r="AI398" i="2"/>
  <c r="C399" i="2"/>
  <c r="AE399" i="2"/>
  <c r="BA399" i="2"/>
  <c r="W400" i="2"/>
  <c r="AU400" i="2"/>
  <c r="N401" i="2"/>
  <c r="AH401" i="2"/>
  <c r="BF401" i="2"/>
  <c r="T402" i="2"/>
  <c r="AN402" i="2"/>
  <c r="F403" i="2"/>
  <c r="Y403" i="2"/>
  <c r="AR403" i="2"/>
  <c r="G404" i="2"/>
  <c r="AA404" i="2"/>
  <c r="AT404" i="2"/>
  <c r="G405" i="2"/>
  <c r="Z405" i="2"/>
  <c r="AV405" i="2"/>
  <c r="I406" i="2"/>
  <c r="AB406" i="2"/>
  <c r="AU406" i="2"/>
  <c r="K407" i="2"/>
  <c r="AD407" i="2"/>
  <c r="AW407" i="2"/>
  <c r="J408" i="2"/>
  <c r="AE408" i="2"/>
  <c r="AY408" i="2"/>
  <c r="L409" i="2"/>
  <c r="AD409" i="2"/>
  <c r="AV409" i="2"/>
  <c r="H410" i="2"/>
  <c r="AA410" i="2"/>
  <c r="AT410" i="2"/>
  <c r="F411" i="2"/>
  <c r="W411" i="2"/>
  <c r="AM411" i="2"/>
  <c r="BC411" i="2"/>
  <c r="M412" i="2"/>
  <c r="AC412" i="2"/>
  <c r="AS412" i="2"/>
  <c r="C413" i="2"/>
  <c r="S413" i="2"/>
  <c r="AI413" i="2"/>
  <c r="AY413" i="2"/>
  <c r="I414" i="2"/>
  <c r="Y414" i="2"/>
  <c r="AO414" i="2"/>
  <c r="BE414" i="2"/>
  <c r="O415" i="2"/>
  <c r="AE415" i="2"/>
  <c r="AU415" i="2"/>
  <c r="E416" i="2"/>
  <c r="U416" i="2"/>
  <c r="AK416" i="2"/>
  <c r="BA416" i="2"/>
  <c r="K417" i="2"/>
  <c r="AA417" i="2"/>
  <c r="AQ417" i="2"/>
  <c r="BG417" i="2"/>
  <c r="Q418" i="2"/>
  <c r="AG418" i="2"/>
  <c r="AW418" i="2"/>
  <c r="G419" i="2"/>
  <c r="W419" i="2"/>
  <c r="AM419" i="2"/>
  <c r="BC419" i="2"/>
  <c r="M420" i="2"/>
  <c r="AC420" i="2"/>
  <c r="AS420" i="2"/>
  <c r="C421" i="2"/>
  <c r="S421" i="2"/>
  <c r="AI421" i="2"/>
  <c r="AY421" i="2"/>
  <c r="I422" i="2"/>
  <c r="Y422" i="2"/>
  <c r="AO422" i="2"/>
  <c r="BE422" i="2"/>
  <c r="O423" i="2"/>
  <c r="AE423" i="2"/>
  <c r="AU423" i="2"/>
  <c r="E424" i="2"/>
  <c r="U424" i="2"/>
  <c r="AK424" i="2"/>
  <c r="BA424" i="2"/>
  <c r="K425" i="2"/>
  <c r="AA425" i="2"/>
  <c r="AQ425" i="2"/>
  <c r="BG425" i="2"/>
  <c r="Q426" i="2"/>
  <c r="AG426" i="2"/>
  <c r="AW426" i="2"/>
  <c r="G427" i="2"/>
  <c r="W427" i="2"/>
  <c r="AM427" i="2"/>
  <c r="BC427" i="2"/>
  <c r="M428" i="2"/>
  <c r="AC428" i="2"/>
  <c r="AS428" i="2"/>
  <c r="C429" i="2"/>
  <c r="S429" i="2"/>
  <c r="AI429" i="2"/>
  <c r="AY429" i="2"/>
  <c r="I430" i="2"/>
  <c r="Y430" i="2"/>
  <c r="AO430" i="2"/>
  <c r="BE430" i="2"/>
  <c r="O431" i="2"/>
  <c r="AE431" i="2"/>
  <c r="AU431" i="2"/>
  <c r="E432" i="2"/>
  <c r="U432" i="2"/>
  <c r="AK432" i="2"/>
  <c r="BA432" i="2"/>
  <c r="K433" i="2"/>
  <c r="AA433" i="2"/>
  <c r="AQ433" i="2"/>
  <c r="BG433" i="2"/>
  <c r="Q434" i="2"/>
  <c r="AG434" i="2"/>
  <c r="AW434" i="2"/>
  <c r="G435" i="2"/>
  <c r="W435" i="2"/>
  <c r="AM435" i="2"/>
  <c r="BC435" i="2"/>
  <c r="M436" i="2"/>
  <c r="AC436" i="2"/>
  <c r="AS436" i="2"/>
  <c r="G317" i="2"/>
  <c r="AC338" i="2"/>
  <c r="AH345" i="2"/>
  <c r="AR351" i="2"/>
  <c r="AB357" i="2"/>
  <c r="I362" i="2"/>
  <c r="AT365" i="2"/>
  <c r="V369" i="2"/>
  <c r="Y372" i="2"/>
  <c r="BD373" i="2"/>
  <c r="AW374" i="2"/>
  <c r="AP375" i="2"/>
  <c r="AR376" i="2"/>
  <c r="AJ377" i="2"/>
  <c r="Z378" i="2"/>
  <c r="Q379" i="2"/>
  <c r="K380" i="2"/>
  <c r="BC380" i="2"/>
  <c r="AP381" i="2"/>
  <c r="AG382" i="2"/>
  <c r="S383" i="2"/>
  <c r="BG383" i="2"/>
  <c r="AS384" i="2"/>
  <c r="AE385" i="2"/>
  <c r="I386" i="2"/>
  <c r="AS386" i="2"/>
  <c r="Y387" i="2"/>
  <c r="C388" i="2"/>
  <c r="AM388" i="2"/>
  <c r="S389" i="2"/>
  <c r="BC389" i="2"/>
  <c r="AG390" i="2"/>
  <c r="K391" i="2"/>
  <c r="AV391" i="2"/>
  <c r="W392" i="2"/>
  <c r="BB392" i="2"/>
  <c r="R393" i="2"/>
  <c r="AT393" i="2"/>
  <c r="M394" i="2"/>
  <c r="AL394" i="2"/>
  <c r="H395" i="2"/>
  <c r="AD395" i="2"/>
  <c r="BF395" i="2"/>
  <c r="Y396" i="2"/>
  <c r="AX396" i="2"/>
  <c r="T397" i="2"/>
  <c r="AP397" i="2"/>
  <c r="L398" i="2"/>
  <c r="AK398" i="2"/>
  <c r="D399" i="2"/>
  <c r="AF399" i="2"/>
  <c r="BB399" i="2"/>
  <c r="X400" i="2"/>
  <c r="AW400" i="2"/>
  <c r="O401" i="2"/>
  <c r="AK401" i="2"/>
  <c r="BG401" i="2"/>
  <c r="U402" i="2"/>
  <c r="AQ402" i="2"/>
  <c r="G403" i="2"/>
  <c r="Z403" i="2"/>
  <c r="AS403" i="2"/>
  <c r="I404" i="2"/>
  <c r="AB404" i="2"/>
  <c r="AU404" i="2"/>
  <c r="H405" i="2"/>
  <c r="AC405" i="2"/>
  <c r="AW405" i="2"/>
  <c r="J406" i="2"/>
  <c r="AC406" i="2"/>
  <c r="AV406" i="2"/>
  <c r="L407" i="2"/>
  <c r="AE407" i="2"/>
  <c r="AX407" i="2"/>
  <c r="K408" i="2"/>
  <c r="AG408" i="2"/>
  <c r="AZ408" i="2"/>
  <c r="M409" i="2"/>
  <c r="AE409" i="2"/>
  <c r="AW409" i="2"/>
  <c r="I410" i="2"/>
  <c r="AC410" i="2"/>
  <c r="AU410" i="2"/>
  <c r="G411" i="2"/>
  <c r="X411" i="2"/>
  <c r="AN411" i="2"/>
  <c r="BD411" i="2"/>
  <c r="N412" i="2"/>
  <c r="AD412" i="2"/>
  <c r="AT412" i="2"/>
  <c r="D413" i="2"/>
  <c r="T413" i="2"/>
  <c r="AJ413" i="2"/>
  <c r="AZ413" i="2"/>
  <c r="J414" i="2"/>
  <c r="Z414" i="2"/>
  <c r="AP414" i="2"/>
  <c r="BF414" i="2"/>
  <c r="P415" i="2"/>
  <c r="AF415" i="2"/>
  <c r="AV415" i="2"/>
  <c r="F416" i="2"/>
  <c r="V416" i="2"/>
  <c r="AL416" i="2"/>
  <c r="BB416" i="2"/>
  <c r="L417" i="2"/>
  <c r="AB417" i="2"/>
  <c r="AR417" i="2"/>
  <c r="BH417" i="2"/>
  <c r="R418" i="2"/>
  <c r="AH418" i="2"/>
  <c r="AX418" i="2"/>
  <c r="H419" i="2"/>
  <c r="X419" i="2"/>
  <c r="AN419" i="2"/>
  <c r="BD419" i="2"/>
  <c r="N420" i="2"/>
  <c r="AD420" i="2"/>
  <c r="AT420" i="2"/>
  <c r="D421" i="2"/>
  <c r="T421" i="2"/>
  <c r="AJ421" i="2"/>
  <c r="AZ421" i="2"/>
  <c r="J422" i="2"/>
  <c r="Z422" i="2"/>
  <c r="AP422" i="2"/>
  <c r="BF422" i="2"/>
  <c r="P423" i="2"/>
  <c r="AF423" i="2"/>
  <c r="AV423" i="2"/>
  <c r="F424" i="2"/>
  <c r="V424" i="2"/>
  <c r="AL424" i="2"/>
  <c r="BB424" i="2"/>
  <c r="L425" i="2"/>
  <c r="AB425" i="2"/>
  <c r="AR425" i="2"/>
  <c r="BH425" i="2"/>
  <c r="R426" i="2"/>
  <c r="AH426" i="2"/>
  <c r="AX426" i="2"/>
  <c r="H427" i="2"/>
  <c r="X427" i="2"/>
  <c r="AN427" i="2"/>
  <c r="BD427" i="2"/>
  <c r="N428" i="2"/>
  <c r="AD428" i="2"/>
  <c r="AT428" i="2"/>
  <c r="D429" i="2"/>
  <c r="T429" i="2"/>
  <c r="AJ429" i="2"/>
  <c r="AZ429" i="2"/>
  <c r="J430" i="2"/>
  <c r="Z430" i="2"/>
  <c r="AP430" i="2"/>
  <c r="BF430" i="2"/>
  <c r="P431" i="2"/>
  <c r="AF431" i="2"/>
  <c r="AV431" i="2"/>
  <c r="F432" i="2"/>
  <c r="V432" i="2"/>
  <c r="AL432" i="2"/>
  <c r="BB432" i="2"/>
  <c r="L433" i="2"/>
  <c r="AB433" i="2"/>
  <c r="AR433" i="2"/>
  <c r="BH433" i="2"/>
  <c r="R434" i="2"/>
  <c r="AH434" i="2"/>
  <c r="AX434" i="2"/>
  <c r="J324" i="2"/>
  <c r="AO338" i="2"/>
  <c r="AY345" i="2"/>
  <c r="AB352" i="2"/>
  <c r="AH357" i="2"/>
  <c r="K362" i="2"/>
  <c r="Q366" i="2"/>
  <c r="AH369" i="2"/>
  <c r="AF372" i="2"/>
  <c r="BG373" i="2"/>
  <c r="AX374" i="2"/>
  <c r="AS375" i="2"/>
  <c r="AS376" i="2"/>
  <c r="AK377" i="2"/>
  <c r="AC378" i="2"/>
  <c r="AA379" i="2"/>
  <c r="P380" i="2"/>
  <c r="BD380" i="2"/>
  <c r="AR381" i="2"/>
  <c r="AH382" i="2"/>
  <c r="T383" i="2"/>
  <c r="F384" i="2"/>
  <c r="BA384" i="2"/>
  <c r="AF385" i="2"/>
  <c r="J386" i="2"/>
  <c r="AU386" i="2"/>
  <c r="Z387" i="2"/>
  <c r="D388" i="2"/>
  <c r="AN388" i="2"/>
  <c r="T389" i="2"/>
  <c r="BD389" i="2"/>
  <c r="AH390" i="2"/>
  <c r="M391" i="2"/>
  <c r="AW391" i="2"/>
  <c r="X392" i="2"/>
  <c r="BC392" i="2"/>
  <c r="U393" i="2"/>
  <c r="AU393" i="2"/>
  <c r="Q394" i="2"/>
  <c r="AM394" i="2"/>
  <c r="I395" i="2"/>
  <c r="AG395" i="2"/>
  <c r="BG395" i="2"/>
  <c r="AC396" i="2"/>
  <c r="AY396" i="2"/>
  <c r="U397" i="2"/>
  <c r="AS397" i="2"/>
  <c r="M398" i="2"/>
  <c r="AO398" i="2"/>
  <c r="E399" i="2"/>
  <c r="AG399" i="2"/>
  <c r="BE399" i="2"/>
  <c r="Y400" i="2"/>
  <c r="BA400" i="2"/>
  <c r="P401" i="2"/>
  <c r="AM401" i="2"/>
  <c r="BH401" i="2"/>
  <c r="V402" i="2"/>
  <c r="AS402" i="2"/>
  <c r="H403" i="2"/>
  <c r="AA403" i="2"/>
  <c r="AT403" i="2"/>
  <c r="J404" i="2"/>
  <c r="AC404" i="2"/>
  <c r="AV404" i="2"/>
  <c r="I405" i="2"/>
  <c r="AE405" i="2"/>
  <c r="AX405" i="2"/>
  <c r="K406" i="2"/>
  <c r="AD406" i="2"/>
  <c r="AY406" i="2"/>
  <c r="M407" i="2"/>
  <c r="AF407" i="2"/>
  <c r="AY407" i="2"/>
  <c r="L408" i="2"/>
  <c r="AH408" i="2"/>
  <c r="BA408" i="2"/>
  <c r="N409" i="2"/>
  <c r="AF409" i="2"/>
  <c r="AX409" i="2"/>
  <c r="K410" i="2"/>
  <c r="AD410" i="2"/>
  <c r="AV410" i="2"/>
  <c r="H411" i="2"/>
  <c r="Y411" i="2"/>
  <c r="AO411" i="2"/>
  <c r="BE411" i="2"/>
  <c r="O412" i="2"/>
  <c r="AE412" i="2"/>
  <c r="AU412" i="2"/>
  <c r="E413" i="2"/>
  <c r="U413" i="2"/>
  <c r="AK413" i="2"/>
  <c r="BA413" i="2"/>
  <c r="K414" i="2"/>
  <c r="AA414" i="2"/>
  <c r="AQ414" i="2"/>
  <c r="BG414" i="2"/>
  <c r="Q415" i="2"/>
  <c r="AG415" i="2"/>
  <c r="AW415" i="2"/>
  <c r="G416" i="2"/>
  <c r="W416" i="2"/>
  <c r="AM416" i="2"/>
  <c r="BC416" i="2"/>
  <c r="M417" i="2"/>
  <c r="AC417" i="2"/>
  <c r="AS417" i="2"/>
  <c r="C418" i="2"/>
  <c r="S418" i="2"/>
  <c r="AI418" i="2"/>
  <c r="AY418" i="2"/>
  <c r="I419" i="2"/>
  <c r="Y419" i="2"/>
  <c r="AO419" i="2"/>
  <c r="BE419" i="2"/>
  <c r="O420" i="2"/>
  <c r="AE420" i="2"/>
  <c r="AU420" i="2"/>
  <c r="E421" i="2"/>
  <c r="U421" i="2"/>
  <c r="AK421" i="2"/>
  <c r="BA421" i="2"/>
  <c r="K422" i="2"/>
  <c r="AA422" i="2"/>
  <c r="AQ422" i="2"/>
  <c r="BG422" i="2"/>
  <c r="Q423" i="2"/>
  <c r="AG423" i="2"/>
  <c r="AW423" i="2"/>
  <c r="G424" i="2"/>
  <c r="W424" i="2"/>
  <c r="AM424" i="2"/>
  <c r="BC424" i="2"/>
  <c r="M425" i="2"/>
  <c r="AC425" i="2"/>
  <c r="AS425" i="2"/>
  <c r="C426" i="2"/>
  <c r="S426" i="2"/>
  <c r="AI426" i="2"/>
  <c r="AY426" i="2"/>
  <c r="AC324" i="2"/>
  <c r="BH338" i="2"/>
  <c r="AO346" i="2"/>
  <c r="AG352" i="2"/>
  <c r="AS357" i="2"/>
  <c r="AP362" i="2"/>
  <c r="T366" i="2"/>
  <c r="AJ369" i="2"/>
  <c r="AV372" i="2"/>
  <c r="BH373" i="2"/>
  <c r="BA374" i="2"/>
  <c r="BC375" i="2"/>
  <c r="AU376" i="2"/>
  <c r="AL377" i="2"/>
  <c r="AH378" i="2"/>
  <c r="AB379" i="2"/>
  <c r="Q380" i="2"/>
  <c r="C381" i="2"/>
  <c r="AZ381" i="2"/>
  <c r="AJ382" i="2"/>
  <c r="U383" i="2"/>
  <c r="I384" i="2"/>
  <c r="BB384" i="2"/>
  <c r="AG385" i="2"/>
  <c r="K386" i="2"/>
  <c r="AW386" i="2"/>
  <c r="AA387" i="2"/>
  <c r="E388" i="2"/>
  <c r="AO388" i="2"/>
  <c r="U389" i="2"/>
  <c r="BE389" i="2"/>
  <c r="AI390" i="2"/>
  <c r="O391" i="2"/>
  <c r="AX391" i="2"/>
  <c r="Y392" i="2"/>
  <c r="BD392" i="2"/>
  <c r="W393" i="2"/>
  <c r="AV393" i="2"/>
  <c r="R394" i="2"/>
  <c r="AN394" i="2"/>
  <c r="J395" i="2"/>
  <c r="AI395" i="2"/>
  <c r="BH395" i="2"/>
  <c r="AD396" i="2"/>
  <c r="AZ396" i="2"/>
  <c r="V397" i="2"/>
  <c r="AU397" i="2"/>
  <c r="N398" i="2"/>
  <c r="AP398" i="2"/>
  <c r="F399" i="2"/>
  <c r="AH399" i="2"/>
  <c r="BG399" i="2"/>
  <c r="Z400" i="2"/>
  <c r="BB400" i="2"/>
  <c r="Q401" i="2"/>
  <c r="AO401" i="2"/>
  <c r="C402" i="2"/>
  <c r="W402" i="2"/>
  <c r="AU402" i="2"/>
  <c r="I403" i="2"/>
  <c r="AB403" i="2"/>
  <c r="AW403" i="2"/>
  <c r="K404" i="2"/>
  <c r="AD404" i="2"/>
  <c r="AW404" i="2"/>
  <c r="J405" i="2"/>
  <c r="AF405" i="2"/>
  <c r="AY405" i="2"/>
  <c r="L406" i="2"/>
  <c r="AE406" i="2"/>
  <c r="BA406" i="2"/>
  <c r="N407" i="2"/>
  <c r="AG407" i="2"/>
  <c r="AZ407" i="2"/>
  <c r="O408" i="2"/>
  <c r="AI408" i="2"/>
  <c r="BB408" i="2"/>
  <c r="O409" i="2"/>
  <c r="AG409" i="2"/>
  <c r="AY409" i="2"/>
  <c r="M410" i="2"/>
  <c r="AE410" i="2"/>
  <c r="AW410" i="2"/>
  <c r="I411" i="2"/>
  <c r="Z411" i="2"/>
  <c r="AP411" i="2"/>
  <c r="BF411" i="2"/>
  <c r="P412" i="2"/>
  <c r="AF412" i="2"/>
  <c r="AV412" i="2"/>
  <c r="F413" i="2"/>
  <c r="V413" i="2"/>
  <c r="AL413" i="2"/>
  <c r="BB413" i="2"/>
  <c r="L414" i="2"/>
  <c r="AB414" i="2"/>
  <c r="AR414" i="2"/>
  <c r="BH414" i="2"/>
  <c r="R415" i="2"/>
  <c r="AH415" i="2"/>
  <c r="AX415" i="2"/>
  <c r="H416" i="2"/>
  <c r="X416" i="2"/>
  <c r="AN416" i="2"/>
  <c r="BD416" i="2"/>
  <c r="N417" i="2"/>
  <c r="AD417" i="2"/>
  <c r="AT417" i="2"/>
  <c r="D418" i="2"/>
  <c r="T418" i="2"/>
  <c r="AJ418" i="2"/>
  <c r="AZ418" i="2"/>
  <c r="J419" i="2"/>
  <c r="Z419" i="2"/>
  <c r="AP419" i="2"/>
  <c r="BF419" i="2"/>
  <c r="P420" i="2"/>
  <c r="AF420" i="2"/>
  <c r="AV420" i="2"/>
  <c r="F421" i="2"/>
  <c r="V421" i="2"/>
  <c r="AL421" i="2"/>
  <c r="BB421" i="2"/>
  <c r="L422" i="2"/>
  <c r="AB422" i="2"/>
  <c r="AR422" i="2"/>
  <c r="BH422" i="2"/>
  <c r="R423" i="2"/>
  <c r="AH423" i="2"/>
  <c r="AX423" i="2"/>
  <c r="H424" i="2"/>
  <c r="X424" i="2"/>
  <c r="AN424" i="2"/>
  <c r="BD424" i="2"/>
  <c r="N425" i="2"/>
  <c r="AD425" i="2"/>
  <c r="AT425" i="2"/>
  <c r="D426" i="2"/>
  <c r="T426" i="2"/>
  <c r="AJ426" i="2"/>
  <c r="AZ426" i="2"/>
  <c r="J427" i="2"/>
  <c r="Z427" i="2"/>
  <c r="AP427" i="2"/>
  <c r="BF427" i="2"/>
  <c r="P428" i="2"/>
  <c r="AF428" i="2"/>
  <c r="AV428" i="2"/>
  <c r="F429" i="2"/>
  <c r="V429" i="2"/>
  <c r="AS325" i="2"/>
  <c r="E340" i="2"/>
  <c r="AT346" i="2"/>
  <c r="AU352" i="2"/>
  <c r="X358" i="2"/>
  <c r="AS362" i="2"/>
  <c r="W366" i="2"/>
  <c r="BE369" i="2"/>
  <c r="AY372" i="2"/>
  <c r="C374" i="2"/>
  <c r="BH374" i="2"/>
  <c r="BD375" i="2"/>
  <c r="AV376" i="2"/>
  <c r="AT377" i="2"/>
  <c r="AO378" i="2"/>
  <c r="AD379" i="2"/>
  <c r="R380" i="2"/>
  <c r="F381" i="2"/>
  <c r="BB381" i="2"/>
  <c r="AK382" i="2"/>
  <c r="X383" i="2"/>
  <c r="O384" i="2"/>
  <c r="BD384" i="2"/>
  <c r="AH385" i="2"/>
  <c r="L386" i="2"/>
  <c r="AX386" i="2"/>
  <c r="AB387" i="2"/>
  <c r="F388" i="2"/>
  <c r="AQ388" i="2"/>
  <c r="V389" i="2"/>
  <c r="BF389" i="2"/>
  <c r="AJ390" i="2"/>
  <c r="P391" i="2"/>
  <c r="AY391" i="2"/>
  <c r="Z392" i="2"/>
  <c r="BE392" i="2"/>
  <c r="AA393" i="2"/>
  <c r="AW393" i="2"/>
  <c r="S394" i="2"/>
  <c r="AQ394" i="2"/>
  <c r="K395" i="2"/>
  <c r="AM395" i="2"/>
  <c r="C396" i="2"/>
  <c r="AE396" i="2"/>
  <c r="BC396" i="2"/>
  <c r="W397" i="2"/>
  <c r="AY397" i="2"/>
  <c r="O398" i="2"/>
  <c r="AQ398" i="2"/>
  <c r="I399" i="2"/>
  <c r="AI399" i="2"/>
  <c r="E400" i="2"/>
  <c r="AA400" i="2"/>
  <c r="BC400" i="2"/>
  <c r="R401" i="2"/>
  <c r="AP401" i="2"/>
  <c r="D402" i="2"/>
  <c r="X402" i="2"/>
  <c r="AV402" i="2"/>
  <c r="J403" i="2"/>
  <c r="AC403" i="2"/>
  <c r="AY403" i="2"/>
  <c r="L404" i="2"/>
  <c r="AE404" i="2"/>
  <c r="AX404" i="2"/>
  <c r="M405" i="2"/>
  <c r="AG405" i="2"/>
  <c r="AZ405" i="2"/>
  <c r="M406" i="2"/>
  <c r="AF406" i="2"/>
  <c r="BB406" i="2"/>
  <c r="O407" i="2"/>
  <c r="AH407" i="2"/>
  <c r="BA407" i="2"/>
  <c r="Q408" i="2"/>
  <c r="AJ408" i="2"/>
  <c r="BC408" i="2"/>
  <c r="P409" i="2"/>
  <c r="AH409" i="2"/>
  <c r="BA409" i="2"/>
  <c r="N410" i="2"/>
  <c r="AF410" i="2"/>
  <c r="AX410" i="2"/>
  <c r="J411" i="2"/>
  <c r="AA411" i="2"/>
  <c r="AQ411" i="2"/>
  <c r="BG411" i="2"/>
  <c r="Q412" i="2"/>
  <c r="AG412" i="2"/>
  <c r="AW412" i="2"/>
  <c r="G413" i="2"/>
  <c r="W413" i="2"/>
  <c r="AM413" i="2"/>
  <c r="BC413" i="2"/>
  <c r="M414" i="2"/>
  <c r="AC414" i="2"/>
  <c r="AS414" i="2"/>
  <c r="C415" i="2"/>
  <c r="S415" i="2"/>
  <c r="AI415" i="2"/>
  <c r="AY415" i="2"/>
  <c r="I416" i="2"/>
  <c r="Y416" i="2"/>
  <c r="AO416" i="2"/>
  <c r="BE416" i="2"/>
  <c r="O417" i="2"/>
  <c r="AE417" i="2"/>
  <c r="AU417" i="2"/>
  <c r="E418" i="2"/>
  <c r="U418" i="2"/>
  <c r="AK418" i="2"/>
  <c r="BA418" i="2"/>
  <c r="K419" i="2"/>
  <c r="AA419" i="2"/>
  <c r="AQ419" i="2"/>
  <c r="BG419" i="2"/>
  <c r="Q420" i="2"/>
  <c r="AG420" i="2"/>
  <c r="AW420" i="2"/>
  <c r="G421" i="2"/>
  <c r="W421" i="2"/>
  <c r="AM421" i="2"/>
  <c r="BC421" i="2"/>
  <c r="M422" i="2"/>
  <c r="AC422" i="2"/>
  <c r="AS422" i="2"/>
  <c r="C423" i="2"/>
  <c r="S423" i="2"/>
  <c r="AI423" i="2"/>
  <c r="AY423" i="2"/>
  <c r="I424" i="2"/>
  <c r="Y424" i="2"/>
  <c r="AO424" i="2"/>
  <c r="BE424" i="2"/>
  <c r="O425" i="2"/>
  <c r="AE425" i="2"/>
  <c r="AU425" i="2"/>
  <c r="E426" i="2"/>
  <c r="U426" i="2"/>
  <c r="AK426" i="2"/>
  <c r="BA426" i="2"/>
  <c r="K427" i="2"/>
  <c r="AA427" i="2"/>
  <c r="AI328" i="2"/>
  <c r="J340" i="2"/>
  <c r="D347" i="2"/>
  <c r="AF353" i="2"/>
  <c r="AK358" i="2"/>
  <c r="BE362" i="2"/>
  <c r="AY366" i="2"/>
  <c r="J370" i="2"/>
  <c r="BB372" i="2"/>
  <c r="G374" i="2"/>
  <c r="H375" i="2"/>
  <c r="BF375" i="2"/>
  <c r="AW376" i="2"/>
  <c r="AV377" i="2"/>
  <c r="AP378" i="2"/>
  <c r="AE379" i="2"/>
  <c r="U380" i="2"/>
  <c r="L381" i="2"/>
  <c r="BD381" i="2"/>
  <c r="AM382" i="2"/>
  <c r="Z383" i="2"/>
  <c r="P384" i="2"/>
  <c r="BE384" i="2"/>
  <c r="AI385" i="2"/>
  <c r="M386" i="2"/>
  <c r="AY386" i="2"/>
  <c r="AC387" i="2"/>
  <c r="G388" i="2"/>
  <c r="AS388" i="2"/>
  <c r="W389" i="2"/>
  <c r="BG389" i="2"/>
  <c r="AK390" i="2"/>
  <c r="Q391" i="2"/>
  <c r="AZ391" i="2"/>
  <c r="AA392" i="2"/>
  <c r="BF392" i="2"/>
  <c r="AB393" i="2"/>
  <c r="AX393" i="2"/>
  <c r="T394" i="2"/>
  <c r="AS394" i="2"/>
  <c r="L395" i="2"/>
  <c r="AN395" i="2"/>
  <c r="D396" i="2"/>
  <c r="AF396" i="2"/>
  <c r="BE396" i="2"/>
  <c r="X397" i="2"/>
  <c r="AZ397" i="2"/>
  <c r="P398" i="2"/>
  <c r="AR398" i="2"/>
  <c r="K399" i="2"/>
  <c r="AJ399" i="2"/>
  <c r="F400" i="2"/>
  <c r="AB400" i="2"/>
  <c r="BD400" i="2"/>
  <c r="U401" i="2"/>
  <c r="AQ401" i="2"/>
  <c r="E402" i="2"/>
  <c r="AA402" i="2"/>
  <c r="AW402" i="2"/>
  <c r="K403" i="2"/>
  <c r="AD403" i="2"/>
  <c r="AZ403" i="2"/>
  <c r="M404" i="2"/>
  <c r="AF404" i="2"/>
  <c r="AY404" i="2"/>
  <c r="O405" i="2"/>
  <c r="AH405" i="2"/>
  <c r="BA405" i="2"/>
  <c r="N406" i="2"/>
  <c r="AI406" i="2"/>
  <c r="BC406" i="2"/>
  <c r="P407" i="2"/>
  <c r="AI407" i="2"/>
  <c r="BB407" i="2"/>
  <c r="R408" i="2"/>
  <c r="AK408" i="2"/>
  <c r="BD408" i="2"/>
  <c r="Q409" i="2"/>
  <c r="AI409" i="2"/>
  <c r="BC409" i="2"/>
  <c r="O410" i="2"/>
  <c r="AG410" i="2"/>
  <c r="AY410" i="2"/>
  <c r="K411" i="2"/>
  <c r="AB411" i="2"/>
  <c r="AR411" i="2"/>
  <c r="BH411" i="2"/>
  <c r="R412" i="2"/>
  <c r="AH412" i="2"/>
  <c r="AX412" i="2"/>
  <c r="H413" i="2"/>
  <c r="X413" i="2"/>
  <c r="AN413" i="2"/>
  <c r="BD413" i="2"/>
  <c r="N414" i="2"/>
  <c r="AD414" i="2"/>
  <c r="AT414" i="2"/>
  <c r="D415" i="2"/>
  <c r="T415" i="2"/>
  <c r="AJ415" i="2"/>
  <c r="AZ415" i="2"/>
  <c r="J416" i="2"/>
  <c r="Z416" i="2"/>
  <c r="AP416" i="2"/>
  <c r="BF416" i="2"/>
  <c r="P417" i="2"/>
  <c r="AF417" i="2"/>
  <c r="AV417" i="2"/>
  <c r="F418" i="2"/>
  <c r="V418" i="2"/>
  <c r="AL418" i="2"/>
  <c r="BB418" i="2"/>
  <c r="L419" i="2"/>
  <c r="AB419" i="2"/>
  <c r="AR419" i="2"/>
  <c r="BH419" i="2"/>
  <c r="R420" i="2"/>
  <c r="AH420" i="2"/>
  <c r="AX420" i="2"/>
  <c r="H421" i="2"/>
  <c r="X421" i="2"/>
  <c r="AN421" i="2"/>
  <c r="I329" i="2"/>
  <c r="AG340" i="2"/>
  <c r="AX347" i="2"/>
  <c r="AV353" i="2"/>
  <c r="AO358" i="2"/>
  <c r="U363" i="2"/>
  <c r="BC366" i="2"/>
  <c r="L370" i="2"/>
  <c r="BD372" i="2"/>
  <c r="M374" i="2"/>
  <c r="I375" i="2"/>
  <c r="BG375" i="2"/>
  <c r="BE376" i="2"/>
  <c r="BB377" i="2"/>
  <c r="AR378" i="2"/>
  <c r="AF379" i="2"/>
  <c r="W380" i="2"/>
  <c r="M381" i="2"/>
  <c r="BE381" i="2"/>
  <c r="AR382" i="2"/>
  <c r="AI383" i="2"/>
  <c r="S384" i="2"/>
  <c r="BF384" i="2"/>
  <c r="AJ385" i="2"/>
  <c r="O386" i="2"/>
  <c r="AZ386" i="2"/>
  <c r="AD387" i="2"/>
  <c r="H388" i="2"/>
  <c r="AT388" i="2"/>
  <c r="X389" i="2"/>
  <c r="BH389" i="2"/>
  <c r="AM390" i="2"/>
  <c r="R391" i="2"/>
  <c r="BA391" i="2"/>
  <c r="AB392" i="2"/>
  <c r="BG392" i="2"/>
  <c r="AC393" i="2"/>
  <c r="BA393" i="2"/>
  <c r="U394" i="2"/>
  <c r="AW394" i="2"/>
  <c r="M395" i="2"/>
  <c r="AO395" i="2"/>
  <c r="G396" i="2"/>
  <c r="AG396" i="2"/>
  <c r="C397" i="2"/>
  <c r="Y397" i="2"/>
  <c r="BA397" i="2"/>
  <c r="S398" i="2"/>
  <c r="AS398" i="2"/>
  <c r="O399" i="2"/>
  <c r="AK399" i="2"/>
  <c r="G400" i="2"/>
  <c r="AE400" i="2"/>
  <c r="BE400" i="2"/>
  <c r="W401" i="2"/>
  <c r="AR401" i="2"/>
  <c r="F402" i="2"/>
  <c r="AC402" i="2"/>
  <c r="AX402" i="2"/>
  <c r="L403" i="2"/>
  <c r="AG403" i="2"/>
  <c r="BA403" i="2"/>
  <c r="N404" i="2"/>
  <c r="AG404" i="2"/>
  <c r="AZ404" i="2"/>
  <c r="P405" i="2"/>
  <c r="AI405" i="2"/>
  <c r="BB405" i="2"/>
  <c r="O406" i="2"/>
  <c r="AK406" i="2"/>
  <c r="BD406" i="2"/>
  <c r="Q407" i="2"/>
  <c r="AJ407" i="2"/>
  <c r="BE407" i="2"/>
  <c r="S408" i="2"/>
  <c r="AL408" i="2"/>
  <c r="BE408" i="2"/>
  <c r="R409" i="2"/>
  <c r="AK409" i="2"/>
  <c r="BD409" i="2"/>
  <c r="P410" i="2"/>
  <c r="AH410" i="2"/>
  <c r="AZ410" i="2"/>
  <c r="L411" i="2"/>
  <c r="AC411" i="2"/>
  <c r="AS411" i="2"/>
  <c r="C412" i="2"/>
  <c r="S412" i="2"/>
  <c r="AI412" i="2"/>
  <c r="AY412" i="2"/>
  <c r="I413" i="2"/>
  <c r="Y413" i="2"/>
  <c r="AO413" i="2"/>
  <c r="BE413" i="2"/>
  <c r="O414" i="2"/>
  <c r="AY329" i="2"/>
  <c r="AA341" i="2"/>
  <c r="I348" i="2"/>
  <c r="AY353" i="2"/>
  <c r="R359" i="2"/>
  <c r="AG363" i="2"/>
  <c r="G367" i="2"/>
  <c r="AO370" i="2"/>
  <c r="I373" i="2"/>
  <c r="S374" i="2"/>
  <c r="K375" i="2"/>
  <c r="C376" i="2"/>
  <c r="BG376" i="2"/>
  <c r="BC377" i="2"/>
  <c r="AS378" i="2"/>
  <c r="AI379" i="2"/>
  <c r="AF380" i="2"/>
  <c r="O381" i="2"/>
  <c r="BF381" i="2"/>
  <c r="AT382" i="2"/>
  <c r="AJ383" i="2"/>
  <c r="U384" i="2"/>
  <c r="C385" i="2"/>
  <c r="AM385" i="2"/>
  <c r="S386" i="2"/>
  <c r="BC386" i="2"/>
  <c r="AG387" i="2"/>
  <c r="M388" i="2"/>
  <c r="AW388" i="2"/>
  <c r="AA389" i="2"/>
  <c r="E390" i="2"/>
  <c r="AQ390" i="2"/>
  <c r="U391" i="2"/>
  <c r="BD391" i="2"/>
  <c r="AE392" i="2"/>
  <c r="BH392" i="2"/>
  <c r="AD393" i="2"/>
  <c r="BC393" i="2"/>
  <c r="V394" i="2"/>
  <c r="AX394" i="2"/>
  <c r="N395" i="2"/>
  <c r="AP395" i="2"/>
  <c r="I396" i="2"/>
  <c r="AH396" i="2"/>
  <c r="D397" i="2"/>
  <c r="Z397" i="2"/>
  <c r="BB397" i="2"/>
  <c r="U398" i="2"/>
  <c r="AT398" i="2"/>
  <c r="P399" i="2"/>
  <c r="AL399" i="2"/>
  <c r="H400" i="2"/>
  <c r="AG400" i="2"/>
  <c r="BF400" i="2"/>
  <c r="Y401" i="2"/>
  <c r="AS401" i="2"/>
  <c r="G402" i="2"/>
  <c r="AE402" i="2"/>
  <c r="AY402" i="2"/>
  <c r="M403" i="2"/>
  <c r="AI403" i="2"/>
  <c r="BB403" i="2"/>
  <c r="O404" i="2"/>
  <c r="AH404" i="2"/>
  <c r="BC404" i="2"/>
  <c r="Q405" i="2"/>
  <c r="AJ405" i="2"/>
  <c r="BC405" i="2"/>
  <c r="P406" i="2"/>
  <c r="AL406" i="2"/>
  <c r="BE406" i="2"/>
  <c r="R407" i="2"/>
  <c r="AK407" i="2"/>
  <c r="BG407" i="2"/>
  <c r="T408" i="2"/>
  <c r="AM408" i="2"/>
  <c r="BF408" i="2"/>
  <c r="S409" i="2"/>
  <c r="AM409" i="2"/>
  <c r="BE409" i="2"/>
  <c r="Q410" i="2"/>
  <c r="AI410" i="2"/>
  <c r="BA410" i="2"/>
  <c r="M411" i="2"/>
  <c r="AD411" i="2"/>
  <c r="AT411" i="2"/>
  <c r="D412" i="2"/>
  <c r="T412" i="2"/>
  <c r="AJ412" i="2"/>
  <c r="AZ412" i="2"/>
  <c r="J413" i="2"/>
  <c r="Z413" i="2"/>
  <c r="AP413" i="2"/>
  <c r="BF413" i="2"/>
  <c r="P414" i="2"/>
  <c r="AQ331" i="2"/>
  <c r="AT341" i="2"/>
  <c r="P348" i="2"/>
  <c r="AH354" i="2"/>
  <c r="AF359" i="2"/>
  <c r="AI363" i="2"/>
  <c r="AA367" i="2"/>
  <c r="AR370" i="2"/>
  <c r="L373" i="2"/>
  <c r="T374" i="2"/>
  <c r="M375" i="2"/>
  <c r="J376" i="2"/>
  <c r="G377" i="2"/>
  <c r="D378" i="2"/>
  <c r="AU378" i="2"/>
  <c r="AN379" i="2"/>
  <c r="AG380" i="2"/>
  <c r="Q381" i="2"/>
  <c r="C382" i="2"/>
  <c r="AZ382" i="2"/>
  <c r="AL383" i="2"/>
  <c r="V384" i="2"/>
  <c r="E385" i="2"/>
  <c r="AQ385" i="2"/>
  <c r="U386" i="2"/>
  <c r="BE386" i="2"/>
  <c r="AI387" i="2"/>
  <c r="O388" i="2"/>
  <c r="AY388" i="2"/>
  <c r="AC389" i="2"/>
  <c r="I390" i="2"/>
  <c r="AS390" i="2"/>
  <c r="W391" i="2"/>
  <c r="BF391" i="2"/>
  <c r="AG392" i="2"/>
  <c r="E393" i="2"/>
  <c r="AE393" i="2"/>
  <c r="BG393" i="2"/>
  <c r="W394" i="2"/>
  <c r="AY394" i="2"/>
  <c r="Q395" i="2"/>
  <c r="AQ395" i="2"/>
  <c r="M396" i="2"/>
  <c r="AI396" i="2"/>
  <c r="E397" i="2"/>
  <c r="AC397" i="2"/>
  <c r="BC397" i="2"/>
  <c r="Y398" i="2"/>
  <c r="AU398" i="2"/>
  <c r="Q399" i="2"/>
  <c r="AO399" i="2"/>
  <c r="I400" i="2"/>
  <c r="AK400" i="2"/>
  <c r="BG400" i="2"/>
  <c r="Z401" i="2"/>
  <c r="AT401" i="2"/>
  <c r="H402" i="2"/>
  <c r="AF402" i="2"/>
  <c r="AZ402" i="2"/>
  <c r="N403" i="2"/>
  <c r="AJ403" i="2"/>
  <c r="BC403" i="2"/>
  <c r="P404" i="2"/>
  <c r="AI404" i="2"/>
  <c r="BE404" i="2"/>
  <c r="R405" i="2"/>
  <c r="AK405" i="2"/>
  <c r="BD405" i="2"/>
  <c r="S406" i="2"/>
  <c r="AM406" i="2"/>
  <c r="BF406" i="2"/>
  <c r="S407" i="2"/>
  <c r="AL407" i="2"/>
  <c r="BH407" i="2"/>
  <c r="U408" i="2"/>
  <c r="AN408" i="2"/>
  <c r="BG408" i="2"/>
  <c r="U409" i="2"/>
  <c r="AN409" i="2"/>
  <c r="BF409" i="2"/>
  <c r="R410" i="2"/>
  <c r="AJ410" i="2"/>
  <c r="BB410" i="2"/>
  <c r="N411" i="2"/>
  <c r="AE411" i="2"/>
  <c r="AU411" i="2"/>
  <c r="E412" i="2"/>
  <c r="U412" i="2"/>
  <c r="AK412" i="2"/>
  <c r="BA412" i="2"/>
  <c r="K413" i="2"/>
  <c r="AA413" i="2"/>
  <c r="AI332" i="2"/>
  <c r="AT342" i="2"/>
  <c r="P349" i="2"/>
  <c r="AZ354" i="2"/>
  <c r="M360" i="2"/>
  <c r="U364" i="2"/>
  <c r="AO367" i="2"/>
  <c r="P371" i="2"/>
  <c r="V373" i="2"/>
  <c r="AB374" i="2"/>
  <c r="U375" i="2"/>
  <c r="S376" i="2"/>
  <c r="O377" i="2"/>
  <c r="F378" i="2"/>
  <c r="BC378" i="2"/>
  <c r="AV379" i="2"/>
  <c r="AJ380" i="2"/>
  <c r="W381" i="2"/>
  <c r="N382" i="2"/>
  <c r="BE382" i="2"/>
  <c r="AN383" i="2"/>
  <c r="AA384" i="2"/>
  <c r="N385" i="2"/>
  <c r="AX385" i="2"/>
  <c r="AB386" i="2"/>
  <c r="H387" i="2"/>
  <c r="AR387" i="2"/>
  <c r="V388" i="2"/>
  <c r="BG388" i="2"/>
  <c r="AL389" i="2"/>
  <c r="P390" i="2"/>
  <c r="AZ390" i="2"/>
  <c r="AF391" i="2"/>
  <c r="H392" i="2"/>
  <c r="AN392" i="2"/>
  <c r="K393" i="2"/>
  <c r="AG393" i="2"/>
  <c r="C394" i="2"/>
  <c r="AA394" i="2"/>
  <c r="BA394" i="2"/>
  <c r="W395" i="2"/>
  <c r="AS395" i="2"/>
  <c r="O396" i="2"/>
  <c r="AM396" i="2"/>
  <c r="G397" i="2"/>
  <c r="AI397" i="2"/>
  <c r="BE397" i="2"/>
  <c r="AA398" i="2"/>
  <c r="AY398" i="2"/>
  <c r="S399" i="2"/>
  <c r="AU399" i="2"/>
  <c r="K400" i="2"/>
  <c r="AM400" i="2"/>
  <c r="E401" i="2"/>
  <c r="AB401" i="2"/>
  <c r="AV401" i="2"/>
  <c r="M402" i="2"/>
  <c r="AH402" i="2"/>
  <c r="BB402" i="2"/>
  <c r="S403" i="2"/>
  <c r="AL403" i="2"/>
  <c r="BE403" i="2"/>
  <c r="R404" i="2"/>
  <c r="AM404" i="2"/>
  <c r="BG404" i="2"/>
  <c r="T405" i="2"/>
  <c r="AM405" i="2"/>
  <c r="BF405" i="2"/>
  <c r="V406" i="2"/>
  <c r="AO406" i="2"/>
  <c r="BH406" i="2"/>
  <c r="U407" i="2"/>
  <c r="BD312" i="2"/>
  <c r="AL356" i="2"/>
  <c r="C372" i="2"/>
  <c r="AE376" i="2"/>
  <c r="C380" i="2"/>
  <c r="O383" i="2"/>
  <c r="BG385" i="2"/>
  <c r="AE388" i="2"/>
  <c r="C391" i="2"/>
  <c r="P393" i="2"/>
  <c r="C395" i="2"/>
  <c r="AV396" i="2"/>
  <c r="AF398" i="2"/>
  <c r="V400" i="2"/>
  <c r="BE401" i="2"/>
  <c r="X403" i="2"/>
  <c r="AS404" i="2"/>
  <c r="H406" i="2"/>
  <c r="AC407" i="2"/>
  <c r="AO408" i="2"/>
  <c r="AP409" i="2"/>
  <c r="AM410" i="2"/>
  <c r="AI411" i="2"/>
  <c r="AB412" i="2"/>
  <c r="AB413" i="2"/>
  <c r="H414" i="2"/>
  <c r="AV414" i="2"/>
  <c r="V415" i="2"/>
  <c r="BB415" i="2"/>
  <c r="AB416" i="2"/>
  <c r="BH416" i="2"/>
  <c r="AH417" i="2"/>
  <c r="H418" i="2"/>
  <c r="AN418" i="2"/>
  <c r="N419" i="2"/>
  <c r="AT419" i="2"/>
  <c r="T420" i="2"/>
  <c r="AZ420" i="2"/>
  <c r="Z421" i="2"/>
  <c r="BE421" i="2"/>
  <c r="X422" i="2"/>
  <c r="AZ422" i="2"/>
  <c r="X423" i="2"/>
  <c r="BB423" i="2"/>
  <c r="Z424" i="2"/>
  <c r="AW424" i="2"/>
  <c r="U425" i="2"/>
  <c r="AY425" i="2"/>
  <c r="W426" i="2"/>
  <c r="AV426" i="2"/>
  <c r="Q427" i="2"/>
  <c r="AR427" i="2"/>
  <c r="G428" i="2"/>
  <c r="AG428" i="2"/>
  <c r="BB428" i="2"/>
  <c r="U429" i="2"/>
  <c r="AP429" i="2"/>
  <c r="D430" i="2"/>
  <c r="AB430" i="2"/>
  <c r="AV430" i="2"/>
  <c r="J431" i="2"/>
  <c r="AH431" i="2"/>
  <c r="BB431" i="2"/>
  <c r="P432" i="2"/>
  <c r="AN432" i="2"/>
  <c r="BH432" i="2"/>
  <c r="V433" i="2"/>
  <c r="AT433" i="2"/>
  <c r="H434" i="2"/>
  <c r="AB434" i="2"/>
  <c r="AZ434" i="2"/>
  <c r="M435" i="2"/>
  <c r="AF435" i="2"/>
  <c r="AY435" i="2"/>
  <c r="O436" i="2"/>
  <c r="AH436" i="2"/>
  <c r="BA436" i="2"/>
  <c r="M437" i="2"/>
  <c r="AE437" i="2"/>
  <c r="AY437" i="2"/>
  <c r="K438" i="2"/>
  <c r="AC438" i="2"/>
  <c r="AU438" i="2"/>
  <c r="G439" i="2"/>
  <c r="Y439" i="2"/>
  <c r="AQ439" i="2"/>
  <c r="E440" i="2"/>
  <c r="W440" i="2"/>
  <c r="AO440" i="2"/>
  <c r="BG440" i="2"/>
  <c r="S441" i="2"/>
  <c r="AJ441" i="2"/>
  <c r="BA441" i="2"/>
  <c r="K442" i="2"/>
  <c r="AA442" i="2"/>
  <c r="AQ442" i="2"/>
  <c r="BG442" i="2"/>
  <c r="Q443" i="2"/>
  <c r="AG443" i="2"/>
  <c r="AW443" i="2"/>
  <c r="G444" i="2"/>
  <c r="W444" i="2"/>
  <c r="AM444" i="2"/>
  <c r="BC444" i="2"/>
  <c r="M445" i="2"/>
  <c r="AC445" i="2"/>
  <c r="AS445" i="2"/>
  <c r="C446" i="2"/>
  <c r="S446" i="2"/>
  <c r="AI446" i="2"/>
  <c r="AY446" i="2"/>
  <c r="I447" i="2"/>
  <c r="Y447" i="2"/>
  <c r="AO447" i="2"/>
  <c r="BE447" i="2"/>
  <c r="O448" i="2"/>
  <c r="AE448" i="2"/>
  <c r="AU448" i="2"/>
  <c r="E449" i="2"/>
  <c r="U449" i="2"/>
  <c r="AK449" i="2"/>
  <c r="BA449" i="2"/>
  <c r="K450" i="2"/>
  <c r="AA450" i="2"/>
  <c r="AQ450" i="2"/>
  <c r="BG450" i="2"/>
  <c r="Q451" i="2"/>
  <c r="AG451" i="2"/>
  <c r="AW451" i="2"/>
  <c r="G452" i="2"/>
  <c r="W452" i="2"/>
  <c r="AM452" i="2"/>
  <c r="BC452" i="2"/>
  <c r="M453" i="2"/>
  <c r="AC453" i="2"/>
  <c r="AS453" i="2"/>
  <c r="C454" i="2"/>
  <c r="S454" i="2"/>
  <c r="AI454" i="2"/>
  <c r="AY454" i="2"/>
  <c r="I455" i="2"/>
  <c r="Y455" i="2"/>
  <c r="AO455" i="2"/>
  <c r="BE455" i="2"/>
  <c r="O456" i="2"/>
  <c r="AE456" i="2"/>
  <c r="AU456" i="2"/>
  <c r="E457" i="2"/>
  <c r="U457" i="2"/>
  <c r="AK457" i="2"/>
  <c r="BA457" i="2"/>
  <c r="K458" i="2"/>
  <c r="AA458" i="2"/>
  <c r="AQ458" i="2"/>
  <c r="BG458" i="2"/>
  <c r="Q459" i="2"/>
  <c r="AG459" i="2"/>
  <c r="AW459" i="2"/>
  <c r="G460" i="2"/>
  <c r="W460" i="2"/>
  <c r="AM460" i="2"/>
  <c r="BC460" i="2"/>
  <c r="M461" i="2"/>
  <c r="AC461" i="2"/>
  <c r="AS461" i="2"/>
  <c r="C462" i="2"/>
  <c r="S462" i="2"/>
  <c r="AI462" i="2"/>
  <c r="AE332" i="2"/>
  <c r="AI359" i="2"/>
  <c r="N373" i="2"/>
  <c r="I377" i="2"/>
  <c r="AI380" i="2"/>
  <c r="AM383" i="2"/>
  <c r="AA386" i="2"/>
  <c r="BE388" i="2"/>
  <c r="AE391" i="2"/>
  <c r="AF393" i="2"/>
  <c r="S395" i="2"/>
  <c r="F397" i="2"/>
  <c r="AV398" i="2"/>
  <c r="AL400" i="2"/>
  <c r="K402" i="2"/>
  <c r="AK403" i="2"/>
  <c r="BF404" i="2"/>
  <c r="U406" i="2"/>
  <c r="AO407" i="2"/>
  <c r="AP408" i="2"/>
  <c r="AQ409" i="2"/>
  <c r="AN410" i="2"/>
  <c r="AL411" i="2"/>
  <c r="AL412" i="2"/>
  <c r="AC413" i="2"/>
  <c r="Q414" i="2"/>
  <c r="AW414" i="2"/>
  <c r="W415" i="2"/>
  <c r="BC415" i="2"/>
  <c r="AC416" i="2"/>
  <c r="C417" i="2"/>
  <c r="AI417" i="2"/>
  <c r="I418" i="2"/>
  <c r="AO418" i="2"/>
  <c r="O419" i="2"/>
  <c r="AU419" i="2"/>
  <c r="U420" i="2"/>
  <c r="BA420" i="2"/>
  <c r="AA421" i="2"/>
  <c r="BF421" i="2"/>
  <c r="AD422" i="2"/>
  <c r="BA422" i="2"/>
  <c r="Y423" i="2"/>
  <c r="BC423" i="2"/>
  <c r="AA424" i="2"/>
  <c r="AZ424" i="2"/>
  <c r="V425" i="2"/>
  <c r="AZ425" i="2"/>
  <c r="X426" i="2"/>
  <c r="BB426" i="2"/>
  <c r="R427" i="2"/>
  <c r="AS427" i="2"/>
  <c r="H428" i="2"/>
  <c r="AH428" i="2"/>
  <c r="BC428" i="2"/>
  <c r="W429" i="2"/>
  <c r="AQ429" i="2"/>
  <c r="E430" i="2"/>
  <c r="AC430" i="2"/>
  <c r="AW430" i="2"/>
  <c r="K431" i="2"/>
  <c r="AI431" i="2"/>
  <c r="BC431" i="2"/>
  <c r="Q432" i="2"/>
  <c r="AO432" i="2"/>
  <c r="C433" i="2"/>
  <c r="W433" i="2"/>
  <c r="AU433" i="2"/>
  <c r="I434" i="2"/>
  <c r="AC434" i="2"/>
  <c r="BA434" i="2"/>
  <c r="N435" i="2"/>
  <c r="AG435" i="2"/>
  <c r="BB435" i="2"/>
  <c r="P436" i="2"/>
  <c r="AI436" i="2"/>
  <c r="BB436" i="2"/>
  <c r="N437" i="2"/>
  <c r="AH437" i="2"/>
  <c r="AZ437" i="2"/>
  <c r="L438" i="2"/>
  <c r="AD438" i="2"/>
  <c r="AV438" i="2"/>
  <c r="H439" i="2"/>
  <c r="Z439" i="2"/>
  <c r="AT439" i="2"/>
  <c r="F440" i="2"/>
  <c r="X440" i="2"/>
  <c r="AP440" i="2"/>
  <c r="BH440" i="2"/>
  <c r="T441" i="2"/>
  <c r="AK441" i="2"/>
  <c r="BB441" i="2"/>
  <c r="L442" i="2"/>
  <c r="AB442" i="2"/>
  <c r="AR442" i="2"/>
  <c r="BH442" i="2"/>
  <c r="R443" i="2"/>
  <c r="AH443" i="2"/>
  <c r="AX443" i="2"/>
  <c r="H444" i="2"/>
  <c r="X444" i="2"/>
  <c r="AN444" i="2"/>
  <c r="BD444" i="2"/>
  <c r="N445" i="2"/>
  <c r="AD445" i="2"/>
  <c r="AT445" i="2"/>
  <c r="D446" i="2"/>
  <c r="T446" i="2"/>
  <c r="AJ446" i="2"/>
  <c r="AZ446" i="2"/>
  <c r="J447" i="2"/>
  <c r="Z447" i="2"/>
  <c r="AP447" i="2"/>
  <c r="BF447" i="2"/>
  <c r="P448" i="2"/>
  <c r="AF448" i="2"/>
  <c r="AV448" i="2"/>
  <c r="F449" i="2"/>
  <c r="V449" i="2"/>
  <c r="AL449" i="2"/>
  <c r="BB449" i="2"/>
  <c r="L450" i="2"/>
  <c r="AB450" i="2"/>
  <c r="AR450" i="2"/>
  <c r="BH450" i="2"/>
  <c r="R451" i="2"/>
  <c r="AH451" i="2"/>
  <c r="AX451" i="2"/>
  <c r="H452" i="2"/>
  <c r="X452" i="2"/>
  <c r="AN452" i="2"/>
  <c r="BD452" i="2"/>
  <c r="N453" i="2"/>
  <c r="AD453" i="2"/>
  <c r="AT453" i="2"/>
  <c r="D454" i="2"/>
  <c r="T454" i="2"/>
  <c r="AJ454" i="2"/>
  <c r="AZ454" i="2"/>
  <c r="J455" i="2"/>
  <c r="Z455" i="2"/>
  <c r="AP455" i="2"/>
  <c r="BF455" i="2"/>
  <c r="P456" i="2"/>
  <c r="AF456" i="2"/>
  <c r="AV456" i="2"/>
  <c r="F457" i="2"/>
  <c r="V457" i="2"/>
  <c r="AL457" i="2"/>
  <c r="BB457" i="2"/>
  <c r="L458" i="2"/>
  <c r="AB458" i="2"/>
  <c r="AR458" i="2"/>
  <c r="BH458" i="2"/>
  <c r="R459" i="2"/>
  <c r="AH459" i="2"/>
  <c r="AX459" i="2"/>
  <c r="H460" i="2"/>
  <c r="X460" i="2"/>
  <c r="AN460" i="2"/>
  <c r="BD460" i="2"/>
  <c r="N461" i="2"/>
  <c r="AD461" i="2"/>
  <c r="AT461" i="2"/>
  <c r="D462" i="2"/>
  <c r="T462" i="2"/>
  <c r="AJ462" i="2"/>
  <c r="AZ462" i="2"/>
  <c r="J463" i="2"/>
  <c r="Z463" i="2"/>
  <c r="AP463" i="2"/>
  <c r="BF463" i="2"/>
  <c r="P464" i="2"/>
  <c r="AF464" i="2"/>
  <c r="AV464" i="2"/>
  <c r="F465" i="2"/>
  <c r="V465" i="2"/>
  <c r="AL465" i="2"/>
  <c r="BB465" i="2"/>
  <c r="L466" i="2"/>
  <c r="AB466" i="2"/>
  <c r="AR466" i="2"/>
  <c r="BH466" i="2"/>
  <c r="R467" i="2"/>
  <c r="AH467" i="2"/>
  <c r="AX467" i="2"/>
  <c r="H468" i="2"/>
  <c r="X468" i="2"/>
  <c r="AN468" i="2"/>
  <c r="BD468" i="2"/>
  <c r="N469" i="2"/>
  <c r="AD469" i="2"/>
  <c r="AT469" i="2"/>
  <c r="D470" i="2"/>
  <c r="AX334" i="2"/>
  <c r="AD360" i="2"/>
  <c r="AD373" i="2"/>
  <c r="Q377" i="2"/>
  <c r="AN380" i="2"/>
  <c r="AU383" i="2"/>
  <c r="AE386" i="2"/>
  <c r="D389" i="2"/>
  <c r="AH391" i="2"/>
  <c r="AK393" i="2"/>
  <c r="Y395" i="2"/>
  <c r="I397" i="2"/>
  <c r="BE398" i="2"/>
  <c r="AO400" i="2"/>
  <c r="P402" i="2"/>
  <c r="AN403" i="2"/>
  <c r="C405" i="2"/>
  <c r="X406" i="2"/>
  <c r="AR407" i="2"/>
  <c r="AR408" i="2"/>
  <c r="AU409" i="2"/>
  <c r="BC410" i="2"/>
  <c r="AW411" i="2"/>
  <c r="AN412" i="2"/>
  <c r="AE413" i="2"/>
  <c r="S414" i="2"/>
  <c r="AY414" i="2"/>
  <c r="Y415" i="2"/>
  <c r="BE415" i="2"/>
  <c r="AE416" i="2"/>
  <c r="E417" i="2"/>
  <c r="AK417" i="2"/>
  <c r="K418" i="2"/>
  <c r="AQ418" i="2"/>
  <c r="Q419" i="2"/>
  <c r="AW419" i="2"/>
  <c r="W420" i="2"/>
  <c r="BC420" i="2"/>
  <c r="AC421" i="2"/>
  <c r="BH421" i="2"/>
  <c r="AF422" i="2"/>
  <c r="D423" i="2"/>
  <c r="AA423" i="2"/>
  <c r="BE423" i="2"/>
  <c r="AC424" i="2"/>
  <c r="BG424" i="2"/>
  <c r="Z425" i="2"/>
  <c r="BB425" i="2"/>
  <c r="Z426" i="2"/>
  <c r="BD426" i="2"/>
  <c r="V427" i="2"/>
  <c r="AU427" i="2"/>
  <c r="L428" i="2"/>
  <c r="AJ428" i="2"/>
  <c r="BE428" i="2"/>
  <c r="Y429" i="2"/>
  <c r="AS429" i="2"/>
  <c r="K430" i="2"/>
  <c r="AE430" i="2"/>
  <c r="AY430" i="2"/>
  <c r="Q431" i="2"/>
  <c r="AK431" i="2"/>
  <c r="BE431" i="2"/>
  <c r="W432" i="2"/>
  <c r="AQ432" i="2"/>
  <c r="E433" i="2"/>
  <c r="AC433" i="2"/>
  <c r="AW433" i="2"/>
  <c r="K434" i="2"/>
  <c r="AI434" i="2"/>
  <c r="BC434" i="2"/>
  <c r="P435" i="2"/>
  <c r="AI435" i="2"/>
  <c r="BE435" i="2"/>
  <c r="R436" i="2"/>
  <c r="AK436" i="2"/>
  <c r="BD436" i="2"/>
  <c r="R437" i="2"/>
  <c r="AJ437" i="2"/>
  <c r="BB437" i="2"/>
  <c r="N438" i="2"/>
  <c r="AF438" i="2"/>
  <c r="AX438" i="2"/>
  <c r="J439" i="2"/>
  <c r="AD439" i="2"/>
  <c r="AV439" i="2"/>
  <c r="H440" i="2"/>
  <c r="Z440" i="2"/>
  <c r="AR440" i="2"/>
  <c r="D441" i="2"/>
  <c r="V441" i="2"/>
  <c r="AM441" i="2"/>
  <c r="BD441" i="2"/>
  <c r="N442" i="2"/>
  <c r="AD442" i="2"/>
  <c r="AT442" i="2"/>
  <c r="D443" i="2"/>
  <c r="T443" i="2"/>
  <c r="AJ443" i="2"/>
  <c r="AZ443" i="2"/>
  <c r="J444" i="2"/>
  <c r="Z444" i="2"/>
  <c r="AP444" i="2"/>
  <c r="BF444" i="2"/>
  <c r="P445" i="2"/>
  <c r="AF445" i="2"/>
  <c r="AV445" i="2"/>
  <c r="F446" i="2"/>
  <c r="V446" i="2"/>
  <c r="AL446" i="2"/>
  <c r="BB446" i="2"/>
  <c r="L447" i="2"/>
  <c r="AB447" i="2"/>
  <c r="AR447" i="2"/>
  <c r="BH447" i="2"/>
  <c r="R448" i="2"/>
  <c r="AH448" i="2"/>
  <c r="AX448" i="2"/>
  <c r="H449" i="2"/>
  <c r="X449" i="2"/>
  <c r="AN449" i="2"/>
  <c r="BD449" i="2"/>
  <c r="N450" i="2"/>
  <c r="AD450" i="2"/>
  <c r="AT450" i="2"/>
  <c r="D451" i="2"/>
  <c r="T451" i="2"/>
  <c r="AJ451" i="2"/>
  <c r="AZ451" i="2"/>
  <c r="J452" i="2"/>
  <c r="Z452" i="2"/>
  <c r="AP452" i="2"/>
  <c r="BF452" i="2"/>
  <c r="P453" i="2"/>
  <c r="AF453" i="2"/>
  <c r="AV453" i="2"/>
  <c r="F454" i="2"/>
  <c r="V454" i="2"/>
  <c r="AL454" i="2"/>
  <c r="BB454" i="2"/>
  <c r="L455" i="2"/>
  <c r="AB455" i="2"/>
  <c r="AR455" i="2"/>
  <c r="BH455" i="2"/>
  <c r="R456" i="2"/>
  <c r="AH456" i="2"/>
  <c r="AX456" i="2"/>
  <c r="H457" i="2"/>
  <c r="X457" i="2"/>
  <c r="AN457" i="2"/>
  <c r="BD457" i="2"/>
  <c r="N458" i="2"/>
  <c r="AD458" i="2"/>
  <c r="AT458" i="2"/>
  <c r="D459" i="2"/>
  <c r="T459" i="2"/>
  <c r="AJ459" i="2"/>
  <c r="AZ459" i="2"/>
  <c r="J460" i="2"/>
  <c r="Z460" i="2"/>
  <c r="AP460" i="2"/>
  <c r="BF460" i="2"/>
  <c r="P461" i="2"/>
  <c r="AF461" i="2"/>
  <c r="AV461" i="2"/>
  <c r="F462" i="2"/>
  <c r="V462" i="2"/>
  <c r="AL462" i="2"/>
  <c r="BB462" i="2"/>
  <c r="L463" i="2"/>
  <c r="AB463" i="2"/>
  <c r="AR463" i="2"/>
  <c r="BH463" i="2"/>
  <c r="R464" i="2"/>
  <c r="AH464" i="2"/>
  <c r="AX464" i="2"/>
  <c r="H465" i="2"/>
  <c r="X465" i="2"/>
  <c r="AN465" i="2"/>
  <c r="BD465" i="2"/>
  <c r="N466" i="2"/>
  <c r="AD466" i="2"/>
  <c r="AT466" i="2"/>
  <c r="D467" i="2"/>
  <c r="T467" i="2"/>
  <c r="AJ467" i="2"/>
  <c r="AZ467" i="2"/>
  <c r="J468" i="2"/>
  <c r="Z468" i="2"/>
  <c r="AP468" i="2"/>
  <c r="BF468" i="2"/>
  <c r="AU336" i="2"/>
  <c r="U361" i="2"/>
  <c r="AQ373" i="2"/>
  <c r="AG377" i="2"/>
  <c r="AZ380" i="2"/>
  <c r="BE383" i="2"/>
  <c r="AK386" i="2"/>
  <c r="I389" i="2"/>
  <c r="AM391" i="2"/>
  <c r="AR393" i="2"/>
  <c r="AB395" i="2"/>
  <c r="O397" i="2"/>
  <c r="BH398" i="2"/>
  <c r="AR400" i="2"/>
  <c r="S402" i="2"/>
  <c r="AQ403" i="2"/>
  <c r="F405" i="2"/>
  <c r="AA406" i="2"/>
  <c r="AS407" i="2"/>
  <c r="AX408" i="2"/>
  <c r="BG409" i="2"/>
  <c r="BD410" i="2"/>
  <c r="AX411" i="2"/>
  <c r="AO412" i="2"/>
  <c r="AH413" i="2"/>
  <c r="T414" i="2"/>
  <c r="AZ414" i="2"/>
  <c r="Z415" i="2"/>
  <c r="BF415" i="2"/>
  <c r="AF416" i="2"/>
  <c r="F417" i="2"/>
  <c r="AL417" i="2"/>
  <c r="L418" i="2"/>
  <c r="AR418" i="2"/>
  <c r="R419" i="2"/>
  <c r="AX419" i="2"/>
  <c r="X420" i="2"/>
  <c r="BD420" i="2"/>
  <c r="AD421" i="2"/>
  <c r="C422" i="2"/>
  <c r="AG422" i="2"/>
  <c r="E423" i="2"/>
  <c r="AD423" i="2"/>
  <c r="BF423" i="2"/>
  <c r="AD424" i="2"/>
  <c r="BH424" i="2"/>
  <c r="AF425" i="2"/>
  <c r="BC425" i="2"/>
  <c r="AA426" i="2"/>
  <c r="BE426" i="2"/>
  <c r="Y427" i="2"/>
  <c r="AV427" i="2"/>
  <c r="O428" i="2"/>
  <c r="AK428" i="2"/>
  <c r="BH428" i="2"/>
  <c r="Z429" i="2"/>
  <c r="AT429" i="2"/>
  <c r="L430" i="2"/>
  <c r="AF430" i="2"/>
  <c r="AZ430" i="2"/>
  <c r="R431" i="2"/>
  <c r="AL431" i="2"/>
  <c r="BF431" i="2"/>
  <c r="X432" i="2"/>
  <c r="AR432" i="2"/>
  <c r="F433" i="2"/>
  <c r="AD433" i="2"/>
  <c r="AX433" i="2"/>
  <c r="L434" i="2"/>
  <c r="AJ434" i="2"/>
  <c r="BD434" i="2"/>
  <c r="Q435" i="2"/>
  <c r="AL435" i="2"/>
  <c r="BF435" i="2"/>
  <c r="S436" i="2"/>
  <c r="AL436" i="2"/>
  <c r="BE436" i="2"/>
  <c r="S437" i="2"/>
  <c r="AK437" i="2"/>
  <c r="BC437" i="2"/>
  <c r="O438" i="2"/>
  <c r="AG438" i="2"/>
  <c r="AY438" i="2"/>
  <c r="K439" i="2"/>
  <c r="AE439" i="2"/>
  <c r="AW439" i="2"/>
  <c r="I440" i="2"/>
  <c r="AA440" i="2"/>
  <c r="AS440" i="2"/>
  <c r="E441" i="2"/>
  <c r="W441" i="2"/>
  <c r="AN441" i="2"/>
  <c r="BE441" i="2"/>
  <c r="O442" i="2"/>
  <c r="AE442" i="2"/>
  <c r="AU442" i="2"/>
  <c r="E443" i="2"/>
  <c r="U443" i="2"/>
  <c r="AK443" i="2"/>
  <c r="BA443" i="2"/>
  <c r="K444" i="2"/>
  <c r="AA444" i="2"/>
  <c r="AQ444" i="2"/>
  <c r="BG444" i="2"/>
  <c r="Q445" i="2"/>
  <c r="AG445" i="2"/>
  <c r="AW445" i="2"/>
  <c r="G446" i="2"/>
  <c r="W446" i="2"/>
  <c r="AM446" i="2"/>
  <c r="BC446" i="2"/>
  <c r="M447" i="2"/>
  <c r="AC447" i="2"/>
  <c r="AS447" i="2"/>
  <c r="C448" i="2"/>
  <c r="S448" i="2"/>
  <c r="AI448" i="2"/>
  <c r="AY448" i="2"/>
  <c r="I449" i="2"/>
  <c r="Y449" i="2"/>
  <c r="AO449" i="2"/>
  <c r="BE449" i="2"/>
  <c r="O450" i="2"/>
  <c r="AE450" i="2"/>
  <c r="AU450" i="2"/>
  <c r="E451" i="2"/>
  <c r="U451" i="2"/>
  <c r="AK451" i="2"/>
  <c r="BA451" i="2"/>
  <c r="K452" i="2"/>
  <c r="AA452" i="2"/>
  <c r="AQ452" i="2"/>
  <c r="BG452" i="2"/>
  <c r="Q453" i="2"/>
  <c r="AG453" i="2"/>
  <c r="AW453" i="2"/>
  <c r="G454" i="2"/>
  <c r="W454" i="2"/>
  <c r="AM454" i="2"/>
  <c r="BC454" i="2"/>
  <c r="M455" i="2"/>
  <c r="AC455" i="2"/>
  <c r="AS455" i="2"/>
  <c r="C456" i="2"/>
  <c r="S456" i="2"/>
  <c r="AI456" i="2"/>
  <c r="AY456" i="2"/>
  <c r="I457" i="2"/>
  <c r="Y457" i="2"/>
  <c r="AO457" i="2"/>
  <c r="BE457" i="2"/>
  <c r="O458" i="2"/>
  <c r="AE458" i="2"/>
  <c r="AU458" i="2"/>
  <c r="E459" i="2"/>
  <c r="BC341" i="2"/>
  <c r="H364" i="2"/>
  <c r="W374" i="2"/>
  <c r="E378" i="2"/>
  <c r="S381" i="2"/>
  <c r="Y384" i="2"/>
  <c r="G387" i="2"/>
  <c r="AK389" i="2"/>
  <c r="G392" i="2"/>
  <c r="BH393" i="2"/>
  <c r="AR395" i="2"/>
  <c r="AE397" i="2"/>
  <c r="R399" i="2"/>
  <c r="BH400" i="2"/>
  <c r="AG402" i="2"/>
  <c r="BD403" i="2"/>
  <c r="S405" i="2"/>
  <c r="AN406" i="2"/>
  <c r="AV407" i="2"/>
  <c r="BH408" i="2"/>
  <c r="BH409" i="2"/>
  <c r="BE410" i="2"/>
  <c r="AY411" i="2"/>
  <c r="AR412" i="2"/>
  <c r="AQ413" i="2"/>
  <c r="U414" i="2"/>
  <c r="BA414" i="2"/>
  <c r="AA415" i="2"/>
  <c r="BG415" i="2"/>
  <c r="AG416" i="2"/>
  <c r="G417" i="2"/>
  <c r="AM417" i="2"/>
  <c r="M418" i="2"/>
  <c r="AS418" i="2"/>
  <c r="S419" i="2"/>
  <c r="AY419" i="2"/>
  <c r="Y420" i="2"/>
  <c r="BE420" i="2"/>
  <c r="AE421" i="2"/>
  <c r="D422" i="2"/>
  <c r="AH422" i="2"/>
  <c r="F423" i="2"/>
  <c r="AJ423" i="2"/>
  <c r="BG423" i="2"/>
  <c r="AE424" i="2"/>
  <c r="C425" i="2"/>
  <c r="AG425" i="2"/>
  <c r="BF425" i="2"/>
  <c r="AB426" i="2"/>
  <c r="BF426" i="2"/>
  <c r="AB427" i="2"/>
  <c r="AW427" i="2"/>
  <c r="Q428" i="2"/>
  <c r="AL428" i="2"/>
  <c r="E429" i="2"/>
  <c r="AA429" i="2"/>
  <c r="AU429" i="2"/>
  <c r="M430" i="2"/>
  <c r="AG430" i="2"/>
  <c r="BA430" i="2"/>
  <c r="S431" i="2"/>
  <c r="AM431" i="2"/>
  <c r="BG431" i="2"/>
  <c r="Y432" i="2"/>
  <c r="AS432" i="2"/>
  <c r="G433" i="2"/>
  <c r="AE433" i="2"/>
  <c r="AY433" i="2"/>
  <c r="M434" i="2"/>
  <c r="AK434" i="2"/>
  <c r="BE434" i="2"/>
  <c r="R435" i="2"/>
  <c r="AN435" i="2"/>
  <c r="BG435" i="2"/>
  <c r="T436" i="2"/>
  <c r="AM436" i="2"/>
  <c r="BH436" i="2"/>
  <c r="T437" i="2"/>
  <c r="AL437" i="2"/>
  <c r="BD437" i="2"/>
  <c r="P438" i="2"/>
  <c r="AH438" i="2"/>
  <c r="AZ438" i="2"/>
  <c r="N439" i="2"/>
  <c r="AF439" i="2"/>
  <c r="AX439" i="2"/>
  <c r="J440" i="2"/>
  <c r="AB440" i="2"/>
  <c r="AT440" i="2"/>
  <c r="F441" i="2"/>
  <c r="X441" i="2"/>
  <c r="AP441" i="2"/>
  <c r="BF441" i="2"/>
  <c r="P442" i="2"/>
  <c r="AF442" i="2"/>
  <c r="AV442" i="2"/>
  <c r="F443" i="2"/>
  <c r="V443" i="2"/>
  <c r="AL443" i="2"/>
  <c r="BB443" i="2"/>
  <c r="L444" i="2"/>
  <c r="AB444" i="2"/>
  <c r="AR444" i="2"/>
  <c r="BH444" i="2"/>
  <c r="R445" i="2"/>
  <c r="AH445" i="2"/>
  <c r="AX445" i="2"/>
  <c r="H446" i="2"/>
  <c r="X446" i="2"/>
  <c r="AN446" i="2"/>
  <c r="BD446" i="2"/>
  <c r="N447" i="2"/>
  <c r="AD447" i="2"/>
  <c r="AT447" i="2"/>
  <c r="D448" i="2"/>
  <c r="T448" i="2"/>
  <c r="AJ448" i="2"/>
  <c r="AZ448" i="2"/>
  <c r="J449" i="2"/>
  <c r="Z449" i="2"/>
  <c r="AP449" i="2"/>
  <c r="BF449" i="2"/>
  <c r="P450" i="2"/>
  <c r="AF450" i="2"/>
  <c r="AV450" i="2"/>
  <c r="F451" i="2"/>
  <c r="V451" i="2"/>
  <c r="AL451" i="2"/>
  <c r="BB451" i="2"/>
  <c r="L452" i="2"/>
  <c r="AB452" i="2"/>
  <c r="AR452" i="2"/>
  <c r="BH452" i="2"/>
  <c r="R453" i="2"/>
  <c r="AH453" i="2"/>
  <c r="AX453" i="2"/>
  <c r="H454" i="2"/>
  <c r="X454" i="2"/>
  <c r="AN454" i="2"/>
  <c r="BD454" i="2"/>
  <c r="N455" i="2"/>
  <c r="AD455" i="2"/>
  <c r="AT455" i="2"/>
  <c r="D456" i="2"/>
  <c r="T456" i="2"/>
  <c r="AJ456" i="2"/>
  <c r="AZ456" i="2"/>
  <c r="J457" i="2"/>
  <c r="Z457" i="2"/>
  <c r="AP457" i="2"/>
  <c r="BF457" i="2"/>
  <c r="P458" i="2"/>
  <c r="AF458" i="2"/>
  <c r="AV458" i="2"/>
  <c r="F459" i="2"/>
  <c r="V459" i="2"/>
  <c r="AL459" i="2"/>
  <c r="BB459" i="2"/>
  <c r="L460" i="2"/>
  <c r="AB460" i="2"/>
  <c r="AR460" i="2"/>
  <c r="BH460" i="2"/>
  <c r="R461" i="2"/>
  <c r="AH461" i="2"/>
  <c r="AX461" i="2"/>
  <c r="H462" i="2"/>
  <c r="X462" i="2"/>
  <c r="AN462" i="2"/>
  <c r="BD462" i="2"/>
  <c r="N463" i="2"/>
  <c r="F343" i="2"/>
  <c r="W364" i="2"/>
  <c r="AC374" i="2"/>
  <c r="I378" i="2"/>
  <c r="Y381" i="2"/>
  <c r="AG384" i="2"/>
  <c r="I387" i="2"/>
  <c r="AM389" i="2"/>
  <c r="I392" i="2"/>
  <c r="D394" i="2"/>
  <c r="AT395" i="2"/>
  <c r="AJ397" i="2"/>
  <c r="T399" i="2"/>
  <c r="G401" i="2"/>
  <c r="AI402" i="2"/>
  <c r="BF403" i="2"/>
  <c r="U405" i="2"/>
  <c r="AP406" i="2"/>
  <c r="C408" i="2"/>
  <c r="E409" i="2"/>
  <c r="C410" i="2"/>
  <c r="BG410" i="2"/>
  <c r="BB411" i="2"/>
  <c r="BB412" i="2"/>
  <c r="AR413" i="2"/>
  <c r="X414" i="2"/>
  <c r="BD414" i="2"/>
  <c r="AD415" i="2"/>
  <c r="D416" i="2"/>
  <c r="AJ416" i="2"/>
  <c r="J417" i="2"/>
  <c r="AP417" i="2"/>
  <c r="P418" i="2"/>
  <c r="AV418" i="2"/>
  <c r="V419" i="2"/>
  <c r="BB419" i="2"/>
  <c r="AB420" i="2"/>
  <c r="BH420" i="2"/>
  <c r="AH421" i="2"/>
  <c r="E422" i="2"/>
  <c r="AI422" i="2"/>
  <c r="G423" i="2"/>
  <c r="AK423" i="2"/>
  <c r="D424" i="2"/>
  <c r="AF424" i="2"/>
  <c r="D425" i="2"/>
  <c r="AH425" i="2"/>
  <c r="F426" i="2"/>
  <c r="AC426" i="2"/>
  <c r="BG426" i="2"/>
  <c r="AC427" i="2"/>
  <c r="AX427" i="2"/>
  <c r="R428" i="2"/>
  <c r="AM428" i="2"/>
  <c r="G429" i="2"/>
  <c r="AB429" i="2"/>
  <c r="AX429" i="2"/>
  <c r="N430" i="2"/>
  <c r="AH430" i="2"/>
  <c r="BD430" i="2"/>
  <c r="T431" i="2"/>
  <c r="AN431" i="2"/>
  <c r="D432" i="2"/>
  <c r="Z432" i="2"/>
  <c r="AT432" i="2"/>
  <c r="J433" i="2"/>
  <c r="AF433" i="2"/>
  <c r="AZ433" i="2"/>
  <c r="P434" i="2"/>
  <c r="AL434" i="2"/>
  <c r="BF434" i="2"/>
  <c r="S435" i="2"/>
  <c r="AO435" i="2"/>
  <c r="BH435" i="2"/>
  <c r="U436" i="2"/>
  <c r="AN436" i="2"/>
  <c r="C437" i="2"/>
  <c r="U437" i="2"/>
  <c r="AM437" i="2"/>
  <c r="BE437" i="2"/>
  <c r="Q438" i="2"/>
  <c r="AI438" i="2"/>
  <c r="BA438" i="2"/>
  <c r="O439" i="2"/>
  <c r="AG439" i="2"/>
  <c r="AY439" i="2"/>
  <c r="K440" i="2"/>
  <c r="AC440" i="2"/>
  <c r="AU440" i="2"/>
  <c r="G441" i="2"/>
  <c r="Z441" i="2"/>
  <c r="AQ441" i="2"/>
  <c r="BG441" i="2"/>
  <c r="Q442" i="2"/>
  <c r="AG442" i="2"/>
  <c r="AW442" i="2"/>
  <c r="G443" i="2"/>
  <c r="W443" i="2"/>
  <c r="AM443" i="2"/>
  <c r="BC443" i="2"/>
  <c r="M444" i="2"/>
  <c r="AC444" i="2"/>
  <c r="AS444" i="2"/>
  <c r="C445" i="2"/>
  <c r="S445" i="2"/>
  <c r="AI445" i="2"/>
  <c r="AY445" i="2"/>
  <c r="I446" i="2"/>
  <c r="Y446" i="2"/>
  <c r="AO446" i="2"/>
  <c r="BE446" i="2"/>
  <c r="O447" i="2"/>
  <c r="AE447" i="2"/>
  <c r="AU447" i="2"/>
  <c r="E448" i="2"/>
  <c r="U448" i="2"/>
  <c r="AK448" i="2"/>
  <c r="BA448" i="2"/>
  <c r="K449" i="2"/>
  <c r="AA449" i="2"/>
  <c r="AQ449" i="2"/>
  <c r="BG449" i="2"/>
  <c r="Q450" i="2"/>
  <c r="AG450" i="2"/>
  <c r="AW450" i="2"/>
  <c r="G451" i="2"/>
  <c r="W451" i="2"/>
  <c r="AM451" i="2"/>
  <c r="BC451" i="2"/>
  <c r="M452" i="2"/>
  <c r="AC452" i="2"/>
  <c r="AS452" i="2"/>
  <c r="C453" i="2"/>
  <c r="S453" i="2"/>
  <c r="AI453" i="2"/>
  <c r="AY453" i="2"/>
  <c r="I454" i="2"/>
  <c r="Y454" i="2"/>
  <c r="AO454" i="2"/>
  <c r="BE454" i="2"/>
  <c r="O455" i="2"/>
  <c r="AE455" i="2"/>
  <c r="AU455" i="2"/>
  <c r="E456" i="2"/>
  <c r="U456" i="2"/>
  <c r="AK456" i="2"/>
  <c r="BA456" i="2"/>
  <c r="K457" i="2"/>
  <c r="AA457" i="2"/>
  <c r="AQ457" i="2"/>
  <c r="BG457" i="2"/>
  <c r="Q458" i="2"/>
  <c r="AG458" i="2"/>
  <c r="AW458" i="2"/>
  <c r="G459" i="2"/>
  <c r="W459" i="2"/>
  <c r="AM459" i="2"/>
  <c r="BC459" i="2"/>
  <c r="M460" i="2"/>
  <c r="AC460" i="2"/>
  <c r="AS460" i="2"/>
  <c r="C461" i="2"/>
  <c r="S461" i="2"/>
  <c r="AI461" i="2"/>
  <c r="AY461" i="2"/>
  <c r="I462" i="2"/>
  <c r="Y462" i="2"/>
  <c r="I343" i="2"/>
  <c r="BB364" i="2"/>
  <c r="AF374" i="2"/>
  <c r="K378" i="2"/>
  <c r="AE381" i="2"/>
  <c r="AI384" i="2"/>
  <c r="J387" i="2"/>
  <c r="AN389" i="2"/>
  <c r="J392" i="2"/>
  <c r="E394" i="2"/>
  <c r="AW395" i="2"/>
  <c r="AK397" i="2"/>
  <c r="U399" i="2"/>
  <c r="J401" i="2"/>
  <c r="AJ402" i="2"/>
  <c r="BG403" i="2"/>
  <c r="V405" i="2"/>
  <c r="AQ406" i="2"/>
  <c r="D408" i="2"/>
  <c r="G409" i="2"/>
  <c r="D410" i="2"/>
  <c r="E411" i="2"/>
  <c r="F412" i="2"/>
  <c r="BC412" i="2"/>
  <c r="AS413" i="2"/>
  <c r="AE414" i="2"/>
  <c r="E415" i="2"/>
  <c r="AK415" i="2"/>
  <c r="K416" i="2"/>
  <c r="AQ416" i="2"/>
  <c r="Q417" i="2"/>
  <c r="AW417" i="2"/>
  <c r="W418" i="2"/>
  <c r="BC418" i="2"/>
  <c r="AC419" i="2"/>
  <c r="C420" i="2"/>
  <c r="AI420" i="2"/>
  <c r="I421" i="2"/>
  <c r="AO421" i="2"/>
  <c r="H422" i="2"/>
  <c r="AJ422" i="2"/>
  <c r="H423" i="2"/>
  <c r="AL423" i="2"/>
  <c r="J424" i="2"/>
  <c r="AG424" i="2"/>
  <c r="E425" i="2"/>
  <c r="AI425" i="2"/>
  <c r="G426" i="2"/>
  <c r="AF426" i="2"/>
  <c r="BH426" i="2"/>
  <c r="AD427" i="2"/>
  <c r="AY427" i="2"/>
  <c r="S428" i="2"/>
  <c r="AN428" i="2"/>
  <c r="H429" i="2"/>
  <c r="AC429" i="2"/>
  <c r="BA429" i="2"/>
  <c r="O430" i="2"/>
  <c r="AI430" i="2"/>
  <c r="BG430" i="2"/>
  <c r="U431" i="2"/>
  <c r="AO431" i="2"/>
  <c r="G432" i="2"/>
  <c r="AA432" i="2"/>
  <c r="AU432" i="2"/>
  <c r="M433" i="2"/>
  <c r="AG433" i="2"/>
  <c r="BA433" i="2"/>
  <c r="S434" i="2"/>
  <c r="AM434" i="2"/>
  <c r="BG434" i="2"/>
  <c r="V435" i="2"/>
  <c r="AP435" i="2"/>
  <c r="C436" i="2"/>
  <c r="V436" i="2"/>
  <c r="AO436" i="2"/>
  <c r="D437" i="2"/>
  <c r="V437" i="2"/>
  <c r="AN437" i="2"/>
  <c r="BF437" i="2"/>
  <c r="R438" i="2"/>
  <c r="AJ438" i="2"/>
  <c r="BD438" i="2"/>
  <c r="P439" i="2"/>
  <c r="AH439" i="2"/>
  <c r="AZ439" i="2"/>
  <c r="L440" i="2"/>
  <c r="AD440" i="2"/>
  <c r="AV440" i="2"/>
  <c r="J441" i="2"/>
  <c r="AA441" i="2"/>
  <c r="AR441" i="2"/>
  <c r="BH441" i="2"/>
  <c r="R442" i="2"/>
  <c r="AH442" i="2"/>
  <c r="AX442" i="2"/>
  <c r="H443" i="2"/>
  <c r="X443" i="2"/>
  <c r="AN443" i="2"/>
  <c r="BD443" i="2"/>
  <c r="N444" i="2"/>
  <c r="AD444" i="2"/>
  <c r="AT444" i="2"/>
  <c r="D445" i="2"/>
  <c r="T445" i="2"/>
  <c r="AJ445" i="2"/>
  <c r="AZ445" i="2"/>
  <c r="J446" i="2"/>
  <c r="Z446" i="2"/>
  <c r="AP446" i="2"/>
  <c r="BF446" i="2"/>
  <c r="P447" i="2"/>
  <c r="AF447" i="2"/>
  <c r="AV447" i="2"/>
  <c r="F448" i="2"/>
  <c r="V448" i="2"/>
  <c r="AL448" i="2"/>
  <c r="BB448" i="2"/>
  <c r="L449" i="2"/>
  <c r="AB449" i="2"/>
  <c r="AR449" i="2"/>
  <c r="BH449" i="2"/>
  <c r="R450" i="2"/>
  <c r="AH450" i="2"/>
  <c r="AX450" i="2"/>
  <c r="H451" i="2"/>
  <c r="X451" i="2"/>
  <c r="AN451" i="2"/>
  <c r="BD451" i="2"/>
  <c r="N452" i="2"/>
  <c r="AD452" i="2"/>
  <c r="AT452" i="2"/>
  <c r="D453" i="2"/>
  <c r="T453" i="2"/>
  <c r="AJ453" i="2"/>
  <c r="AZ453" i="2"/>
  <c r="J454" i="2"/>
  <c r="Z454" i="2"/>
  <c r="AP454" i="2"/>
  <c r="BF454" i="2"/>
  <c r="P455" i="2"/>
  <c r="AF455" i="2"/>
  <c r="AV455" i="2"/>
  <c r="F456" i="2"/>
  <c r="V456" i="2"/>
  <c r="AL456" i="2"/>
  <c r="BB456" i="2"/>
  <c r="L457" i="2"/>
  <c r="AB457" i="2"/>
  <c r="AR457" i="2"/>
  <c r="BH457" i="2"/>
  <c r="R458" i="2"/>
  <c r="AH458" i="2"/>
  <c r="AX458" i="2"/>
  <c r="H459" i="2"/>
  <c r="X459" i="2"/>
  <c r="AN459" i="2"/>
  <c r="Z344" i="2"/>
  <c r="AG365" i="2"/>
  <c r="AT374" i="2"/>
  <c r="X378" i="2"/>
  <c r="AL381" i="2"/>
  <c r="AN384" i="2"/>
  <c r="O387" i="2"/>
  <c r="AS389" i="2"/>
  <c r="O392" i="2"/>
  <c r="H394" i="2"/>
  <c r="BD395" i="2"/>
  <c r="AN397" i="2"/>
  <c r="AA399" i="2"/>
  <c r="M401" i="2"/>
  <c r="AM402" i="2"/>
  <c r="D404" i="2"/>
  <c r="Y405" i="2"/>
  <c r="AT406" i="2"/>
  <c r="E408" i="2"/>
  <c r="H409" i="2"/>
  <c r="G410" i="2"/>
  <c r="O411" i="2"/>
  <c r="G412" i="2"/>
  <c r="BD412" i="2"/>
  <c r="AT413" i="2"/>
  <c r="AF414" i="2"/>
  <c r="F415" i="2"/>
  <c r="AL415" i="2"/>
  <c r="L416" i="2"/>
  <c r="AR416" i="2"/>
  <c r="R417" i="2"/>
  <c r="AX417" i="2"/>
  <c r="X418" i="2"/>
  <c r="BD418" i="2"/>
  <c r="AD419" i="2"/>
  <c r="D420" i="2"/>
  <c r="AJ420" i="2"/>
  <c r="J421" i="2"/>
  <c r="AP421" i="2"/>
  <c r="N422" i="2"/>
  <c r="AK422" i="2"/>
  <c r="I423" i="2"/>
  <c r="AM423" i="2"/>
  <c r="K424" i="2"/>
  <c r="AJ424" i="2"/>
  <c r="F425" i="2"/>
  <c r="AJ425" i="2"/>
  <c r="H426" i="2"/>
  <c r="AL426" i="2"/>
  <c r="C427" i="2"/>
  <c r="AE427" i="2"/>
  <c r="BB427" i="2"/>
  <c r="T428" i="2"/>
  <c r="AO428" i="2"/>
  <c r="I429" i="2"/>
  <c r="AD429" i="2"/>
  <c r="BB429" i="2"/>
  <c r="P430" i="2"/>
  <c r="AJ430" i="2"/>
  <c r="BH430" i="2"/>
  <c r="V431" i="2"/>
  <c r="AP431" i="2"/>
  <c r="H432" i="2"/>
  <c r="AB432" i="2"/>
  <c r="AV432" i="2"/>
  <c r="N433" i="2"/>
  <c r="AH433" i="2"/>
  <c r="BB433" i="2"/>
  <c r="T434" i="2"/>
  <c r="AN434" i="2"/>
  <c r="BH434" i="2"/>
  <c r="X435" i="2"/>
  <c r="AQ435" i="2"/>
  <c r="D436" i="2"/>
  <c r="W436" i="2"/>
  <c r="AR436" i="2"/>
  <c r="E437" i="2"/>
  <c r="W437" i="2"/>
  <c r="AO437" i="2"/>
  <c r="BG437" i="2"/>
  <c r="S438" i="2"/>
  <c r="AK438" i="2"/>
  <c r="BE438" i="2"/>
  <c r="Q439" i="2"/>
  <c r="AI439" i="2"/>
  <c r="BA439" i="2"/>
  <c r="M440" i="2"/>
  <c r="AE440" i="2"/>
  <c r="AW440" i="2"/>
  <c r="K441" i="2"/>
  <c r="AB441" i="2"/>
  <c r="AS441" i="2"/>
  <c r="C442" i="2"/>
  <c r="S442" i="2"/>
  <c r="AI442" i="2"/>
  <c r="AY442" i="2"/>
  <c r="I443" i="2"/>
  <c r="Y443" i="2"/>
  <c r="AO443" i="2"/>
  <c r="BE443" i="2"/>
  <c r="O444" i="2"/>
  <c r="AE444" i="2"/>
  <c r="AU444" i="2"/>
  <c r="E445" i="2"/>
  <c r="U445" i="2"/>
  <c r="AK445" i="2"/>
  <c r="BA445" i="2"/>
  <c r="K446" i="2"/>
  <c r="AA446" i="2"/>
  <c r="AQ446" i="2"/>
  <c r="BG446" i="2"/>
  <c r="Q447" i="2"/>
  <c r="AG447" i="2"/>
  <c r="AW447" i="2"/>
  <c r="G448" i="2"/>
  <c r="W448" i="2"/>
  <c r="AM448" i="2"/>
  <c r="BC448" i="2"/>
  <c r="M449" i="2"/>
  <c r="AC449" i="2"/>
  <c r="AS449" i="2"/>
  <c r="C450" i="2"/>
  <c r="S450" i="2"/>
  <c r="AI450" i="2"/>
  <c r="AY450" i="2"/>
  <c r="I451" i="2"/>
  <c r="Y451" i="2"/>
  <c r="AO451" i="2"/>
  <c r="BE451" i="2"/>
  <c r="O452" i="2"/>
  <c r="AE452" i="2"/>
  <c r="AU452" i="2"/>
  <c r="E453" i="2"/>
  <c r="U453" i="2"/>
  <c r="AK453" i="2"/>
  <c r="BA453" i="2"/>
  <c r="K454" i="2"/>
  <c r="AA454" i="2"/>
  <c r="AQ454" i="2"/>
  <c r="BG454" i="2"/>
  <c r="Q455" i="2"/>
  <c r="AG455" i="2"/>
  <c r="AW455" i="2"/>
  <c r="G456" i="2"/>
  <c r="BE348" i="2"/>
  <c r="AM367" i="2"/>
  <c r="R375" i="2"/>
  <c r="BA378" i="2"/>
  <c r="E382" i="2"/>
  <c r="M385" i="2"/>
  <c r="AQ387" i="2"/>
  <c r="O390" i="2"/>
  <c r="AM392" i="2"/>
  <c r="X394" i="2"/>
  <c r="N396" i="2"/>
  <c r="BD397" i="2"/>
  <c r="AQ399" i="2"/>
  <c r="AA401" i="2"/>
  <c r="BA402" i="2"/>
  <c r="Q404" i="2"/>
  <c r="AL405" i="2"/>
  <c r="BG406" i="2"/>
  <c r="F408" i="2"/>
  <c r="K409" i="2"/>
  <c r="S410" i="2"/>
  <c r="Q411" i="2"/>
  <c r="H412" i="2"/>
  <c r="BE412" i="2"/>
  <c r="AU413" i="2"/>
  <c r="AG414" i="2"/>
  <c r="G415" i="2"/>
  <c r="AM415" i="2"/>
  <c r="M416" i="2"/>
  <c r="AS416" i="2"/>
  <c r="S417" i="2"/>
  <c r="AY417" i="2"/>
  <c r="Y418" i="2"/>
  <c r="BE418" i="2"/>
  <c r="AE419" i="2"/>
  <c r="E420" i="2"/>
  <c r="AK420" i="2"/>
  <c r="K421" i="2"/>
  <c r="AQ421" i="2"/>
  <c r="O422" i="2"/>
  <c r="AN422" i="2"/>
  <c r="J423" i="2"/>
  <c r="AN423" i="2"/>
  <c r="L424" i="2"/>
  <c r="AP424" i="2"/>
  <c r="G425" i="2"/>
  <c r="AK425" i="2"/>
  <c r="I426" i="2"/>
  <c r="AM426" i="2"/>
  <c r="F427" i="2"/>
  <c r="AF427" i="2"/>
  <c r="BE427" i="2"/>
  <c r="U428" i="2"/>
  <c r="AR428" i="2"/>
  <c r="J429" i="2"/>
  <c r="AE429" i="2"/>
  <c r="BC429" i="2"/>
  <c r="Q430" i="2"/>
  <c r="AK430" i="2"/>
  <c r="C431" i="2"/>
  <c r="W431" i="2"/>
  <c r="AQ431" i="2"/>
  <c r="I432" i="2"/>
  <c r="AC432" i="2"/>
  <c r="AW432" i="2"/>
  <c r="O433" i="2"/>
  <c r="AI433" i="2"/>
  <c r="BC433" i="2"/>
  <c r="U434" i="2"/>
  <c r="AO434" i="2"/>
  <c r="C435" i="2"/>
  <c r="Y435" i="2"/>
  <c r="AR435" i="2"/>
  <c r="E436" i="2"/>
  <c r="X436" i="2"/>
  <c r="AT436" i="2"/>
  <c r="F437" i="2"/>
  <c r="X437" i="2"/>
  <c r="AP437" i="2"/>
  <c r="BH437" i="2"/>
  <c r="T438" i="2"/>
  <c r="AN438" i="2"/>
  <c r="BF438" i="2"/>
  <c r="R439" i="2"/>
  <c r="AJ439" i="2"/>
  <c r="BB439" i="2"/>
  <c r="N440" i="2"/>
  <c r="AF440" i="2"/>
  <c r="AZ440" i="2"/>
  <c r="L441" i="2"/>
  <c r="AC441" i="2"/>
  <c r="AT441" i="2"/>
  <c r="D442" i="2"/>
  <c r="T442" i="2"/>
  <c r="AJ442" i="2"/>
  <c r="AZ442" i="2"/>
  <c r="J443" i="2"/>
  <c r="Z443" i="2"/>
  <c r="AP443" i="2"/>
  <c r="BF443" i="2"/>
  <c r="P444" i="2"/>
  <c r="AF444" i="2"/>
  <c r="AV444" i="2"/>
  <c r="F445" i="2"/>
  <c r="V445" i="2"/>
  <c r="AL445" i="2"/>
  <c r="BB445" i="2"/>
  <c r="L446" i="2"/>
  <c r="AB446" i="2"/>
  <c r="AR446" i="2"/>
  <c r="BH446" i="2"/>
  <c r="R447" i="2"/>
  <c r="AH447" i="2"/>
  <c r="AX447" i="2"/>
  <c r="H448" i="2"/>
  <c r="X448" i="2"/>
  <c r="AN448" i="2"/>
  <c r="W349" i="2"/>
  <c r="L368" i="2"/>
  <c r="W375" i="2"/>
  <c r="C379" i="2"/>
  <c r="O382" i="2"/>
  <c r="O385" i="2"/>
  <c r="AS387" i="2"/>
  <c r="Q390" i="2"/>
  <c r="AO392" i="2"/>
  <c r="AC394" i="2"/>
  <c r="P396" i="2"/>
  <c r="BF397" i="2"/>
  <c r="AV399" i="2"/>
  <c r="AC401" i="2"/>
  <c r="BC402" i="2"/>
  <c r="S404" i="2"/>
  <c r="AN405" i="2"/>
  <c r="C407" i="2"/>
  <c r="I408" i="2"/>
  <c r="W409" i="2"/>
  <c r="T410" i="2"/>
  <c r="R411" i="2"/>
  <c r="I412" i="2"/>
  <c r="BH412" i="2"/>
  <c r="AX413" i="2"/>
  <c r="AH414" i="2"/>
  <c r="H415" i="2"/>
  <c r="AN415" i="2"/>
  <c r="N416" i="2"/>
  <c r="AT416" i="2"/>
  <c r="T417" i="2"/>
  <c r="AZ417" i="2"/>
  <c r="Z418" i="2"/>
  <c r="BF418" i="2"/>
  <c r="AF419" i="2"/>
  <c r="F420" i="2"/>
  <c r="AL420" i="2"/>
  <c r="L421" i="2"/>
  <c r="AR421" i="2"/>
  <c r="P422" i="2"/>
  <c r="AT422" i="2"/>
  <c r="K423" i="2"/>
  <c r="AO423" i="2"/>
  <c r="M424" i="2"/>
  <c r="AQ424" i="2"/>
  <c r="J425" i="2"/>
  <c r="AL425" i="2"/>
  <c r="J426" i="2"/>
  <c r="AN426" i="2"/>
  <c r="I427" i="2"/>
  <c r="AG427" i="2"/>
  <c r="BG427" i="2"/>
  <c r="V428" i="2"/>
  <c r="AU428" i="2"/>
  <c r="K429" i="2"/>
  <c r="AH429" i="2"/>
  <c r="BD429" i="2"/>
  <c r="R430" i="2"/>
  <c r="AN430" i="2"/>
  <c r="D431" i="2"/>
  <c r="X431" i="2"/>
  <c r="AT431" i="2"/>
  <c r="J432" i="2"/>
  <c r="AD432" i="2"/>
  <c r="AZ432" i="2"/>
  <c r="P433" i="2"/>
  <c r="AJ433" i="2"/>
  <c r="BF433" i="2"/>
  <c r="V434" i="2"/>
  <c r="AP434" i="2"/>
  <c r="F435" i="2"/>
  <c r="Z435" i="2"/>
  <c r="AS435" i="2"/>
  <c r="F436" i="2"/>
  <c r="Y436" i="2"/>
  <c r="AU436" i="2"/>
  <c r="G437" i="2"/>
  <c r="Y437" i="2"/>
  <c r="AQ437" i="2"/>
  <c r="C438" i="2"/>
  <c r="U438" i="2"/>
  <c r="AO438" i="2"/>
  <c r="BG438" i="2"/>
  <c r="S439" i="2"/>
  <c r="AK439" i="2"/>
  <c r="BC439" i="2"/>
  <c r="O440" i="2"/>
  <c r="AG440" i="2"/>
  <c r="BA440" i="2"/>
  <c r="M441" i="2"/>
  <c r="AD441" i="2"/>
  <c r="AU441" i="2"/>
  <c r="E442" i="2"/>
  <c r="U442" i="2"/>
  <c r="AK442" i="2"/>
  <c r="BA442" i="2"/>
  <c r="K443" i="2"/>
  <c r="AA443" i="2"/>
  <c r="AQ443" i="2"/>
  <c r="BG443" i="2"/>
  <c r="Q444" i="2"/>
  <c r="AG444" i="2"/>
  <c r="AW444" i="2"/>
  <c r="G445" i="2"/>
  <c r="W445" i="2"/>
  <c r="AM445" i="2"/>
  <c r="BC445" i="2"/>
  <c r="M446" i="2"/>
  <c r="AC446" i="2"/>
  <c r="AS446" i="2"/>
  <c r="C447" i="2"/>
  <c r="S447" i="2"/>
  <c r="AI447" i="2"/>
  <c r="AY447" i="2"/>
  <c r="I448" i="2"/>
  <c r="Y448" i="2"/>
  <c r="AO448" i="2"/>
  <c r="BE448" i="2"/>
  <c r="O449" i="2"/>
  <c r="AE449" i="2"/>
  <c r="AU449" i="2"/>
  <c r="E450" i="2"/>
  <c r="U450" i="2"/>
  <c r="AK450" i="2"/>
  <c r="BA450" i="2"/>
  <c r="K350" i="2"/>
  <c r="O368" i="2"/>
  <c r="AH375" i="2"/>
  <c r="E379" i="2"/>
  <c r="Q382" i="2"/>
  <c r="P385" i="2"/>
  <c r="AT387" i="2"/>
  <c r="R390" i="2"/>
  <c r="AP392" i="2"/>
  <c r="AG394" i="2"/>
  <c r="Q396" i="2"/>
  <c r="C398" i="2"/>
  <c r="AW399" i="2"/>
  <c r="AD401" i="2"/>
  <c r="BD402" i="2"/>
  <c r="T404" i="2"/>
  <c r="AO405" i="2"/>
  <c r="D407" i="2"/>
  <c r="V408" i="2"/>
  <c r="X409" i="2"/>
  <c r="U410" i="2"/>
  <c r="S411" i="2"/>
  <c r="L412" i="2"/>
  <c r="L413" i="2"/>
  <c r="BG413" i="2"/>
  <c r="AI414" i="2"/>
  <c r="I415" i="2"/>
  <c r="AO415" i="2"/>
  <c r="O416" i="2"/>
  <c r="AU416" i="2"/>
  <c r="U417" i="2"/>
  <c r="BA417" i="2"/>
  <c r="AA418" i="2"/>
  <c r="BG418" i="2"/>
  <c r="AG419" i="2"/>
  <c r="G420" i="2"/>
  <c r="AM420" i="2"/>
  <c r="M421" i="2"/>
  <c r="AS421" i="2"/>
  <c r="Q422" i="2"/>
  <c r="AU422" i="2"/>
  <c r="N423" i="2"/>
  <c r="AP423" i="2"/>
  <c r="N424" i="2"/>
  <c r="AR424" i="2"/>
  <c r="P425" i="2"/>
  <c r="AM425" i="2"/>
  <c r="K426" i="2"/>
  <c r="AO426" i="2"/>
  <c r="L427" i="2"/>
  <c r="AH427" i="2"/>
  <c r="BH427" i="2"/>
  <c r="W428" i="2"/>
  <c r="AW428" i="2"/>
  <c r="L429" i="2"/>
  <c r="AK429" i="2"/>
  <c r="BE429" i="2"/>
  <c r="S430" i="2"/>
  <c r="AQ430" i="2"/>
  <c r="E431" i="2"/>
  <c r="Y431" i="2"/>
  <c r="AW431" i="2"/>
  <c r="K432" i="2"/>
  <c r="AE432" i="2"/>
  <c r="BC432" i="2"/>
  <c r="Q433" i="2"/>
  <c r="AK433" i="2"/>
  <c r="C434" i="2"/>
  <c r="W434" i="2"/>
  <c r="AQ434" i="2"/>
  <c r="H435" i="2"/>
  <c r="AA435" i="2"/>
  <c r="AT435" i="2"/>
  <c r="G436" i="2"/>
  <c r="AB436" i="2"/>
  <c r="AV436" i="2"/>
  <c r="H437" i="2"/>
  <c r="Z437" i="2"/>
  <c r="AR437" i="2"/>
  <c r="D438" i="2"/>
  <c r="X438" i="2"/>
  <c r="AP438" i="2"/>
  <c r="BH438" i="2"/>
  <c r="T439" i="2"/>
  <c r="AL439" i="2"/>
  <c r="BD439" i="2"/>
  <c r="P440" i="2"/>
  <c r="AJ440" i="2"/>
  <c r="BB440" i="2"/>
  <c r="N441" i="2"/>
  <c r="AE441" i="2"/>
  <c r="AV441" i="2"/>
  <c r="F442" i="2"/>
  <c r="V442" i="2"/>
  <c r="AL442" i="2"/>
  <c r="BB442" i="2"/>
  <c r="L443" i="2"/>
  <c r="AB443" i="2"/>
  <c r="AR443" i="2"/>
  <c r="BH443" i="2"/>
  <c r="R444" i="2"/>
  <c r="AH444" i="2"/>
  <c r="AX444" i="2"/>
  <c r="H445" i="2"/>
  <c r="X445" i="2"/>
  <c r="AN445" i="2"/>
  <c r="BD445" i="2"/>
  <c r="N446" i="2"/>
  <c r="AD446" i="2"/>
  <c r="AW354" i="2"/>
  <c r="AU370" i="2"/>
  <c r="L376" i="2"/>
  <c r="AU379" i="2"/>
  <c r="BA382" i="2"/>
  <c r="AW385" i="2"/>
  <c r="U388" i="2"/>
  <c r="AY390" i="2"/>
  <c r="G393" i="2"/>
  <c r="AZ394" i="2"/>
  <c r="AJ396" i="2"/>
  <c r="Z398" i="2"/>
  <c r="J400" i="2"/>
  <c r="AU401" i="2"/>
  <c r="Q403" i="2"/>
  <c r="AJ404" i="2"/>
  <c r="BE405" i="2"/>
  <c r="T407" i="2"/>
  <c r="X408" i="2"/>
  <c r="Z409" i="2"/>
  <c r="Y410" i="2"/>
  <c r="AF411" i="2"/>
  <c r="W412" i="2"/>
  <c r="N413" i="2"/>
  <c r="C414" i="2"/>
  <c r="AK414" i="2"/>
  <c r="K415" i="2"/>
  <c r="AQ415" i="2"/>
  <c r="Q416" i="2"/>
  <c r="AW416" i="2"/>
  <c r="W417" i="2"/>
  <c r="BC417" i="2"/>
  <c r="AC418" i="2"/>
  <c r="C419" i="2"/>
  <c r="AI419" i="2"/>
  <c r="I420" i="2"/>
  <c r="AO420" i="2"/>
  <c r="O421" i="2"/>
  <c r="AU421" i="2"/>
  <c r="S422" i="2"/>
  <c r="AW422" i="2"/>
  <c r="U423" i="2"/>
  <c r="AT423" i="2"/>
  <c r="P424" i="2"/>
  <c r="AT424" i="2"/>
  <c r="R425" i="2"/>
  <c r="AV425" i="2"/>
  <c r="M426" i="2"/>
  <c r="AQ426" i="2"/>
  <c r="N427" i="2"/>
  <c r="AL427" i="2"/>
  <c r="D428" i="2"/>
  <c r="Y428" i="2"/>
  <c r="AY428" i="2"/>
  <c r="N429" i="2"/>
  <c r="AM429" i="2"/>
  <c r="BG429" i="2"/>
  <c r="U430" i="2"/>
  <c r="AS430" i="2"/>
  <c r="G431" i="2"/>
  <c r="AA431" i="2"/>
  <c r="AY431" i="2"/>
  <c r="M432" i="2"/>
  <c r="AG432" i="2"/>
  <c r="BE432" i="2"/>
  <c r="S433" i="2"/>
  <c r="AM433" i="2"/>
  <c r="E434" i="2"/>
  <c r="Y434" i="2"/>
  <c r="AS434" i="2"/>
  <c r="J435" i="2"/>
  <c r="AC435" i="2"/>
  <c r="AV435" i="2"/>
  <c r="I436" i="2"/>
  <c r="AE436" i="2"/>
  <c r="AX436" i="2"/>
  <c r="J437" i="2"/>
  <c r="AB437" i="2"/>
  <c r="AT437" i="2"/>
  <c r="H438" i="2"/>
  <c r="Z438" i="2"/>
  <c r="AR438" i="2"/>
  <c r="D439" i="2"/>
  <c r="V439" i="2"/>
  <c r="AN439" i="2"/>
  <c r="BF439" i="2"/>
  <c r="T440" i="2"/>
  <c r="AL440" i="2"/>
  <c r="BD440" i="2"/>
  <c r="P441" i="2"/>
  <c r="AG441" i="2"/>
  <c r="AX441" i="2"/>
  <c r="H442" i="2"/>
  <c r="X442" i="2"/>
  <c r="AN442" i="2"/>
  <c r="BD442" i="2"/>
  <c r="N443" i="2"/>
  <c r="AD443" i="2"/>
  <c r="AT443" i="2"/>
  <c r="D444" i="2"/>
  <c r="T444" i="2"/>
  <c r="AJ444" i="2"/>
  <c r="AZ444" i="2"/>
  <c r="P334" i="2"/>
  <c r="AK380" i="2"/>
  <c r="AG391" i="2"/>
  <c r="BA398" i="2"/>
  <c r="BH404" i="2"/>
  <c r="AR409" i="2"/>
  <c r="AD413" i="2"/>
  <c r="BD415" i="2"/>
  <c r="J418" i="2"/>
  <c r="V420" i="2"/>
  <c r="AE422" i="2"/>
  <c r="AB424" i="2"/>
  <c r="Y426" i="2"/>
  <c r="I428" i="2"/>
  <c r="AR429" i="2"/>
  <c r="N431" i="2"/>
  <c r="AP432" i="2"/>
  <c r="J434" i="2"/>
  <c r="AH435" i="2"/>
  <c r="BC436" i="2"/>
  <c r="M438" i="2"/>
  <c r="AA439" i="2"/>
  <c r="AQ440" i="2"/>
  <c r="BC441" i="2"/>
  <c r="C443" i="2"/>
  <c r="I444" i="2"/>
  <c r="L445" i="2"/>
  <c r="E446" i="2"/>
  <c r="BA446" i="2"/>
  <c r="AM447" i="2"/>
  <c r="AA448" i="2"/>
  <c r="D449" i="2"/>
  <c r="AT449" i="2"/>
  <c r="W450" i="2"/>
  <c r="BE450" i="2"/>
  <c r="AE451" i="2"/>
  <c r="E452" i="2"/>
  <c r="AK452" i="2"/>
  <c r="K453" i="2"/>
  <c r="AQ453" i="2"/>
  <c r="Q454" i="2"/>
  <c r="AW454" i="2"/>
  <c r="W455" i="2"/>
  <c r="BC455" i="2"/>
  <c r="AB456" i="2"/>
  <c r="BF456" i="2"/>
  <c r="AD457" i="2"/>
  <c r="BC457" i="2"/>
  <c r="Y458" i="2"/>
  <c r="BC458" i="2"/>
  <c r="Z459" i="2"/>
  <c r="AV459" i="2"/>
  <c r="P460" i="2"/>
  <c r="AK460" i="2"/>
  <c r="E461" i="2"/>
  <c r="Z461" i="2"/>
  <c r="AZ461" i="2"/>
  <c r="O462" i="2"/>
  <c r="AM462" i="2"/>
  <c r="BG462" i="2"/>
  <c r="T463" i="2"/>
  <c r="AL463" i="2"/>
  <c r="BD463" i="2"/>
  <c r="Q464" i="2"/>
  <c r="AJ464" i="2"/>
  <c r="BB464" i="2"/>
  <c r="N465" i="2"/>
  <c r="AF465" i="2"/>
  <c r="AX465" i="2"/>
  <c r="J466" i="2"/>
  <c r="AC466" i="2"/>
  <c r="AV466" i="2"/>
  <c r="H467" i="2"/>
  <c r="Z467" i="2"/>
  <c r="AR467" i="2"/>
  <c r="D468" i="2"/>
  <c r="V468" i="2"/>
  <c r="AO468" i="2"/>
  <c r="BH468" i="2"/>
  <c r="S469" i="2"/>
  <c r="AJ469" i="2"/>
  <c r="BA469" i="2"/>
  <c r="L470" i="2"/>
  <c r="AB470" i="2"/>
  <c r="AR470" i="2"/>
  <c r="BH470" i="2"/>
  <c r="R471" i="2"/>
  <c r="AH471" i="2"/>
  <c r="AX471" i="2"/>
  <c r="H472" i="2"/>
  <c r="X472" i="2"/>
  <c r="AN472" i="2"/>
  <c r="BD472" i="2"/>
  <c r="N473" i="2"/>
  <c r="AD473" i="2"/>
  <c r="AT473" i="2"/>
  <c r="D474" i="2"/>
  <c r="T474" i="2"/>
  <c r="AJ474" i="2"/>
  <c r="AZ474" i="2"/>
  <c r="J475" i="2"/>
  <c r="Z475" i="2"/>
  <c r="AP475" i="2"/>
  <c r="BF475" i="2"/>
  <c r="P476" i="2"/>
  <c r="AF476" i="2"/>
  <c r="AV476" i="2"/>
  <c r="F477" i="2"/>
  <c r="V477" i="2"/>
  <c r="AL477" i="2"/>
  <c r="BB477" i="2"/>
  <c r="L478" i="2"/>
  <c r="AB478" i="2"/>
  <c r="AR478" i="2"/>
  <c r="BH478" i="2"/>
  <c r="R479" i="2"/>
  <c r="AH479" i="2"/>
  <c r="AX479" i="2"/>
  <c r="H480" i="2"/>
  <c r="X480" i="2"/>
  <c r="AN480" i="2"/>
  <c r="BD480" i="2"/>
  <c r="N481" i="2"/>
  <c r="AD481" i="2"/>
  <c r="AT481" i="2"/>
  <c r="D482" i="2"/>
  <c r="T482" i="2"/>
  <c r="AJ482" i="2"/>
  <c r="AZ482" i="2"/>
  <c r="J483" i="2"/>
  <c r="Z483" i="2"/>
  <c r="AP483" i="2"/>
  <c r="BF483" i="2"/>
  <c r="P484" i="2"/>
  <c r="AF484" i="2"/>
  <c r="AV484" i="2"/>
  <c r="F485" i="2"/>
  <c r="V485" i="2"/>
  <c r="AL485" i="2"/>
  <c r="BB485" i="2"/>
  <c r="L486" i="2"/>
  <c r="AB486" i="2"/>
  <c r="AR486" i="2"/>
  <c r="BH486" i="2"/>
  <c r="R487" i="2"/>
  <c r="AH487" i="2"/>
  <c r="AX487" i="2"/>
  <c r="H488" i="2"/>
  <c r="X488" i="2"/>
  <c r="AN488" i="2"/>
  <c r="BD488" i="2"/>
  <c r="N489" i="2"/>
  <c r="AD489" i="2"/>
  <c r="AT489" i="2"/>
  <c r="D490" i="2"/>
  <c r="T490" i="2"/>
  <c r="AJ490" i="2"/>
  <c r="AZ490" i="2"/>
  <c r="J491" i="2"/>
  <c r="Z491" i="2"/>
  <c r="AP491" i="2"/>
  <c r="BF491" i="2"/>
  <c r="P492" i="2"/>
  <c r="AF492" i="2"/>
  <c r="AV492" i="2"/>
  <c r="F493" i="2"/>
  <c r="V493" i="2"/>
  <c r="AL493" i="2"/>
  <c r="BB493" i="2"/>
  <c r="L494" i="2"/>
  <c r="AB494" i="2"/>
  <c r="AR494" i="2"/>
  <c r="BH494" i="2"/>
  <c r="R495" i="2"/>
  <c r="AH495" i="2"/>
  <c r="AX495" i="2"/>
  <c r="H496" i="2"/>
  <c r="X496" i="2"/>
  <c r="AN496" i="2"/>
  <c r="BD496" i="2"/>
  <c r="N497" i="2"/>
  <c r="AD497" i="2"/>
  <c r="AT497" i="2"/>
  <c r="D498" i="2"/>
  <c r="T498" i="2"/>
  <c r="AJ498" i="2"/>
  <c r="Y351" i="2"/>
  <c r="W382" i="2"/>
  <c r="AU392" i="2"/>
  <c r="AZ399" i="2"/>
  <c r="AU405" i="2"/>
  <c r="V410" i="2"/>
  <c r="BH413" i="2"/>
  <c r="P416" i="2"/>
  <c r="AB418" i="2"/>
  <c r="AN420" i="2"/>
  <c r="AV422" i="2"/>
  <c r="AS424" i="2"/>
  <c r="AP426" i="2"/>
  <c r="X428" i="2"/>
  <c r="BF429" i="2"/>
  <c r="Z431" i="2"/>
  <c r="BD432" i="2"/>
  <c r="X434" i="2"/>
  <c r="AU435" i="2"/>
  <c r="I437" i="2"/>
  <c r="Y438" i="2"/>
  <c r="AM439" i="2"/>
  <c r="BC440" i="2"/>
  <c r="G442" i="2"/>
  <c r="M443" i="2"/>
  <c r="S444" i="2"/>
  <c r="O445" i="2"/>
  <c r="O446" i="2"/>
  <c r="D447" i="2"/>
  <c r="AN447" i="2"/>
  <c r="AB448" i="2"/>
  <c r="G449" i="2"/>
  <c r="AV449" i="2"/>
  <c r="X450" i="2"/>
  <c r="BF450" i="2"/>
  <c r="AF451" i="2"/>
  <c r="F452" i="2"/>
  <c r="AL452" i="2"/>
  <c r="L453" i="2"/>
  <c r="AR453" i="2"/>
  <c r="R454" i="2"/>
  <c r="AX454" i="2"/>
  <c r="X455" i="2"/>
  <c r="BD455" i="2"/>
  <c r="AC456" i="2"/>
  <c r="BG456" i="2"/>
  <c r="AE457" i="2"/>
  <c r="C458" i="2"/>
  <c r="Z458" i="2"/>
  <c r="BD458" i="2"/>
  <c r="AA459" i="2"/>
  <c r="AY459" i="2"/>
  <c r="Q460" i="2"/>
  <c r="AL460" i="2"/>
  <c r="F461" i="2"/>
  <c r="AA461" i="2"/>
  <c r="BA461" i="2"/>
  <c r="P462" i="2"/>
  <c r="AO462" i="2"/>
  <c r="BH462" i="2"/>
  <c r="U463" i="2"/>
  <c r="AM463" i="2"/>
  <c r="BE463" i="2"/>
  <c r="S464" i="2"/>
  <c r="AK464" i="2"/>
  <c r="BC464" i="2"/>
  <c r="O465" i="2"/>
  <c r="AG465" i="2"/>
  <c r="AY465" i="2"/>
  <c r="K466" i="2"/>
  <c r="AE466" i="2"/>
  <c r="AW466" i="2"/>
  <c r="I467" i="2"/>
  <c r="AA467" i="2"/>
  <c r="AS467" i="2"/>
  <c r="E468" i="2"/>
  <c r="W468" i="2"/>
  <c r="AQ468" i="2"/>
  <c r="C469" i="2"/>
  <c r="T469" i="2"/>
  <c r="AK469" i="2"/>
  <c r="BB469" i="2"/>
  <c r="M470" i="2"/>
  <c r="AC470" i="2"/>
  <c r="AS470" i="2"/>
  <c r="C471" i="2"/>
  <c r="S471" i="2"/>
  <c r="AI471" i="2"/>
  <c r="AY471" i="2"/>
  <c r="I472" i="2"/>
  <c r="Y472" i="2"/>
  <c r="AO472" i="2"/>
  <c r="BE472" i="2"/>
  <c r="O473" i="2"/>
  <c r="AE473" i="2"/>
  <c r="AU473" i="2"/>
  <c r="E474" i="2"/>
  <c r="U474" i="2"/>
  <c r="AK474" i="2"/>
  <c r="BA474" i="2"/>
  <c r="K475" i="2"/>
  <c r="AA475" i="2"/>
  <c r="AQ475" i="2"/>
  <c r="BG475" i="2"/>
  <c r="Q476" i="2"/>
  <c r="AG476" i="2"/>
  <c r="AW476" i="2"/>
  <c r="G477" i="2"/>
  <c r="W477" i="2"/>
  <c r="AM477" i="2"/>
  <c r="BC477" i="2"/>
  <c r="M478" i="2"/>
  <c r="AC478" i="2"/>
  <c r="AS478" i="2"/>
  <c r="C479" i="2"/>
  <c r="S479" i="2"/>
  <c r="AI479" i="2"/>
  <c r="AY479" i="2"/>
  <c r="I480" i="2"/>
  <c r="Y480" i="2"/>
  <c r="AO480" i="2"/>
  <c r="BE480" i="2"/>
  <c r="O481" i="2"/>
  <c r="AE481" i="2"/>
  <c r="AU481" i="2"/>
  <c r="E482" i="2"/>
  <c r="U482" i="2"/>
  <c r="AK482" i="2"/>
  <c r="BA482" i="2"/>
  <c r="K483" i="2"/>
  <c r="AA483" i="2"/>
  <c r="AQ483" i="2"/>
  <c r="BG483" i="2"/>
  <c r="Q484" i="2"/>
  <c r="AG484" i="2"/>
  <c r="AW484" i="2"/>
  <c r="G485" i="2"/>
  <c r="W485" i="2"/>
  <c r="AM485" i="2"/>
  <c r="BC485" i="2"/>
  <c r="M486" i="2"/>
  <c r="AC486" i="2"/>
  <c r="AS486" i="2"/>
  <c r="C487" i="2"/>
  <c r="S487" i="2"/>
  <c r="AI487" i="2"/>
  <c r="AY487" i="2"/>
  <c r="I488" i="2"/>
  <c r="Y488" i="2"/>
  <c r="AO488" i="2"/>
  <c r="BE488" i="2"/>
  <c r="O489" i="2"/>
  <c r="AE489" i="2"/>
  <c r="AU489" i="2"/>
  <c r="E490" i="2"/>
  <c r="U490" i="2"/>
  <c r="AK490" i="2"/>
  <c r="BA490" i="2"/>
  <c r="K491" i="2"/>
  <c r="AA491" i="2"/>
  <c r="AQ491" i="2"/>
  <c r="BG491" i="2"/>
  <c r="Q492" i="2"/>
  <c r="AG492" i="2"/>
  <c r="AW492" i="2"/>
  <c r="G493" i="2"/>
  <c r="W493" i="2"/>
  <c r="AM493" i="2"/>
  <c r="BC493" i="2"/>
  <c r="M494" i="2"/>
  <c r="AC494" i="2"/>
  <c r="AS494" i="2"/>
  <c r="C495" i="2"/>
  <c r="S495" i="2"/>
  <c r="AI495" i="2"/>
  <c r="AY495" i="2"/>
  <c r="I496" i="2"/>
  <c r="Y496" i="2"/>
  <c r="AO496" i="2"/>
  <c r="BE496" i="2"/>
  <c r="O497" i="2"/>
  <c r="AE497" i="2"/>
  <c r="AU497" i="2"/>
  <c r="AR355" i="2"/>
  <c r="BH382" i="2"/>
  <c r="M393" i="2"/>
  <c r="O400" i="2"/>
  <c r="E406" i="2"/>
  <c r="AL410" i="2"/>
  <c r="E414" i="2"/>
  <c r="AA416" i="2"/>
  <c r="AM418" i="2"/>
  <c r="AY420" i="2"/>
  <c r="AY422" i="2"/>
  <c r="AV424" i="2"/>
  <c r="AS426" i="2"/>
  <c r="AE428" i="2"/>
  <c r="C430" i="2"/>
  <c r="AG431" i="2"/>
  <c r="BG432" i="2"/>
  <c r="AA434" i="2"/>
  <c r="AX435" i="2"/>
  <c r="L437" i="2"/>
  <c r="AB438" i="2"/>
  <c r="AP439" i="2"/>
  <c r="BF440" i="2"/>
  <c r="J442" i="2"/>
  <c r="P443" i="2"/>
  <c r="V444" i="2"/>
  <c r="Z445" i="2"/>
  <c r="Q446" i="2"/>
  <c r="F447" i="2"/>
  <c r="AZ447" i="2"/>
  <c r="AD448" i="2"/>
  <c r="P449" i="2"/>
  <c r="AX449" i="2"/>
  <c r="Z450" i="2"/>
  <c r="J451" i="2"/>
  <c r="AP451" i="2"/>
  <c r="P452" i="2"/>
  <c r="AV452" i="2"/>
  <c r="V453" i="2"/>
  <c r="BB453" i="2"/>
  <c r="AB454" i="2"/>
  <c r="BH454" i="2"/>
  <c r="AH455" i="2"/>
  <c r="H456" i="2"/>
  <c r="AG456" i="2"/>
  <c r="C457" i="2"/>
  <c r="AG457" i="2"/>
  <c r="E458" i="2"/>
  <c r="AI458" i="2"/>
  <c r="BF458" i="2"/>
  <c r="AC459" i="2"/>
  <c r="BD459" i="2"/>
  <c r="S460" i="2"/>
  <c r="AQ460" i="2"/>
  <c r="H461" i="2"/>
  <c r="AE461" i="2"/>
  <c r="BC461" i="2"/>
  <c r="R462" i="2"/>
  <c r="AQ462" i="2"/>
  <c r="D463" i="2"/>
  <c r="W463" i="2"/>
  <c r="AO463" i="2"/>
  <c r="C464" i="2"/>
  <c r="U464" i="2"/>
  <c r="AM464" i="2"/>
  <c r="BE464" i="2"/>
  <c r="Q465" i="2"/>
  <c r="AI465" i="2"/>
  <c r="BA465" i="2"/>
  <c r="O466" i="2"/>
  <c r="AG466" i="2"/>
  <c r="AY466" i="2"/>
  <c r="K467" i="2"/>
  <c r="AC467" i="2"/>
  <c r="AU467" i="2"/>
  <c r="G468" i="2"/>
  <c r="AA468" i="2"/>
  <c r="AS468" i="2"/>
  <c r="E469" i="2"/>
  <c r="V469" i="2"/>
  <c r="AM469" i="2"/>
  <c r="BD469" i="2"/>
  <c r="O470" i="2"/>
  <c r="AE470" i="2"/>
  <c r="AU470" i="2"/>
  <c r="E471" i="2"/>
  <c r="U471" i="2"/>
  <c r="AK471" i="2"/>
  <c r="BA471" i="2"/>
  <c r="K472" i="2"/>
  <c r="AA472" i="2"/>
  <c r="AQ472" i="2"/>
  <c r="BG472" i="2"/>
  <c r="Q473" i="2"/>
  <c r="AG473" i="2"/>
  <c r="AW473" i="2"/>
  <c r="G474" i="2"/>
  <c r="W474" i="2"/>
  <c r="AM474" i="2"/>
  <c r="BC474" i="2"/>
  <c r="M475" i="2"/>
  <c r="AC475" i="2"/>
  <c r="AS475" i="2"/>
  <c r="C476" i="2"/>
  <c r="S476" i="2"/>
  <c r="AI476" i="2"/>
  <c r="AY476" i="2"/>
  <c r="I477" i="2"/>
  <c r="Y477" i="2"/>
  <c r="AO477" i="2"/>
  <c r="BE477" i="2"/>
  <c r="O478" i="2"/>
  <c r="AE478" i="2"/>
  <c r="AU478" i="2"/>
  <c r="E479" i="2"/>
  <c r="U479" i="2"/>
  <c r="AK479" i="2"/>
  <c r="BA479" i="2"/>
  <c r="K480" i="2"/>
  <c r="AA480" i="2"/>
  <c r="AQ480" i="2"/>
  <c r="BG480" i="2"/>
  <c r="Q481" i="2"/>
  <c r="AG481" i="2"/>
  <c r="AW481" i="2"/>
  <c r="G482" i="2"/>
  <c r="W482" i="2"/>
  <c r="AM482" i="2"/>
  <c r="BC482" i="2"/>
  <c r="M483" i="2"/>
  <c r="AC483" i="2"/>
  <c r="AS483" i="2"/>
  <c r="C484" i="2"/>
  <c r="S484" i="2"/>
  <c r="AI484" i="2"/>
  <c r="AY484" i="2"/>
  <c r="I485" i="2"/>
  <c r="Y485" i="2"/>
  <c r="AO485" i="2"/>
  <c r="BE485" i="2"/>
  <c r="O486" i="2"/>
  <c r="AE486" i="2"/>
  <c r="AU486" i="2"/>
  <c r="E487" i="2"/>
  <c r="U487" i="2"/>
  <c r="AK487" i="2"/>
  <c r="BA487" i="2"/>
  <c r="K488" i="2"/>
  <c r="AA488" i="2"/>
  <c r="AQ488" i="2"/>
  <c r="BG488" i="2"/>
  <c r="Q489" i="2"/>
  <c r="AG489" i="2"/>
  <c r="AW489" i="2"/>
  <c r="G490" i="2"/>
  <c r="W490" i="2"/>
  <c r="AM490" i="2"/>
  <c r="BC490" i="2"/>
  <c r="M491" i="2"/>
  <c r="AC491" i="2"/>
  <c r="AS491" i="2"/>
  <c r="C492" i="2"/>
  <c r="S492" i="2"/>
  <c r="AI492" i="2"/>
  <c r="AY492" i="2"/>
  <c r="I493" i="2"/>
  <c r="Y493" i="2"/>
  <c r="AO493" i="2"/>
  <c r="BE493" i="2"/>
  <c r="O494" i="2"/>
  <c r="AE494" i="2"/>
  <c r="AU494" i="2"/>
  <c r="E495" i="2"/>
  <c r="U495" i="2"/>
  <c r="AK495" i="2"/>
  <c r="BA495" i="2"/>
  <c r="K496" i="2"/>
  <c r="AA496" i="2"/>
  <c r="AQ496" i="2"/>
  <c r="BG496" i="2"/>
  <c r="Q497" i="2"/>
  <c r="AG497" i="2"/>
  <c r="AW497" i="2"/>
  <c r="G498" i="2"/>
  <c r="W498" i="2"/>
  <c r="AA360" i="2"/>
  <c r="AQ383" i="2"/>
  <c r="AH393" i="2"/>
  <c r="AN400" i="2"/>
  <c r="W406" i="2"/>
  <c r="AS410" i="2"/>
  <c r="R414" i="2"/>
  <c r="AD416" i="2"/>
  <c r="AP418" i="2"/>
  <c r="BB420" i="2"/>
  <c r="BD422" i="2"/>
  <c r="BF424" i="2"/>
  <c r="BC426" i="2"/>
  <c r="AI428" i="2"/>
  <c r="H430" i="2"/>
  <c r="AJ431" i="2"/>
  <c r="D433" i="2"/>
  <c r="AF434" i="2"/>
  <c r="BD435" i="2"/>
  <c r="O437" i="2"/>
  <c r="AE438" i="2"/>
  <c r="AU439" i="2"/>
  <c r="C441" i="2"/>
  <c r="M442" i="2"/>
  <c r="S443" i="2"/>
  <c r="Y444" i="2"/>
  <c r="AA445" i="2"/>
  <c r="R446" i="2"/>
  <c r="G447" i="2"/>
  <c r="BA447" i="2"/>
  <c r="AG448" i="2"/>
  <c r="Q449" i="2"/>
  <c r="AY449" i="2"/>
  <c r="AC450" i="2"/>
  <c r="K451" i="2"/>
  <c r="AQ451" i="2"/>
  <c r="Q452" i="2"/>
  <c r="AW452" i="2"/>
  <c r="W453" i="2"/>
  <c r="BC453" i="2"/>
  <c r="AC454" i="2"/>
  <c r="C455" i="2"/>
  <c r="AI455" i="2"/>
  <c r="I456" i="2"/>
  <c r="AM456" i="2"/>
  <c r="D457" i="2"/>
  <c r="AH457" i="2"/>
  <c r="F458" i="2"/>
  <c r="AJ458" i="2"/>
  <c r="C459" i="2"/>
  <c r="AD459" i="2"/>
  <c r="BE459" i="2"/>
  <c r="T460" i="2"/>
  <c r="AT460" i="2"/>
  <c r="I461" i="2"/>
  <c r="AG461" i="2"/>
  <c r="BD461" i="2"/>
  <c r="U462" i="2"/>
  <c r="AR462" i="2"/>
  <c r="E463" i="2"/>
  <c r="X463" i="2"/>
  <c r="AQ463" i="2"/>
  <c r="D464" i="2"/>
  <c r="V464" i="2"/>
  <c r="AN464" i="2"/>
  <c r="BF464" i="2"/>
  <c r="R465" i="2"/>
  <c r="AJ465" i="2"/>
  <c r="BC465" i="2"/>
  <c r="P466" i="2"/>
  <c r="AH466" i="2"/>
  <c r="AZ466" i="2"/>
  <c r="L467" i="2"/>
  <c r="AD467" i="2"/>
  <c r="AV467" i="2"/>
  <c r="I468" i="2"/>
  <c r="AB468" i="2"/>
  <c r="AT468" i="2"/>
  <c r="F469" i="2"/>
  <c r="W469" i="2"/>
  <c r="AN469" i="2"/>
  <c r="BE469" i="2"/>
  <c r="P470" i="2"/>
  <c r="AF470" i="2"/>
  <c r="AV470" i="2"/>
  <c r="F471" i="2"/>
  <c r="V471" i="2"/>
  <c r="AL471" i="2"/>
  <c r="BB471" i="2"/>
  <c r="L472" i="2"/>
  <c r="AB472" i="2"/>
  <c r="AR472" i="2"/>
  <c r="BH472" i="2"/>
  <c r="R473" i="2"/>
  <c r="AH473" i="2"/>
  <c r="AX473" i="2"/>
  <c r="H474" i="2"/>
  <c r="X474" i="2"/>
  <c r="AN474" i="2"/>
  <c r="BD474" i="2"/>
  <c r="N475" i="2"/>
  <c r="AD475" i="2"/>
  <c r="AT475" i="2"/>
  <c r="D476" i="2"/>
  <c r="T476" i="2"/>
  <c r="AJ476" i="2"/>
  <c r="AZ476" i="2"/>
  <c r="J477" i="2"/>
  <c r="Z477" i="2"/>
  <c r="AP477" i="2"/>
  <c r="BF477" i="2"/>
  <c r="P478" i="2"/>
  <c r="AF478" i="2"/>
  <c r="AV478" i="2"/>
  <c r="F479" i="2"/>
  <c r="V479" i="2"/>
  <c r="AL479" i="2"/>
  <c r="BB479" i="2"/>
  <c r="L480" i="2"/>
  <c r="AB480" i="2"/>
  <c r="AR480" i="2"/>
  <c r="BH480" i="2"/>
  <c r="R481" i="2"/>
  <c r="AH481" i="2"/>
  <c r="AX481" i="2"/>
  <c r="H482" i="2"/>
  <c r="X482" i="2"/>
  <c r="AN482" i="2"/>
  <c r="BD482" i="2"/>
  <c r="N483" i="2"/>
  <c r="AD483" i="2"/>
  <c r="AT483" i="2"/>
  <c r="D484" i="2"/>
  <c r="T484" i="2"/>
  <c r="AJ484" i="2"/>
  <c r="AZ484" i="2"/>
  <c r="J485" i="2"/>
  <c r="Z485" i="2"/>
  <c r="AP485" i="2"/>
  <c r="BF485" i="2"/>
  <c r="P486" i="2"/>
  <c r="AF486" i="2"/>
  <c r="AV486" i="2"/>
  <c r="F487" i="2"/>
  <c r="V487" i="2"/>
  <c r="AL487" i="2"/>
  <c r="BB487" i="2"/>
  <c r="L488" i="2"/>
  <c r="AB488" i="2"/>
  <c r="AR488" i="2"/>
  <c r="BH488" i="2"/>
  <c r="R489" i="2"/>
  <c r="AH489" i="2"/>
  <c r="AX489" i="2"/>
  <c r="H490" i="2"/>
  <c r="X490" i="2"/>
  <c r="AN490" i="2"/>
  <c r="BD490" i="2"/>
  <c r="N491" i="2"/>
  <c r="AD491" i="2"/>
  <c r="AT491" i="2"/>
  <c r="D492" i="2"/>
  <c r="T492" i="2"/>
  <c r="AJ492" i="2"/>
  <c r="AZ492" i="2"/>
  <c r="J493" i="2"/>
  <c r="Z493" i="2"/>
  <c r="AP493" i="2"/>
  <c r="BF493" i="2"/>
  <c r="P494" i="2"/>
  <c r="AF494" i="2"/>
  <c r="AV494" i="2"/>
  <c r="F495" i="2"/>
  <c r="V495" i="2"/>
  <c r="AL495" i="2"/>
  <c r="AW368" i="2"/>
  <c r="U385" i="2"/>
  <c r="AJ394" i="2"/>
  <c r="AG401" i="2"/>
  <c r="I407" i="2"/>
  <c r="V411" i="2"/>
  <c r="AJ414" i="2"/>
  <c r="AV416" i="2"/>
  <c r="BH418" i="2"/>
  <c r="N421" i="2"/>
  <c r="T423" i="2"/>
  <c r="Q425" i="2"/>
  <c r="M427" i="2"/>
  <c r="AX428" i="2"/>
  <c r="T430" i="2"/>
  <c r="AX431" i="2"/>
  <c r="R433" i="2"/>
  <c r="AR434" i="2"/>
  <c r="H436" i="2"/>
  <c r="AA437" i="2"/>
  <c r="AQ438" i="2"/>
  <c r="BE439" i="2"/>
  <c r="O441" i="2"/>
  <c r="W442" i="2"/>
  <c r="AC443" i="2"/>
  <c r="AI444" i="2"/>
  <c r="AB445" i="2"/>
  <c r="U446" i="2"/>
  <c r="H447" i="2"/>
  <c r="BB447" i="2"/>
  <c r="AP448" i="2"/>
  <c r="R449" i="2"/>
  <c r="AZ449" i="2"/>
  <c r="AJ450" i="2"/>
  <c r="L451" i="2"/>
  <c r="AR451" i="2"/>
  <c r="R452" i="2"/>
  <c r="AX452" i="2"/>
  <c r="X453" i="2"/>
  <c r="BD453" i="2"/>
  <c r="AD454" i="2"/>
  <c r="D455" i="2"/>
  <c r="AJ455" i="2"/>
  <c r="J456" i="2"/>
  <c r="AN456" i="2"/>
  <c r="G457" i="2"/>
  <c r="AI457" i="2"/>
  <c r="G458" i="2"/>
  <c r="AK458" i="2"/>
  <c r="I459" i="2"/>
  <c r="AE459" i="2"/>
  <c r="BF459" i="2"/>
  <c r="U460" i="2"/>
  <c r="AU460" i="2"/>
  <c r="J461" i="2"/>
  <c r="AJ461" i="2"/>
  <c r="BE461" i="2"/>
  <c r="W462" i="2"/>
  <c r="AS462" i="2"/>
  <c r="F463" i="2"/>
  <c r="Y463" i="2"/>
  <c r="AS463" i="2"/>
  <c r="E464" i="2"/>
  <c r="W464" i="2"/>
  <c r="AO464" i="2"/>
  <c r="BG464" i="2"/>
  <c r="S465" i="2"/>
  <c r="AK465" i="2"/>
  <c r="BE465" i="2"/>
  <c r="Q466" i="2"/>
  <c r="AI466" i="2"/>
  <c r="BA466" i="2"/>
  <c r="M467" i="2"/>
  <c r="AE467" i="2"/>
  <c r="AW467" i="2"/>
  <c r="K468" i="2"/>
  <c r="AC468" i="2"/>
  <c r="AU468" i="2"/>
  <c r="G469" i="2"/>
  <c r="X469" i="2"/>
  <c r="AO469" i="2"/>
  <c r="BF469" i="2"/>
  <c r="Q470" i="2"/>
  <c r="AG470" i="2"/>
  <c r="AW470" i="2"/>
  <c r="G471" i="2"/>
  <c r="W471" i="2"/>
  <c r="AM471" i="2"/>
  <c r="BC471" i="2"/>
  <c r="M472" i="2"/>
  <c r="AC472" i="2"/>
  <c r="AS472" i="2"/>
  <c r="C473" i="2"/>
  <c r="S473" i="2"/>
  <c r="AI473" i="2"/>
  <c r="AY473" i="2"/>
  <c r="I474" i="2"/>
  <c r="Y474" i="2"/>
  <c r="AO474" i="2"/>
  <c r="BE474" i="2"/>
  <c r="O475" i="2"/>
  <c r="AE475" i="2"/>
  <c r="AU475" i="2"/>
  <c r="E476" i="2"/>
  <c r="U476" i="2"/>
  <c r="AK476" i="2"/>
  <c r="BA476" i="2"/>
  <c r="K477" i="2"/>
  <c r="AA477" i="2"/>
  <c r="AQ477" i="2"/>
  <c r="BG477" i="2"/>
  <c r="Q478" i="2"/>
  <c r="AG478" i="2"/>
  <c r="AW478" i="2"/>
  <c r="G479" i="2"/>
  <c r="W479" i="2"/>
  <c r="AM479" i="2"/>
  <c r="BC479" i="2"/>
  <c r="M480" i="2"/>
  <c r="AC480" i="2"/>
  <c r="AS480" i="2"/>
  <c r="C481" i="2"/>
  <c r="S481" i="2"/>
  <c r="AI481" i="2"/>
  <c r="AY481" i="2"/>
  <c r="I482" i="2"/>
  <c r="Y482" i="2"/>
  <c r="AO482" i="2"/>
  <c r="BE482" i="2"/>
  <c r="O483" i="2"/>
  <c r="AE483" i="2"/>
  <c r="AU483" i="2"/>
  <c r="E484" i="2"/>
  <c r="U484" i="2"/>
  <c r="AK484" i="2"/>
  <c r="BA484" i="2"/>
  <c r="K485" i="2"/>
  <c r="AA485" i="2"/>
  <c r="AQ485" i="2"/>
  <c r="BG485" i="2"/>
  <c r="Q486" i="2"/>
  <c r="AG486" i="2"/>
  <c r="AW486" i="2"/>
  <c r="G487" i="2"/>
  <c r="W487" i="2"/>
  <c r="AM487" i="2"/>
  <c r="BC487" i="2"/>
  <c r="M488" i="2"/>
  <c r="AC488" i="2"/>
  <c r="AS488" i="2"/>
  <c r="C489" i="2"/>
  <c r="S489" i="2"/>
  <c r="AI489" i="2"/>
  <c r="AY489" i="2"/>
  <c r="I490" i="2"/>
  <c r="Y490" i="2"/>
  <c r="AO490" i="2"/>
  <c r="BE490" i="2"/>
  <c r="O491" i="2"/>
  <c r="AE491" i="2"/>
  <c r="AU491" i="2"/>
  <c r="E492" i="2"/>
  <c r="U492" i="2"/>
  <c r="AK492" i="2"/>
  <c r="BA492" i="2"/>
  <c r="K493" i="2"/>
  <c r="AA493" i="2"/>
  <c r="AQ493" i="2"/>
  <c r="BG493" i="2"/>
  <c r="Q494" i="2"/>
  <c r="AG494" i="2"/>
  <c r="AW494" i="2"/>
  <c r="G495" i="2"/>
  <c r="W495" i="2"/>
  <c r="AM495" i="2"/>
  <c r="BC495" i="2"/>
  <c r="M496" i="2"/>
  <c r="AC496" i="2"/>
  <c r="AS496" i="2"/>
  <c r="C497" i="2"/>
  <c r="S497" i="2"/>
  <c r="AI497" i="2"/>
  <c r="AY497" i="2"/>
  <c r="I498" i="2"/>
  <c r="S371" i="2"/>
  <c r="AY385" i="2"/>
  <c r="BB394" i="2"/>
  <c r="AW401" i="2"/>
  <c r="V407" i="2"/>
  <c r="AG411" i="2"/>
  <c r="AN414" i="2"/>
  <c r="AZ416" i="2"/>
  <c r="F419" i="2"/>
  <c r="R421" i="2"/>
  <c r="V423" i="2"/>
  <c r="S425" i="2"/>
  <c r="O427" i="2"/>
  <c r="AZ428" i="2"/>
  <c r="X430" i="2"/>
  <c r="AZ431" i="2"/>
  <c r="T433" i="2"/>
  <c r="AV434" i="2"/>
  <c r="L436" i="2"/>
  <c r="AC437" i="2"/>
  <c r="AS438" i="2"/>
  <c r="BG439" i="2"/>
  <c r="Q441" i="2"/>
  <c r="Y442" i="2"/>
  <c r="AE443" i="2"/>
  <c r="AK444" i="2"/>
  <c r="AE445" i="2"/>
  <c r="AE446" i="2"/>
  <c r="K447" i="2"/>
  <c r="BC447" i="2"/>
  <c r="AQ448" i="2"/>
  <c r="S449" i="2"/>
  <c r="BC449" i="2"/>
  <c r="AL450" i="2"/>
  <c r="M451" i="2"/>
  <c r="AS451" i="2"/>
  <c r="S452" i="2"/>
  <c r="AY452" i="2"/>
  <c r="Y453" i="2"/>
  <c r="BE453" i="2"/>
  <c r="AE454" i="2"/>
  <c r="E455" i="2"/>
  <c r="AK455" i="2"/>
  <c r="K456" i="2"/>
  <c r="AO456" i="2"/>
  <c r="M457" i="2"/>
  <c r="AJ457" i="2"/>
  <c r="H458" i="2"/>
  <c r="AL458" i="2"/>
  <c r="J459" i="2"/>
  <c r="AF459" i="2"/>
  <c r="BG459" i="2"/>
  <c r="V460" i="2"/>
  <c r="AV460" i="2"/>
  <c r="K461" i="2"/>
  <c r="AK461" i="2"/>
  <c r="BF461" i="2"/>
  <c r="Z462" i="2"/>
  <c r="AT462" i="2"/>
  <c r="G463" i="2"/>
  <c r="AA463" i="2"/>
  <c r="AT463" i="2"/>
  <c r="F464" i="2"/>
  <c r="X464" i="2"/>
  <c r="AP464" i="2"/>
  <c r="BH464" i="2"/>
  <c r="T465" i="2"/>
  <c r="AM465" i="2"/>
  <c r="BF465" i="2"/>
  <c r="R466" i="2"/>
  <c r="AJ466" i="2"/>
  <c r="BB466" i="2"/>
  <c r="N467" i="2"/>
  <c r="AF467" i="2"/>
  <c r="AY467" i="2"/>
  <c r="L468" i="2"/>
  <c r="AD468" i="2"/>
  <c r="AV468" i="2"/>
  <c r="H469" i="2"/>
  <c r="Y469" i="2"/>
  <c r="AP469" i="2"/>
  <c r="BG469" i="2"/>
  <c r="R470" i="2"/>
  <c r="AH470" i="2"/>
  <c r="AX470" i="2"/>
  <c r="H471" i="2"/>
  <c r="X471" i="2"/>
  <c r="AN471" i="2"/>
  <c r="BD471" i="2"/>
  <c r="N472" i="2"/>
  <c r="AD472" i="2"/>
  <c r="AT472" i="2"/>
  <c r="D473" i="2"/>
  <c r="T473" i="2"/>
  <c r="AJ473" i="2"/>
  <c r="AZ473" i="2"/>
  <c r="J474" i="2"/>
  <c r="Z474" i="2"/>
  <c r="AP474" i="2"/>
  <c r="BF474" i="2"/>
  <c r="P475" i="2"/>
  <c r="AF475" i="2"/>
  <c r="AV475" i="2"/>
  <c r="F476" i="2"/>
  <c r="V476" i="2"/>
  <c r="AL476" i="2"/>
  <c r="BB476" i="2"/>
  <c r="L477" i="2"/>
  <c r="AB477" i="2"/>
  <c r="AR477" i="2"/>
  <c r="BH477" i="2"/>
  <c r="R478" i="2"/>
  <c r="AH478" i="2"/>
  <c r="AX478" i="2"/>
  <c r="H479" i="2"/>
  <c r="X479" i="2"/>
  <c r="AN479" i="2"/>
  <c r="BD479" i="2"/>
  <c r="N480" i="2"/>
  <c r="AD480" i="2"/>
  <c r="AT480" i="2"/>
  <c r="D481" i="2"/>
  <c r="T481" i="2"/>
  <c r="AJ481" i="2"/>
  <c r="AZ481" i="2"/>
  <c r="J482" i="2"/>
  <c r="Z482" i="2"/>
  <c r="AP482" i="2"/>
  <c r="BF482" i="2"/>
  <c r="P483" i="2"/>
  <c r="AF483" i="2"/>
  <c r="AV483" i="2"/>
  <c r="F484" i="2"/>
  <c r="V484" i="2"/>
  <c r="AL484" i="2"/>
  <c r="BB484" i="2"/>
  <c r="L485" i="2"/>
  <c r="AB485" i="2"/>
  <c r="AR485" i="2"/>
  <c r="BH485" i="2"/>
  <c r="R486" i="2"/>
  <c r="AH486" i="2"/>
  <c r="AX486" i="2"/>
  <c r="H487" i="2"/>
  <c r="X487" i="2"/>
  <c r="AN487" i="2"/>
  <c r="BD487" i="2"/>
  <c r="N488" i="2"/>
  <c r="AD488" i="2"/>
  <c r="AT488" i="2"/>
  <c r="D489" i="2"/>
  <c r="T489" i="2"/>
  <c r="AJ489" i="2"/>
  <c r="AZ489" i="2"/>
  <c r="J490" i="2"/>
  <c r="Z490" i="2"/>
  <c r="AP490" i="2"/>
  <c r="BF490" i="2"/>
  <c r="P491" i="2"/>
  <c r="AF491" i="2"/>
  <c r="AV491" i="2"/>
  <c r="F492" i="2"/>
  <c r="V492" i="2"/>
  <c r="AL492" i="2"/>
  <c r="BB492" i="2"/>
  <c r="L493" i="2"/>
  <c r="AB493" i="2"/>
  <c r="AR493" i="2"/>
  <c r="BH493" i="2"/>
  <c r="R494" i="2"/>
  <c r="AC371" i="2"/>
  <c r="AZ385" i="2"/>
  <c r="BC394" i="2"/>
  <c r="AX401" i="2"/>
  <c r="Y407" i="2"/>
  <c r="AH411" i="2"/>
  <c r="AU414" i="2"/>
  <c r="BG416" i="2"/>
  <c r="M419" i="2"/>
  <c r="Y421" i="2"/>
  <c r="W423" i="2"/>
  <c r="T425" i="2"/>
  <c r="P427" i="2"/>
  <c r="BA428" i="2"/>
  <c r="AA430" i="2"/>
  <c r="BA431" i="2"/>
  <c r="U433" i="2"/>
  <c r="AY434" i="2"/>
  <c r="N436" i="2"/>
  <c r="AD437" i="2"/>
  <c r="AT438" i="2"/>
  <c r="D440" i="2"/>
  <c r="R441" i="2"/>
  <c r="Z442" i="2"/>
  <c r="AF443" i="2"/>
  <c r="AL444" i="2"/>
  <c r="AO445" i="2"/>
  <c r="AF446" i="2"/>
  <c r="T447" i="2"/>
  <c r="BD447" i="2"/>
  <c r="AR448" i="2"/>
  <c r="T449" i="2"/>
  <c r="D450" i="2"/>
  <c r="AM450" i="2"/>
  <c r="N451" i="2"/>
  <c r="AT451" i="2"/>
  <c r="T452" i="2"/>
  <c r="AZ452" i="2"/>
  <c r="Z453" i="2"/>
  <c r="BF453" i="2"/>
  <c r="AF454" i="2"/>
  <c r="F455" i="2"/>
  <c r="AL455" i="2"/>
  <c r="L456" i="2"/>
  <c r="AP456" i="2"/>
  <c r="N457" i="2"/>
  <c r="AM457" i="2"/>
  <c r="I458" i="2"/>
  <c r="AM458" i="2"/>
  <c r="K459" i="2"/>
  <c r="AI459" i="2"/>
  <c r="BH459" i="2"/>
  <c r="Y460" i="2"/>
  <c r="AW460" i="2"/>
  <c r="L461" i="2"/>
  <c r="AL461" i="2"/>
  <c r="BG461" i="2"/>
  <c r="AA462" i="2"/>
  <c r="AU462" i="2"/>
  <c r="H463" i="2"/>
  <c r="AC463" i="2"/>
  <c r="AU463" i="2"/>
  <c r="G464" i="2"/>
  <c r="Y464" i="2"/>
  <c r="AQ464" i="2"/>
  <c r="C465" i="2"/>
  <c r="U465" i="2"/>
  <c r="AO465" i="2"/>
  <c r="BG465" i="2"/>
  <c r="S466" i="2"/>
  <c r="AK466" i="2"/>
  <c r="BC466" i="2"/>
  <c r="O467" i="2"/>
  <c r="AG467" i="2"/>
  <c r="BA467" i="2"/>
  <c r="M468" i="2"/>
  <c r="AE468" i="2"/>
  <c r="AW468" i="2"/>
  <c r="I469" i="2"/>
  <c r="Z469" i="2"/>
  <c r="AQ469" i="2"/>
  <c r="BH469" i="2"/>
  <c r="S470" i="2"/>
  <c r="AI470" i="2"/>
  <c r="AY470" i="2"/>
  <c r="I471" i="2"/>
  <c r="Y471" i="2"/>
  <c r="AO471" i="2"/>
  <c r="BE471" i="2"/>
  <c r="O472" i="2"/>
  <c r="AE472" i="2"/>
  <c r="AU472" i="2"/>
  <c r="E473" i="2"/>
  <c r="U473" i="2"/>
  <c r="AK473" i="2"/>
  <c r="BA473" i="2"/>
  <c r="K474" i="2"/>
  <c r="AA474" i="2"/>
  <c r="AQ474" i="2"/>
  <c r="BG474" i="2"/>
  <c r="Q475" i="2"/>
  <c r="AG475" i="2"/>
  <c r="AW475" i="2"/>
  <c r="G476" i="2"/>
  <c r="W476" i="2"/>
  <c r="AM476" i="2"/>
  <c r="BC476" i="2"/>
  <c r="M477" i="2"/>
  <c r="AC477" i="2"/>
  <c r="AS477" i="2"/>
  <c r="C478" i="2"/>
  <c r="S478" i="2"/>
  <c r="AI478" i="2"/>
  <c r="AY478" i="2"/>
  <c r="I479" i="2"/>
  <c r="Y479" i="2"/>
  <c r="AO479" i="2"/>
  <c r="BE479" i="2"/>
  <c r="O480" i="2"/>
  <c r="AE480" i="2"/>
  <c r="AU480" i="2"/>
  <c r="E481" i="2"/>
  <c r="U481" i="2"/>
  <c r="AK481" i="2"/>
  <c r="X373" i="2"/>
  <c r="AC386" i="2"/>
  <c r="X395" i="2"/>
  <c r="O402" i="2"/>
  <c r="AQ407" i="2"/>
  <c r="AV411" i="2"/>
  <c r="AX414" i="2"/>
  <c r="D417" i="2"/>
  <c r="P419" i="2"/>
  <c r="AB421" i="2"/>
  <c r="Z423" i="2"/>
  <c r="W425" i="2"/>
  <c r="S427" i="2"/>
  <c r="BD428" i="2"/>
  <c r="AD430" i="2"/>
  <c r="BD431" i="2"/>
  <c r="Z433" i="2"/>
  <c r="BB434" i="2"/>
  <c r="Q436" i="2"/>
  <c r="AI437" i="2"/>
  <c r="AW438" i="2"/>
  <c r="G440" i="2"/>
  <c r="U441" i="2"/>
  <c r="AC442" i="2"/>
  <c r="AI443" i="2"/>
  <c r="AO444" i="2"/>
  <c r="AP445" i="2"/>
  <c r="AG446" i="2"/>
  <c r="U447" i="2"/>
  <c r="BG447" i="2"/>
  <c r="AS448" i="2"/>
  <c r="W449" i="2"/>
  <c r="F450" i="2"/>
  <c r="AN450" i="2"/>
  <c r="O451" i="2"/>
  <c r="AU451" i="2"/>
  <c r="U452" i="2"/>
  <c r="BA452" i="2"/>
  <c r="AA453" i="2"/>
  <c r="BG453" i="2"/>
  <c r="AG454" i="2"/>
  <c r="G455" i="2"/>
  <c r="AM455" i="2"/>
  <c r="M456" i="2"/>
  <c r="AQ456" i="2"/>
  <c r="O457" i="2"/>
  <c r="AS457" i="2"/>
  <c r="J458" i="2"/>
  <c r="AN458" i="2"/>
  <c r="L459" i="2"/>
  <c r="AK459" i="2"/>
  <c r="C460" i="2"/>
  <c r="AA460" i="2"/>
  <c r="AX460" i="2"/>
  <c r="O461" i="2"/>
  <c r="AM461" i="2"/>
  <c r="BH461" i="2"/>
  <c r="AB462" i="2"/>
  <c r="AV462" i="2"/>
  <c r="I463" i="2"/>
  <c r="AD463" i="2"/>
  <c r="AV463" i="2"/>
  <c r="H464" i="2"/>
  <c r="Z464" i="2"/>
  <c r="AR464" i="2"/>
  <c r="D465" i="2"/>
  <c r="W465" i="2"/>
  <c r="AP465" i="2"/>
  <c r="BH465" i="2"/>
  <c r="T466" i="2"/>
  <c r="AL466" i="2"/>
  <c r="BD466" i="2"/>
  <c r="P467" i="2"/>
  <c r="AI467" i="2"/>
  <c r="BB467" i="2"/>
  <c r="N468" i="2"/>
  <c r="AF468" i="2"/>
  <c r="AX468" i="2"/>
  <c r="J469" i="2"/>
  <c r="AA469" i="2"/>
  <c r="AR469" i="2"/>
  <c r="C470" i="2"/>
  <c r="T470" i="2"/>
  <c r="AJ470" i="2"/>
  <c r="AZ470" i="2"/>
  <c r="J471" i="2"/>
  <c r="Z471" i="2"/>
  <c r="AP471" i="2"/>
  <c r="BF471" i="2"/>
  <c r="P472" i="2"/>
  <c r="AF472" i="2"/>
  <c r="AV472" i="2"/>
  <c r="F473" i="2"/>
  <c r="V473" i="2"/>
  <c r="AL473" i="2"/>
  <c r="BB473" i="2"/>
  <c r="L474" i="2"/>
  <c r="AB474" i="2"/>
  <c r="AR474" i="2"/>
  <c r="BH474" i="2"/>
  <c r="R475" i="2"/>
  <c r="AH475" i="2"/>
  <c r="AX475" i="2"/>
  <c r="H476" i="2"/>
  <c r="X476" i="2"/>
  <c r="AN476" i="2"/>
  <c r="BD476" i="2"/>
  <c r="N477" i="2"/>
  <c r="AD477" i="2"/>
  <c r="AT477" i="2"/>
  <c r="D478" i="2"/>
  <c r="T478" i="2"/>
  <c r="AJ478" i="2"/>
  <c r="AZ478" i="2"/>
  <c r="AL375" i="2"/>
  <c r="AY387" i="2"/>
  <c r="T396" i="2"/>
  <c r="E403" i="2"/>
  <c r="W408" i="2"/>
  <c r="V412" i="2"/>
  <c r="J415" i="2"/>
  <c r="V417" i="2"/>
  <c r="AH419" i="2"/>
  <c r="AT421" i="2"/>
  <c r="AQ423" i="2"/>
  <c r="AP425" i="2"/>
  <c r="AI427" i="2"/>
  <c r="M429" i="2"/>
  <c r="AR430" i="2"/>
  <c r="L432" i="2"/>
  <c r="AL433" i="2"/>
  <c r="I435" i="2"/>
  <c r="AD436" i="2"/>
  <c r="AS437" i="2"/>
  <c r="C439" i="2"/>
  <c r="Q440" i="2"/>
  <c r="AF441" i="2"/>
  <c r="AM442" i="2"/>
  <c r="AS443" i="2"/>
  <c r="AY444" i="2"/>
  <c r="AQ445" i="2"/>
  <c r="AH446" i="2"/>
  <c r="V447" i="2"/>
  <c r="J448" i="2"/>
  <c r="AT448" i="2"/>
  <c r="AD449" i="2"/>
  <c r="G450" i="2"/>
  <c r="AO450" i="2"/>
  <c r="P451" i="2"/>
  <c r="AV451" i="2"/>
  <c r="V452" i="2"/>
  <c r="BB452" i="2"/>
  <c r="AB453" i="2"/>
  <c r="BH453" i="2"/>
  <c r="AH454" i="2"/>
  <c r="H455" i="2"/>
  <c r="AN455" i="2"/>
  <c r="N456" i="2"/>
  <c r="AR456" i="2"/>
  <c r="P457" i="2"/>
  <c r="AT457" i="2"/>
  <c r="M458" i="2"/>
  <c r="AO458" i="2"/>
  <c r="M459" i="2"/>
  <c r="AO459" i="2"/>
  <c r="D460" i="2"/>
  <c r="AD460" i="2"/>
  <c r="AY460" i="2"/>
  <c r="Q461" i="2"/>
  <c r="AN461" i="2"/>
  <c r="E462" i="2"/>
  <c r="AC462" i="2"/>
  <c r="AW462" i="2"/>
  <c r="K463" i="2"/>
  <c r="AE463" i="2"/>
  <c r="AW463" i="2"/>
  <c r="I464" i="2"/>
  <c r="AA464" i="2"/>
  <c r="AS464" i="2"/>
  <c r="E465" i="2"/>
  <c r="Y465" i="2"/>
  <c r="AQ465" i="2"/>
  <c r="C466" i="2"/>
  <c r="U466" i="2"/>
  <c r="AM466" i="2"/>
  <c r="BE466" i="2"/>
  <c r="Q467" i="2"/>
  <c r="AK467" i="2"/>
  <c r="BC467" i="2"/>
  <c r="O468" i="2"/>
  <c r="AG468" i="2"/>
  <c r="AY468" i="2"/>
  <c r="K469" i="2"/>
  <c r="AB469" i="2"/>
  <c r="AS469" i="2"/>
  <c r="E470" i="2"/>
  <c r="U470" i="2"/>
  <c r="AK470" i="2"/>
  <c r="BA470" i="2"/>
  <c r="K471" i="2"/>
  <c r="AA471" i="2"/>
  <c r="X376" i="2"/>
  <c r="W388" i="2"/>
  <c r="AO396" i="2"/>
  <c r="T403" i="2"/>
  <c r="Y408" i="2"/>
  <c r="X412" i="2"/>
  <c r="N415" i="2"/>
  <c r="Z417" i="2"/>
  <c r="AL419" i="2"/>
  <c r="AX421" i="2"/>
  <c r="AZ423" i="2"/>
  <c r="AW425" i="2"/>
  <c r="AO427" i="2"/>
  <c r="O429" i="2"/>
  <c r="AT430" i="2"/>
  <c r="N432" i="2"/>
  <c r="AP433" i="2"/>
  <c r="K435" i="2"/>
  <c r="AF436" i="2"/>
  <c r="AU437" i="2"/>
  <c r="E439" i="2"/>
  <c r="U440" i="2"/>
  <c r="AH441" i="2"/>
  <c r="AO442" i="2"/>
  <c r="AU443" i="2"/>
  <c r="BA444" i="2"/>
  <c r="AR445" i="2"/>
  <c r="AK446" i="2"/>
  <c r="W447" i="2"/>
  <c r="K448" i="2"/>
  <c r="AW448" i="2"/>
  <c r="AF449" i="2"/>
  <c r="H450" i="2"/>
  <c r="AP450" i="2"/>
  <c r="S451" i="2"/>
  <c r="AY451" i="2"/>
  <c r="Y452" i="2"/>
  <c r="BE452" i="2"/>
  <c r="AE453" i="2"/>
  <c r="E454" i="2"/>
  <c r="AK454" i="2"/>
  <c r="K455" i="2"/>
  <c r="AQ455" i="2"/>
  <c r="Q456" i="2"/>
  <c r="AS456" i="2"/>
  <c r="Q457" i="2"/>
  <c r="AU457" i="2"/>
  <c r="S458" i="2"/>
  <c r="AP458" i="2"/>
  <c r="N459" i="2"/>
  <c r="AP459" i="2"/>
  <c r="E460" i="2"/>
  <c r="AE460" i="2"/>
  <c r="AZ460" i="2"/>
  <c r="T461" i="2"/>
  <c r="AO461" i="2"/>
  <c r="G462" i="2"/>
  <c r="AD462" i="2"/>
  <c r="AX462" i="2"/>
  <c r="M463" i="2"/>
  <c r="AF463" i="2"/>
  <c r="AX463" i="2"/>
  <c r="J464" i="2"/>
  <c r="AB464" i="2"/>
  <c r="AT464" i="2"/>
  <c r="G465" i="2"/>
  <c r="Z465" i="2"/>
  <c r="AR465" i="2"/>
  <c r="D466" i="2"/>
  <c r="V466" i="2"/>
  <c r="AN466" i="2"/>
  <c r="BF466" i="2"/>
  <c r="S467" i="2"/>
  <c r="AL467" i="2"/>
  <c r="BD467" i="2"/>
  <c r="P468" i="2"/>
  <c r="AH468" i="2"/>
  <c r="AZ468" i="2"/>
  <c r="L469" i="2"/>
  <c r="AC469" i="2"/>
  <c r="AU469" i="2"/>
  <c r="F470" i="2"/>
  <c r="V470" i="2"/>
  <c r="AL470" i="2"/>
  <c r="BB470" i="2"/>
  <c r="L471" i="2"/>
  <c r="AB471" i="2"/>
  <c r="AR471" i="2"/>
  <c r="BH471" i="2"/>
  <c r="R472" i="2"/>
  <c r="AH472" i="2"/>
  <c r="AX472" i="2"/>
  <c r="H473" i="2"/>
  <c r="X473" i="2"/>
  <c r="AN473" i="2"/>
  <c r="BD473" i="2"/>
  <c r="N474" i="2"/>
  <c r="AD474" i="2"/>
  <c r="AT474" i="2"/>
  <c r="D475" i="2"/>
  <c r="T475" i="2"/>
  <c r="AJ475" i="2"/>
  <c r="AZ475" i="2"/>
  <c r="J476" i="2"/>
  <c r="Z476" i="2"/>
  <c r="AP476" i="2"/>
  <c r="BF476" i="2"/>
  <c r="P477" i="2"/>
  <c r="AF477" i="2"/>
  <c r="AV477" i="2"/>
  <c r="F478" i="2"/>
  <c r="V478" i="2"/>
  <c r="AL478" i="2"/>
  <c r="BB478" i="2"/>
  <c r="L479" i="2"/>
  <c r="AB479" i="2"/>
  <c r="AR479" i="2"/>
  <c r="BH479" i="2"/>
  <c r="R480" i="2"/>
  <c r="AH480" i="2"/>
  <c r="AX480" i="2"/>
  <c r="H481" i="2"/>
  <c r="X481" i="2"/>
  <c r="AN481" i="2"/>
  <c r="BD481" i="2"/>
  <c r="N482" i="2"/>
  <c r="AD482" i="2"/>
  <c r="AT482" i="2"/>
  <c r="D483" i="2"/>
  <c r="T483" i="2"/>
  <c r="AJ483" i="2"/>
  <c r="AZ483" i="2"/>
  <c r="J484" i="2"/>
  <c r="Z484" i="2"/>
  <c r="AP484" i="2"/>
  <c r="BF484" i="2"/>
  <c r="P485" i="2"/>
  <c r="AF485" i="2"/>
  <c r="AV485" i="2"/>
  <c r="F486" i="2"/>
  <c r="V486" i="2"/>
  <c r="AL486" i="2"/>
  <c r="BB486" i="2"/>
  <c r="L487" i="2"/>
  <c r="AB487" i="2"/>
  <c r="AR487" i="2"/>
  <c r="BH487" i="2"/>
  <c r="Z376" i="2"/>
  <c r="X388" i="2"/>
  <c r="AS396" i="2"/>
  <c r="U403" i="2"/>
  <c r="AB408" i="2"/>
  <c r="Y412" i="2"/>
  <c r="U415" i="2"/>
  <c r="AG417" i="2"/>
  <c r="AS419" i="2"/>
  <c r="BD421" i="2"/>
  <c r="BA423" i="2"/>
  <c r="AX425" i="2"/>
  <c r="AQ427" i="2"/>
  <c r="R429" i="2"/>
  <c r="AU430" i="2"/>
  <c r="O432" i="2"/>
  <c r="AS433" i="2"/>
  <c r="L435" i="2"/>
  <c r="AG436" i="2"/>
  <c r="AX437" i="2"/>
  <c r="F439" i="2"/>
  <c r="V440" i="2"/>
  <c r="AI441" i="2"/>
  <c r="AP442" i="2"/>
  <c r="AV443" i="2"/>
  <c r="BB444" i="2"/>
  <c r="AU445" i="2"/>
  <c r="AT446" i="2"/>
  <c r="X447" i="2"/>
  <c r="L448" i="2"/>
  <c r="BD448" i="2"/>
  <c r="AG449" i="2"/>
  <c r="I450" i="2"/>
  <c r="AS450" i="2"/>
  <c r="Z451" i="2"/>
  <c r="BF451" i="2"/>
  <c r="AF452" i="2"/>
  <c r="F453" i="2"/>
  <c r="AL453" i="2"/>
  <c r="L454" i="2"/>
  <c r="AR454" i="2"/>
  <c r="R455" i="2"/>
  <c r="AX455" i="2"/>
  <c r="W456" i="2"/>
  <c r="AT456" i="2"/>
  <c r="R457" i="2"/>
  <c r="AV457" i="2"/>
  <c r="T458" i="2"/>
  <c r="AS458" i="2"/>
  <c r="O459" i="2"/>
  <c r="AQ459" i="2"/>
  <c r="F460" i="2"/>
  <c r="AF460" i="2"/>
  <c r="BA460" i="2"/>
  <c r="U461" i="2"/>
  <c r="AP461" i="2"/>
  <c r="J462" i="2"/>
  <c r="AE462" i="2"/>
  <c r="AY462" i="2"/>
  <c r="O463" i="2"/>
  <c r="AG463" i="2"/>
  <c r="AY463" i="2"/>
  <c r="K464" i="2"/>
  <c r="AC464" i="2"/>
  <c r="AU464" i="2"/>
  <c r="I465" i="2"/>
  <c r="AA465" i="2"/>
  <c r="AS465" i="2"/>
  <c r="E466" i="2"/>
  <c r="W466" i="2"/>
  <c r="AO466" i="2"/>
  <c r="BG466" i="2"/>
  <c r="U467" i="2"/>
  <c r="AM467" i="2"/>
  <c r="BE467" i="2"/>
  <c r="Q468" i="2"/>
  <c r="AI468" i="2"/>
  <c r="BA468" i="2"/>
  <c r="M469" i="2"/>
  <c r="AE469" i="2"/>
  <c r="AV469" i="2"/>
  <c r="G470" i="2"/>
  <c r="W470" i="2"/>
  <c r="AM470" i="2"/>
  <c r="BC470" i="2"/>
  <c r="M471" i="2"/>
  <c r="AC471" i="2"/>
  <c r="AS471" i="2"/>
  <c r="C472" i="2"/>
  <c r="S472" i="2"/>
  <c r="AI472" i="2"/>
  <c r="AY472" i="2"/>
  <c r="I473" i="2"/>
  <c r="Y473" i="2"/>
  <c r="AO473" i="2"/>
  <c r="BE473" i="2"/>
  <c r="O474" i="2"/>
  <c r="AE474" i="2"/>
  <c r="AU474" i="2"/>
  <c r="E475" i="2"/>
  <c r="U475" i="2"/>
  <c r="AK475" i="2"/>
  <c r="BA475" i="2"/>
  <c r="K476" i="2"/>
  <c r="AA476" i="2"/>
  <c r="AQ476" i="2"/>
  <c r="BG476" i="2"/>
  <c r="Q477" i="2"/>
  <c r="AG477" i="2"/>
  <c r="L379" i="2"/>
  <c r="Y390" i="2"/>
  <c r="J398" i="2"/>
  <c r="Z404" i="2"/>
  <c r="Y409" i="2"/>
  <c r="M413" i="2"/>
  <c r="AP415" i="2"/>
  <c r="BB417" i="2"/>
  <c r="H420" i="2"/>
  <c r="R422" i="2"/>
  <c r="O424" i="2"/>
  <c r="L426" i="2"/>
  <c r="C428" i="2"/>
  <c r="AL429" i="2"/>
  <c r="F431" i="2"/>
  <c r="AF432" i="2"/>
  <c r="D434" i="2"/>
  <c r="AB435" i="2"/>
  <c r="AW436" i="2"/>
  <c r="E438" i="2"/>
  <c r="U439" i="2"/>
  <c r="AK440" i="2"/>
  <c r="AW441" i="2"/>
  <c r="BC442" i="2"/>
  <c r="C444" i="2"/>
  <c r="I445" i="2"/>
  <c r="BF445" i="2"/>
  <c r="AV446" i="2"/>
  <c r="AJ447" i="2"/>
  <c r="N448" i="2"/>
  <c r="BG448" i="2"/>
  <c r="AI449" i="2"/>
  <c r="M450" i="2"/>
  <c r="BB450" i="2"/>
  <c r="AB451" i="2"/>
  <c r="BH451" i="2"/>
  <c r="AH452" i="2"/>
  <c r="H453" i="2"/>
  <c r="AN453" i="2"/>
  <c r="N454" i="2"/>
  <c r="AT454" i="2"/>
  <c r="T455" i="2"/>
  <c r="AZ455" i="2"/>
  <c r="Y456" i="2"/>
  <c r="BC456" i="2"/>
  <c r="T457" i="2"/>
  <c r="AX457" i="2"/>
  <c r="V458" i="2"/>
  <c r="AZ458" i="2"/>
  <c r="S459" i="2"/>
  <c r="AS459" i="2"/>
  <c r="K460" i="2"/>
  <c r="AH460" i="2"/>
  <c r="BE460" i="2"/>
  <c r="W461" i="2"/>
  <c r="AR461" i="2"/>
  <c r="L462" i="2"/>
  <c r="AG462" i="2"/>
  <c r="BC462" i="2"/>
  <c r="Q463" i="2"/>
  <c r="AI463" i="2"/>
  <c r="BA463" i="2"/>
  <c r="M464" i="2"/>
  <c r="AE464" i="2"/>
  <c r="AY464" i="2"/>
  <c r="K465" i="2"/>
  <c r="AC465" i="2"/>
  <c r="AU465" i="2"/>
  <c r="G466" i="2"/>
  <c r="Y466" i="2"/>
  <c r="AQ466" i="2"/>
  <c r="E467" i="2"/>
  <c r="W467" i="2"/>
  <c r="AO467" i="2"/>
  <c r="BG467" i="2"/>
  <c r="S468" i="2"/>
  <c r="AK468" i="2"/>
  <c r="BC468" i="2"/>
  <c r="P469" i="2"/>
  <c r="AG469" i="2"/>
  <c r="AX469" i="2"/>
  <c r="I470" i="2"/>
  <c r="Y470" i="2"/>
  <c r="AO470" i="2"/>
  <c r="BE470" i="2"/>
  <c r="O471" i="2"/>
  <c r="AE471" i="2"/>
  <c r="AU471" i="2"/>
  <c r="E472" i="2"/>
  <c r="U472" i="2"/>
  <c r="AK472" i="2"/>
  <c r="BA472" i="2"/>
  <c r="K473" i="2"/>
  <c r="AA473" i="2"/>
  <c r="AQ473" i="2"/>
  <c r="BG473" i="2"/>
  <c r="Q474" i="2"/>
  <c r="AG474" i="2"/>
  <c r="AW474" i="2"/>
  <c r="G475" i="2"/>
  <c r="W475" i="2"/>
  <c r="AM475" i="2"/>
  <c r="BC475" i="2"/>
  <c r="M476" i="2"/>
  <c r="AC476" i="2"/>
  <c r="AS476" i="2"/>
  <c r="C477" i="2"/>
  <c r="S477" i="2"/>
  <c r="AI477" i="2"/>
  <c r="AY477" i="2"/>
  <c r="I478" i="2"/>
  <c r="Y478" i="2"/>
  <c r="AO478" i="2"/>
  <c r="BE478" i="2"/>
  <c r="O479" i="2"/>
  <c r="AE479" i="2"/>
  <c r="AU479" i="2"/>
  <c r="E480" i="2"/>
  <c r="U480" i="2"/>
  <c r="AK480" i="2"/>
  <c r="BA480" i="2"/>
  <c r="AD355" i="2"/>
  <c r="C406" i="2"/>
  <c r="AF418" i="2"/>
  <c r="AR426" i="2"/>
  <c r="BF432" i="2"/>
  <c r="AA438" i="2"/>
  <c r="O443" i="2"/>
  <c r="E447" i="2"/>
  <c r="AW449" i="2"/>
  <c r="I452" i="2"/>
  <c r="U454" i="2"/>
  <c r="AD456" i="2"/>
  <c r="AC458" i="2"/>
  <c r="R460" i="2"/>
  <c r="BB461" i="2"/>
  <c r="V463" i="2"/>
  <c r="AL464" i="2"/>
  <c r="AZ465" i="2"/>
  <c r="J467" i="2"/>
  <c r="Y468" i="2"/>
  <c r="AL469" i="2"/>
  <c r="AT470" i="2"/>
  <c r="AW471" i="2"/>
  <c r="AP472" i="2"/>
  <c r="AM473" i="2"/>
  <c r="AF474" i="2"/>
  <c r="X475" i="2"/>
  <c r="O476" i="2"/>
  <c r="H477" i="2"/>
  <c r="BD477" i="2"/>
  <c r="AP478" i="2"/>
  <c r="Z479" i="2"/>
  <c r="C480" i="2"/>
  <c r="AL480" i="2"/>
  <c r="M481" i="2"/>
  <c r="AS481" i="2"/>
  <c r="Q482" i="2"/>
  <c r="AU482" i="2"/>
  <c r="R483" i="2"/>
  <c r="AR483" i="2"/>
  <c r="N484" i="2"/>
  <c r="AR484" i="2"/>
  <c r="O485" i="2"/>
  <c r="AS485" i="2"/>
  <c r="K486" i="2"/>
  <c r="AO486" i="2"/>
  <c r="M487" i="2"/>
  <c r="AP487" i="2"/>
  <c r="J488" i="2"/>
  <c r="AJ488" i="2"/>
  <c r="F489" i="2"/>
  <c r="AB489" i="2"/>
  <c r="BD489" i="2"/>
  <c r="V490" i="2"/>
  <c r="AV490" i="2"/>
  <c r="R491" i="2"/>
  <c r="AN491" i="2"/>
  <c r="J492" i="2"/>
  <c r="AH492" i="2"/>
  <c r="BH492" i="2"/>
  <c r="AD493" i="2"/>
  <c r="AZ493" i="2"/>
  <c r="V494" i="2"/>
  <c r="AQ494" i="2"/>
  <c r="K495" i="2"/>
  <c r="AF495" i="2"/>
  <c r="BE495" i="2"/>
  <c r="S496" i="2"/>
  <c r="AM496" i="2"/>
  <c r="E497" i="2"/>
  <c r="Y497" i="2"/>
  <c r="AS497" i="2"/>
  <c r="J498" i="2"/>
  <c r="AB498" i="2"/>
  <c r="AS498" i="2"/>
  <c r="C499" i="2"/>
  <c r="S499" i="2"/>
  <c r="AI499" i="2"/>
  <c r="AY499" i="2"/>
  <c r="I500" i="2"/>
  <c r="Y500" i="2"/>
  <c r="AO500" i="2"/>
  <c r="BE500" i="2"/>
  <c r="O501" i="2"/>
  <c r="AE501" i="2"/>
  <c r="AU501" i="2"/>
  <c r="E502" i="2"/>
  <c r="U502" i="2"/>
  <c r="AK502" i="2"/>
  <c r="BA502" i="2"/>
  <c r="K503" i="2"/>
  <c r="AA503" i="2"/>
  <c r="AQ503" i="2"/>
  <c r="BG503" i="2"/>
  <c r="Q504" i="2"/>
  <c r="AG504" i="2"/>
  <c r="AW504" i="2"/>
  <c r="G505" i="2"/>
  <c r="W505" i="2"/>
  <c r="AM505" i="2"/>
  <c r="BC505" i="2"/>
  <c r="M506" i="2"/>
  <c r="AC506" i="2"/>
  <c r="AS506" i="2"/>
  <c r="C507" i="2"/>
  <c r="S507" i="2"/>
  <c r="AI507" i="2"/>
  <c r="AY507" i="2"/>
  <c r="I508" i="2"/>
  <c r="Y508" i="2"/>
  <c r="AO508" i="2"/>
  <c r="BE508" i="2"/>
  <c r="O509" i="2"/>
  <c r="AE509" i="2"/>
  <c r="AU509" i="2"/>
  <c r="E510" i="2"/>
  <c r="U510" i="2"/>
  <c r="AK510" i="2"/>
  <c r="BA510" i="2"/>
  <c r="K511" i="2"/>
  <c r="AA511" i="2"/>
  <c r="AQ511" i="2"/>
  <c r="BG511" i="2"/>
  <c r="Q512" i="2"/>
  <c r="AG512" i="2"/>
  <c r="AW512" i="2"/>
  <c r="G513" i="2"/>
  <c r="W513" i="2"/>
  <c r="AM513" i="2"/>
  <c r="BC513" i="2"/>
  <c r="M514" i="2"/>
  <c r="AC514" i="2"/>
  <c r="AS514" i="2"/>
  <c r="C515" i="2"/>
  <c r="S515" i="2"/>
  <c r="AI515" i="2"/>
  <c r="AY515" i="2"/>
  <c r="I516" i="2"/>
  <c r="Y516" i="2"/>
  <c r="AO516" i="2"/>
  <c r="BE516" i="2"/>
  <c r="O517" i="2"/>
  <c r="AE517" i="2"/>
  <c r="AU517" i="2"/>
  <c r="E518" i="2"/>
  <c r="U518" i="2"/>
  <c r="AK518" i="2"/>
  <c r="BA518" i="2"/>
  <c r="K519" i="2"/>
  <c r="AA519" i="2"/>
  <c r="AQ519" i="2"/>
  <c r="BG519" i="2"/>
  <c r="Q520" i="2"/>
  <c r="AG520" i="2"/>
  <c r="AW520" i="2"/>
  <c r="G521" i="2"/>
  <c r="W521" i="2"/>
  <c r="AM521" i="2"/>
  <c r="BC521" i="2"/>
  <c r="M522" i="2"/>
  <c r="AC522" i="2"/>
  <c r="AS522" i="2"/>
  <c r="C523" i="2"/>
  <c r="S523" i="2"/>
  <c r="AI523" i="2"/>
  <c r="AY523" i="2"/>
  <c r="I524" i="2"/>
  <c r="Y524" i="2"/>
  <c r="AO524" i="2"/>
  <c r="BE524" i="2"/>
  <c r="O525" i="2"/>
  <c r="AE525" i="2"/>
  <c r="AU525" i="2"/>
  <c r="E526" i="2"/>
  <c r="U526" i="2"/>
  <c r="AK526" i="2"/>
  <c r="BA526" i="2"/>
  <c r="K527" i="2"/>
  <c r="AA527" i="2"/>
  <c r="AQ527" i="2"/>
  <c r="BG527" i="2"/>
  <c r="Q528" i="2"/>
  <c r="AG528" i="2"/>
  <c r="AW528" i="2"/>
  <c r="G529" i="2"/>
  <c r="W529" i="2"/>
  <c r="AM529" i="2"/>
  <c r="BC529" i="2"/>
  <c r="M530" i="2"/>
  <c r="AC530" i="2"/>
  <c r="AS530" i="2"/>
  <c r="C531" i="2"/>
  <c r="S531" i="2"/>
  <c r="AI531" i="2"/>
  <c r="AY531" i="2"/>
  <c r="I532" i="2"/>
  <c r="Y532" i="2"/>
  <c r="AO532" i="2"/>
  <c r="BE532" i="2"/>
  <c r="O533" i="2"/>
  <c r="AE533" i="2"/>
  <c r="AU533" i="2"/>
  <c r="E534" i="2"/>
  <c r="U534" i="2"/>
  <c r="AK534" i="2"/>
  <c r="P377" i="2"/>
  <c r="AQ408" i="2"/>
  <c r="AV419" i="2"/>
  <c r="AT427" i="2"/>
  <c r="AV433" i="2"/>
  <c r="I439" i="2"/>
  <c r="AY443" i="2"/>
  <c r="AA447" i="2"/>
  <c r="J450" i="2"/>
  <c r="AG452" i="2"/>
  <c r="AS454" i="2"/>
  <c r="AW456" i="2"/>
  <c r="AY458" i="2"/>
  <c r="AG460" i="2"/>
  <c r="K462" i="2"/>
  <c r="AH463" i="2"/>
  <c r="AW464" i="2"/>
  <c r="F466" i="2"/>
  <c r="V467" i="2"/>
  <c r="AJ468" i="2"/>
  <c r="AW469" i="2"/>
  <c r="BD470" i="2"/>
  <c r="AZ471" i="2"/>
  <c r="AW472" i="2"/>
  <c r="AP473" i="2"/>
  <c r="AH474" i="2"/>
  <c r="Y475" i="2"/>
  <c r="R476" i="2"/>
  <c r="O477" i="2"/>
  <c r="E478" i="2"/>
  <c r="AQ478" i="2"/>
  <c r="AA479" i="2"/>
  <c r="D480" i="2"/>
  <c r="AM480" i="2"/>
  <c r="P481" i="2"/>
  <c r="AV481" i="2"/>
  <c r="R482" i="2"/>
  <c r="AV482" i="2"/>
  <c r="S483" i="2"/>
  <c r="AW483" i="2"/>
  <c r="O484" i="2"/>
  <c r="AS484" i="2"/>
  <c r="Q485" i="2"/>
  <c r="AT485" i="2"/>
  <c r="N486" i="2"/>
  <c r="AP486" i="2"/>
  <c r="N487" i="2"/>
  <c r="AQ487" i="2"/>
  <c r="O488" i="2"/>
  <c r="AK488" i="2"/>
  <c r="G489" i="2"/>
  <c r="AC489" i="2"/>
  <c r="BE489" i="2"/>
  <c r="AA490" i="2"/>
  <c r="AW490" i="2"/>
  <c r="S491" i="2"/>
  <c r="AO491" i="2"/>
  <c r="K492" i="2"/>
  <c r="AM492" i="2"/>
  <c r="C493" i="2"/>
  <c r="AE493" i="2"/>
  <c r="BA493" i="2"/>
  <c r="W494" i="2"/>
  <c r="AT494" i="2"/>
  <c r="L495" i="2"/>
  <c r="AG495" i="2"/>
  <c r="BF495" i="2"/>
  <c r="T496" i="2"/>
  <c r="AP496" i="2"/>
  <c r="F497" i="2"/>
  <c r="Z497" i="2"/>
  <c r="AV497" i="2"/>
  <c r="K498" i="2"/>
  <c r="AC498" i="2"/>
  <c r="AT498" i="2"/>
  <c r="D499" i="2"/>
  <c r="T499" i="2"/>
  <c r="AJ499" i="2"/>
  <c r="AZ499" i="2"/>
  <c r="J500" i="2"/>
  <c r="Z500" i="2"/>
  <c r="AP500" i="2"/>
  <c r="BF500" i="2"/>
  <c r="P501" i="2"/>
  <c r="AF501" i="2"/>
  <c r="AV501" i="2"/>
  <c r="F502" i="2"/>
  <c r="V502" i="2"/>
  <c r="AL502" i="2"/>
  <c r="BB502" i="2"/>
  <c r="L503" i="2"/>
  <c r="AB503" i="2"/>
  <c r="AR503" i="2"/>
  <c r="BH503" i="2"/>
  <c r="R504" i="2"/>
  <c r="AH504" i="2"/>
  <c r="AX504" i="2"/>
  <c r="H505" i="2"/>
  <c r="X505" i="2"/>
  <c r="AN505" i="2"/>
  <c r="BD505" i="2"/>
  <c r="N506" i="2"/>
  <c r="AD506" i="2"/>
  <c r="AT506" i="2"/>
  <c r="D507" i="2"/>
  <c r="T507" i="2"/>
  <c r="AJ507" i="2"/>
  <c r="AZ507" i="2"/>
  <c r="J508" i="2"/>
  <c r="Z508" i="2"/>
  <c r="AP508" i="2"/>
  <c r="BF508" i="2"/>
  <c r="P509" i="2"/>
  <c r="AF509" i="2"/>
  <c r="AV509" i="2"/>
  <c r="F510" i="2"/>
  <c r="V510" i="2"/>
  <c r="AL510" i="2"/>
  <c r="BB510" i="2"/>
  <c r="L511" i="2"/>
  <c r="AB511" i="2"/>
  <c r="AR511" i="2"/>
  <c r="BH511" i="2"/>
  <c r="R512" i="2"/>
  <c r="AH512" i="2"/>
  <c r="AX512" i="2"/>
  <c r="H513" i="2"/>
  <c r="X513" i="2"/>
  <c r="AN513" i="2"/>
  <c r="BD513" i="2"/>
  <c r="N514" i="2"/>
  <c r="AD514" i="2"/>
  <c r="AT514" i="2"/>
  <c r="D515" i="2"/>
  <c r="T515" i="2"/>
  <c r="AJ515" i="2"/>
  <c r="AZ515" i="2"/>
  <c r="J516" i="2"/>
  <c r="Z516" i="2"/>
  <c r="AP516" i="2"/>
  <c r="BF516" i="2"/>
  <c r="P517" i="2"/>
  <c r="AF517" i="2"/>
  <c r="AV517" i="2"/>
  <c r="F518" i="2"/>
  <c r="V518" i="2"/>
  <c r="AL518" i="2"/>
  <c r="BB518" i="2"/>
  <c r="L519" i="2"/>
  <c r="AB519" i="2"/>
  <c r="AR519" i="2"/>
  <c r="BH519" i="2"/>
  <c r="R520" i="2"/>
  <c r="AH520" i="2"/>
  <c r="AX520" i="2"/>
  <c r="H521" i="2"/>
  <c r="X521" i="2"/>
  <c r="AN521" i="2"/>
  <c r="BD521" i="2"/>
  <c r="N522" i="2"/>
  <c r="AD522" i="2"/>
  <c r="AT522" i="2"/>
  <c r="D523" i="2"/>
  <c r="T523" i="2"/>
  <c r="AJ523" i="2"/>
  <c r="AZ523" i="2"/>
  <c r="J524" i="2"/>
  <c r="Z524" i="2"/>
  <c r="AP524" i="2"/>
  <c r="BF524" i="2"/>
  <c r="P525" i="2"/>
  <c r="AF525" i="2"/>
  <c r="AV525" i="2"/>
  <c r="F526" i="2"/>
  <c r="V526" i="2"/>
  <c r="AL526" i="2"/>
  <c r="BB526" i="2"/>
  <c r="L527" i="2"/>
  <c r="AB527" i="2"/>
  <c r="AR527" i="2"/>
  <c r="BH527" i="2"/>
  <c r="R528" i="2"/>
  <c r="AH528" i="2"/>
  <c r="AX528" i="2"/>
  <c r="H529" i="2"/>
  <c r="X529" i="2"/>
  <c r="AN529" i="2"/>
  <c r="BD529" i="2"/>
  <c r="N530" i="2"/>
  <c r="AD530" i="2"/>
  <c r="AT530" i="2"/>
  <c r="D531" i="2"/>
  <c r="T531" i="2"/>
  <c r="AJ531" i="2"/>
  <c r="AZ531" i="2"/>
  <c r="J532" i="2"/>
  <c r="Z532" i="2"/>
  <c r="AP532" i="2"/>
  <c r="BF532" i="2"/>
  <c r="P533" i="2"/>
  <c r="AF533" i="2"/>
  <c r="AV533" i="2"/>
  <c r="F534" i="2"/>
  <c r="V534" i="2"/>
  <c r="AL534" i="2"/>
  <c r="BB534" i="2"/>
  <c r="L535" i="2"/>
  <c r="AB535" i="2"/>
  <c r="AR535" i="2"/>
  <c r="BH535" i="2"/>
  <c r="R536" i="2"/>
  <c r="AH536" i="2"/>
  <c r="AX379" i="2"/>
  <c r="AC409" i="2"/>
  <c r="L420" i="2"/>
  <c r="E428" i="2"/>
  <c r="F434" i="2"/>
  <c r="W439" i="2"/>
  <c r="E444" i="2"/>
  <c r="AK447" i="2"/>
  <c r="T450" i="2"/>
  <c r="AI452" i="2"/>
  <c r="AU454" i="2"/>
  <c r="BD456" i="2"/>
  <c r="BA458" i="2"/>
  <c r="AI460" i="2"/>
  <c r="M462" i="2"/>
  <c r="AJ463" i="2"/>
  <c r="AZ464" i="2"/>
  <c r="H466" i="2"/>
  <c r="X467" i="2"/>
  <c r="AL468" i="2"/>
  <c r="AY469" i="2"/>
  <c r="BF470" i="2"/>
  <c r="BG471" i="2"/>
  <c r="AZ472" i="2"/>
  <c r="AR473" i="2"/>
  <c r="AI474" i="2"/>
  <c r="AB475" i="2"/>
  <c r="Y476" i="2"/>
  <c r="R477" i="2"/>
  <c r="G478" i="2"/>
  <c r="AT478" i="2"/>
  <c r="AC479" i="2"/>
  <c r="F480" i="2"/>
  <c r="AP480" i="2"/>
  <c r="V481" i="2"/>
  <c r="BA481" i="2"/>
  <c r="S482" i="2"/>
  <c r="AW482" i="2"/>
  <c r="U483" i="2"/>
  <c r="AX483" i="2"/>
  <c r="R484" i="2"/>
  <c r="AT484" i="2"/>
  <c r="R485" i="2"/>
  <c r="AU485" i="2"/>
  <c r="S486" i="2"/>
  <c r="AQ486" i="2"/>
  <c r="O487" i="2"/>
  <c r="AS487" i="2"/>
  <c r="P488" i="2"/>
  <c r="AL488" i="2"/>
  <c r="H489" i="2"/>
  <c r="AF489" i="2"/>
  <c r="BF489" i="2"/>
  <c r="AB490" i="2"/>
  <c r="AX490" i="2"/>
  <c r="T491" i="2"/>
  <c r="AR491" i="2"/>
  <c r="L492" i="2"/>
  <c r="AN492" i="2"/>
  <c r="D493" i="2"/>
  <c r="AF493" i="2"/>
  <c r="BD493" i="2"/>
  <c r="X494" i="2"/>
  <c r="AX494" i="2"/>
  <c r="M495" i="2"/>
  <c r="AJ495" i="2"/>
  <c r="BG495" i="2"/>
  <c r="U496" i="2"/>
  <c r="AR496" i="2"/>
  <c r="G497" i="2"/>
  <c r="AA497" i="2"/>
  <c r="AX497" i="2"/>
  <c r="L498" i="2"/>
  <c r="AD498" i="2"/>
  <c r="AU498" i="2"/>
  <c r="E499" i="2"/>
  <c r="U499" i="2"/>
  <c r="AK499" i="2"/>
  <c r="BA499" i="2"/>
  <c r="K500" i="2"/>
  <c r="AA500" i="2"/>
  <c r="AQ500" i="2"/>
  <c r="BG500" i="2"/>
  <c r="Q501" i="2"/>
  <c r="AG501" i="2"/>
  <c r="AW501" i="2"/>
  <c r="G502" i="2"/>
  <c r="W502" i="2"/>
  <c r="AM502" i="2"/>
  <c r="BC502" i="2"/>
  <c r="M503" i="2"/>
  <c r="AC503" i="2"/>
  <c r="AS503" i="2"/>
  <c r="C504" i="2"/>
  <c r="S504" i="2"/>
  <c r="AI504" i="2"/>
  <c r="AY504" i="2"/>
  <c r="I505" i="2"/>
  <c r="Y505" i="2"/>
  <c r="AO505" i="2"/>
  <c r="BE505" i="2"/>
  <c r="O506" i="2"/>
  <c r="AE506" i="2"/>
  <c r="AU506" i="2"/>
  <c r="E507" i="2"/>
  <c r="U507" i="2"/>
  <c r="AK507" i="2"/>
  <c r="BA507" i="2"/>
  <c r="K508" i="2"/>
  <c r="AA508" i="2"/>
  <c r="AQ508" i="2"/>
  <c r="BG508" i="2"/>
  <c r="Q509" i="2"/>
  <c r="AG509" i="2"/>
  <c r="AW509" i="2"/>
  <c r="G510" i="2"/>
  <c r="W510" i="2"/>
  <c r="AM510" i="2"/>
  <c r="BC510" i="2"/>
  <c r="M511" i="2"/>
  <c r="AC511" i="2"/>
  <c r="AS511" i="2"/>
  <c r="C512" i="2"/>
  <c r="S512" i="2"/>
  <c r="AI512" i="2"/>
  <c r="AY512" i="2"/>
  <c r="I513" i="2"/>
  <c r="Y513" i="2"/>
  <c r="AO513" i="2"/>
  <c r="BE513" i="2"/>
  <c r="O514" i="2"/>
  <c r="AE514" i="2"/>
  <c r="AU514" i="2"/>
  <c r="E515" i="2"/>
  <c r="U515" i="2"/>
  <c r="AK515" i="2"/>
  <c r="BA515" i="2"/>
  <c r="K516" i="2"/>
  <c r="AA516" i="2"/>
  <c r="AQ516" i="2"/>
  <c r="BG516" i="2"/>
  <c r="Q517" i="2"/>
  <c r="AG517" i="2"/>
  <c r="AW517" i="2"/>
  <c r="G518" i="2"/>
  <c r="W518" i="2"/>
  <c r="AM518" i="2"/>
  <c r="BC518" i="2"/>
  <c r="M519" i="2"/>
  <c r="AC519" i="2"/>
  <c r="AS519" i="2"/>
  <c r="C520" i="2"/>
  <c r="S520" i="2"/>
  <c r="AI520" i="2"/>
  <c r="AY520" i="2"/>
  <c r="I521" i="2"/>
  <c r="Y521" i="2"/>
  <c r="AO521" i="2"/>
  <c r="BE521" i="2"/>
  <c r="O522" i="2"/>
  <c r="AE522" i="2"/>
  <c r="AU522" i="2"/>
  <c r="E523" i="2"/>
  <c r="U523" i="2"/>
  <c r="AK523" i="2"/>
  <c r="BA523" i="2"/>
  <c r="K524" i="2"/>
  <c r="AA524" i="2"/>
  <c r="AY379" i="2"/>
  <c r="AO409" i="2"/>
  <c r="S420" i="2"/>
  <c r="F428" i="2"/>
  <c r="G434" i="2"/>
  <c r="X439" i="2"/>
  <c r="F444" i="2"/>
  <c r="AL447" i="2"/>
  <c r="V450" i="2"/>
  <c r="AJ452" i="2"/>
  <c r="AV454" i="2"/>
  <c r="BE456" i="2"/>
  <c r="BB458" i="2"/>
  <c r="AJ460" i="2"/>
  <c r="N462" i="2"/>
  <c r="AK463" i="2"/>
  <c r="BA464" i="2"/>
  <c r="I466" i="2"/>
  <c r="Y467" i="2"/>
  <c r="AM468" i="2"/>
  <c r="AZ469" i="2"/>
  <c r="BG470" i="2"/>
  <c r="D472" i="2"/>
  <c r="BB472" i="2"/>
  <c r="AS473" i="2"/>
  <c r="AL474" i="2"/>
  <c r="AI475" i="2"/>
  <c r="AB476" i="2"/>
  <c r="T477" i="2"/>
  <c r="H478" i="2"/>
  <c r="BA478" i="2"/>
  <c r="AD479" i="2"/>
  <c r="G480" i="2"/>
  <c r="AV480" i="2"/>
  <c r="W481" i="2"/>
  <c r="BB481" i="2"/>
  <c r="V482" i="2"/>
  <c r="AX482" i="2"/>
  <c r="V483" i="2"/>
  <c r="AY483" i="2"/>
  <c r="W484" i="2"/>
  <c r="AU484" i="2"/>
  <c r="S485" i="2"/>
  <c r="AW485" i="2"/>
  <c r="T486" i="2"/>
  <c r="AT486" i="2"/>
  <c r="P487" i="2"/>
  <c r="AT487" i="2"/>
  <c r="Q488" i="2"/>
  <c r="AM488" i="2"/>
  <c r="I489" i="2"/>
  <c r="AK489" i="2"/>
  <c r="BG489" i="2"/>
  <c r="AC490" i="2"/>
  <c r="AY490" i="2"/>
  <c r="U491" i="2"/>
  <c r="AW491" i="2"/>
  <c r="M492" i="2"/>
  <c r="AO492" i="2"/>
  <c r="E493" i="2"/>
  <c r="AG493" i="2"/>
  <c r="C494" i="2"/>
  <c r="Y494" i="2"/>
  <c r="AY494" i="2"/>
  <c r="N495" i="2"/>
  <c r="AN495" i="2"/>
  <c r="BH495" i="2"/>
  <c r="V496" i="2"/>
  <c r="AT496" i="2"/>
  <c r="H497" i="2"/>
  <c r="AB497" i="2"/>
  <c r="AZ497" i="2"/>
  <c r="M498" i="2"/>
  <c r="AE498" i="2"/>
  <c r="AV498" i="2"/>
  <c r="F499" i="2"/>
  <c r="V499" i="2"/>
  <c r="AL499" i="2"/>
  <c r="BB499" i="2"/>
  <c r="L500" i="2"/>
  <c r="AB500" i="2"/>
  <c r="AR500" i="2"/>
  <c r="BH500" i="2"/>
  <c r="R501" i="2"/>
  <c r="AH501" i="2"/>
  <c r="AX501" i="2"/>
  <c r="H502" i="2"/>
  <c r="X502" i="2"/>
  <c r="AN502" i="2"/>
  <c r="BD502" i="2"/>
  <c r="N503" i="2"/>
  <c r="AD503" i="2"/>
  <c r="AT503" i="2"/>
  <c r="D504" i="2"/>
  <c r="T504" i="2"/>
  <c r="AJ504" i="2"/>
  <c r="AZ504" i="2"/>
  <c r="J505" i="2"/>
  <c r="Z505" i="2"/>
  <c r="AP505" i="2"/>
  <c r="BF505" i="2"/>
  <c r="P506" i="2"/>
  <c r="AF506" i="2"/>
  <c r="AV506" i="2"/>
  <c r="F507" i="2"/>
  <c r="V507" i="2"/>
  <c r="AL507" i="2"/>
  <c r="BB507" i="2"/>
  <c r="L508" i="2"/>
  <c r="AB508" i="2"/>
  <c r="AR508" i="2"/>
  <c r="BH508" i="2"/>
  <c r="R509" i="2"/>
  <c r="AH509" i="2"/>
  <c r="AX509" i="2"/>
  <c r="H510" i="2"/>
  <c r="X510" i="2"/>
  <c r="AN510" i="2"/>
  <c r="BD510" i="2"/>
  <c r="N511" i="2"/>
  <c r="AD511" i="2"/>
  <c r="AT511" i="2"/>
  <c r="D512" i="2"/>
  <c r="T512" i="2"/>
  <c r="AJ512" i="2"/>
  <c r="AZ512" i="2"/>
  <c r="J513" i="2"/>
  <c r="Z513" i="2"/>
  <c r="AP513" i="2"/>
  <c r="BF513" i="2"/>
  <c r="P514" i="2"/>
  <c r="AF514" i="2"/>
  <c r="AV514" i="2"/>
  <c r="F515" i="2"/>
  <c r="V515" i="2"/>
  <c r="AL515" i="2"/>
  <c r="BB515" i="2"/>
  <c r="L516" i="2"/>
  <c r="AB516" i="2"/>
  <c r="AR516" i="2"/>
  <c r="BH516" i="2"/>
  <c r="R517" i="2"/>
  <c r="AH517" i="2"/>
  <c r="AX517" i="2"/>
  <c r="H518" i="2"/>
  <c r="X518" i="2"/>
  <c r="AN518" i="2"/>
  <c r="BD518" i="2"/>
  <c r="N519" i="2"/>
  <c r="AD519" i="2"/>
  <c r="AT519" i="2"/>
  <c r="D520" i="2"/>
  <c r="T520" i="2"/>
  <c r="AJ520" i="2"/>
  <c r="AZ520" i="2"/>
  <c r="J521" i="2"/>
  <c r="Z521" i="2"/>
  <c r="AP521" i="2"/>
  <c r="BF521" i="2"/>
  <c r="P522" i="2"/>
  <c r="AF522" i="2"/>
  <c r="AV522" i="2"/>
  <c r="F523" i="2"/>
  <c r="V523" i="2"/>
  <c r="AL523" i="2"/>
  <c r="BB523" i="2"/>
  <c r="L524" i="2"/>
  <c r="AB524" i="2"/>
  <c r="AR524" i="2"/>
  <c r="BH524" i="2"/>
  <c r="R525" i="2"/>
  <c r="AH525" i="2"/>
  <c r="AX525" i="2"/>
  <c r="H526" i="2"/>
  <c r="X526" i="2"/>
  <c r="AN526" i="2"/>
  <c r="BD526" i="2"/>
  <c r="N527" i="2"/>
  <c r="AD527" i="2"/>
  <c r="AT527" i="2"/>
  <c r="D528" i="2"/>
  <c r="T528" i="2"/>
  <c r="AJ528" i="2"/>
  <c r="AZ528" i="2"/>
  <c r="J529" i="2"/>
  <c r="Z529" i="2"/>
  <c r="AP529" i="2"/>
  <c r="BF529" i="2"/>
  <c r="P530" i="2"/>
  <c r="AF530" i="2"/>
  <c r="AV530" i="2"/>
  <c r="F531" i="2"/>
  <c r="V531" i="2"/>
  <c r="AL531" i="2"/>
  <c r="BB531" i="2"/>
  <c r="L532" i="2"/>
  <c r="AB532" i="2"/>
  <c r="AR532" i="2"/>
  <c r="BH532" i="2"/>
  <c r="R533" i="2"/>
  <c r="BF382" i="2"/>
  <c r="AK410" i="2"/>
  <c r="AR420" i="2"/>
  <c r="AB428" i="2"/>
  <c r="Z434" i="2"/>
  <c r="AO439" i="2"/>
  <c r="U444" i="2"/>
  <c r="AQ447" i="2"/>
  <c r="Y450" i="2"/>
  <c r="AO452" i="2"/>
  <c r="BA454" i="2"/>
  <c r="BH456" i="2"/>
  <c r="BE458" i="2"/>
  <c r="AO460" i="2"/>
  <c r="Q462" i="2"/>
  <c r="AN463" i="2"/>
  <c r="BD464" i="2"/>
  <c r="M466" i="2"/>
  <c r="AB467" i="2"/>
  <c r="AR468" i="2"/>
  <c r="BC469" i="2"/>
  <c r="D471" i="2"/>
  <c r="F472" i="2"/>
  <c r="BC472" i="2"/>
  <c r="AV473" i="2"/>
  <c r="AS474" i="2"/>
  <c r="AL475" i="2"/>
  <c r="AD476" i="2"/>
  <c r="U477" i="2"/>
  <c r="J478" i="2"/>
  <c r="BC478" i="2"/>
  <c r="AF479" i="2"/>
  <c r="J480" i="2"/>
  <c r="AW480" i="2"/>
  <c r="Y481" i="2"/>
  <c r="BC481" i="2"/>
  <c r="AA482" i="2"/>
  <c r="AY482" i="2"/>
  <c r="W483" i="2"/>
  <c r="BA483" i="2"/>
  <c r="X484" i="2"/>
  <c r="AX484" i="2"/>
  <c r="T485" i="2"/>
  <c r="AX485" i="2"/>
  <c r="U486" i="2"/>
  <c r="AY486" i="2"/>
  <c r="Q487" i="2"/>
  <c r="AU487" i="2"/>
  <c r="R488" i="2"/>
  <c r="AP488" i="2"/>
  <c r="J489" i="2"/>
  <c r="AL489" i="2"/>
  <c r="BH489" i="2"/>
  <c r="AD490" i="2"/>
  <c r="BB490" i="2"/>
  <c r="V491" i="2"/>
  <c r="AX491" i="2"/>
  <c r="N492" i="2"/>
  <c r="AP492" i="2"/>
  <c r="H493" i="2"/>
  <c r="AH493" i="2"/>
  <c r="D494" i="2"/>
  <c r="Z494" i="2"/>
  <c r="AZ494" i="2"/>
  <c r="O495" i="2"/>
  <c r="AO495" i="2"/>
  <c r="C496" i="2"/>
  <c r="W496" i="2"/>
  <c r="AU496" i="2"/>
  <c r="I497" i="2"/>
  <c r="AC497" i="2"/>
  <c r="BA497" i="2"/>
  <c r="N498" i="2"/>
  <c r="AF498" i="2"/>
  <c r="AW498" i="2"/>
  <c r="G499" i="2"/>
  <c r="W499" i="2"/>
  <c r="AM499" i="2"/>
  <c r="BC499" i="2"/>
  <c r="M500" i="2"/>
  <c r="AC500" i="2"/>
  <c r="AS500" i="2"/>
  <c r="C501" i="2"/>
  <c r="S501" i="2"/>
  <c r="AI501" i="2"/>
  <c r="AY501" i="2"/>
  <c r="I502" i="2"/>
  <c r="Y502" i="2"/>
  <c r="AO502" i="2"/>
  <c r="BE502" i="2"/>
  <c r="O503" i="2"/>
  <c r="AE503" i="2"/>
  <c r="AU503" i="2"/>
  <c r="E504" i="2"/>
  <c r="U504" i="2"/>
  <c r="AK504" i="2"/>
  <c r="BA504" i="2"/>
  <c r="K505" i="2"/>
  <c r="AA505" i="2"/>
  <c r="AQ505" i="2"/>
  <c r="BG505" i="2"/>
  <c r="Q506" i="2"/>
  <c r="AG506" i="2"/>
  <c r="AW506" i="2"/>
  <c r="G507" i="2"/>
  <c r="W507" i="2"/>
  <c r="AM507" i="2"/>
  <c r="BC507" i="2"/>
  <c r="M508" i="2"/>
  <c r="AC508" i="2"/>
  <c r="AS508" i="2"/>
  <c r="C509" i="2"/>
  <c r="S509" i="2"/>
  <c r="AI509" i="2"/>
  <c r="AY509" i="2"/>
  <c r="I510" i="2"/>
  <c r="Y510" i="2"/>
  <c r="AO510" i="2"/>
  <c r="BE510" i="2"/>
  <c r="O511" i="2"/>
  <c r="AE511" i="2"/>
  <c r="AU511" i="2"/>
  <c r="E512" i="2"/>
  <c r="U512" i="2"/>
  <c r="AK512" i="2"/>
  <c r="BA512" i="2"/>
  <c r="K513" i="2"/>
  <c r="AA513" i="2"/>
  <c r="AQ513" i="2"/>
  <c r="BG513" i="2"/>
  <c r="Q514" i="2"/>
  <c r="AG514" i="2"/>
  <c r="AW514" i="2"/>
  <c r="G515" i="2"/>
  <c r="W515" i="2"/>
  <c r="AM515" i="2"/>
  <c r="BC515" i="2"/>
  <c r="M516" i="2"/>
  <c r="AC516" i="2"/>
  <c r="AS516" i="2"/>
  <c r="C517" i="2"/>
  <c r="S517" i="2"/>
  <c r="AI517" i="2"/>
  <c r="AY517" i="2"/>
  <c r="I518" i="2"/>
  <c r="Y518" i="2"/>
  <c r="AO518" i="2"/>
  <c r="BE518" i="2"/>
  <c r="O519" i="2"/>
  <c r="AE519" i="2"/>
  <c r="AU519" i="2"/>
  <c r="E520" i="2"/>
  <c r="U520" i="2"/>
  <c r="AK520" i="2"/>
  <c r="BA520" i="2"/>
  <c r="K521" i="2"/>
  <c r="AA521" i="2"/>
  <c r="AQ521" i="2"/>
  <c r="BG521" i="2"/>
  <c r="Q522" i="2"/>
  <c r="AG522" i="2"/>
  <c r="AW522" i="2"/>
  <c r="G523" i="2"/>
  <c r="W523" i="2"/>
  <c r="AM523" i="2"/>
  <c r="BC523" i="2"/>
  <c r="M524" i="2"/>
  <c r="AC524" i="2"/>
  <c r="AS524" i="2"/>
  <c r="C525" i="2"/>
  <c r="S525" i="2"/>
  <c r="AI525" i="2"/>
  <c r="AY525" i="2"/>
  <c r="I526" i="2"/>
  <c r="Y526" i="2"/>
  <c r="AO526" i="2"/>
  <c r="BE526" i="2"/>
  <c r="O527" i="2"/>
  <c r="AE527" i="2"/>
  <c r="AU527" i="2"/>
  <c r="E528" i="2"/>
  <c r="U528" i="2"/>
  <c r="AK528" i="2"/>
  <c r="BA528" i="2"/>
  <c r="K529" i="2"/>
  <c r="AA529" i="2"/>
  <c r="C389" i="2"/>
  <c r="AM412" i="2"/>
  <c r="BG421" i="2"/>
  <c r="X429" i="2"/>
  <c r="O435" i="2"/>
  <c r="Y440" i="2"/>
  <c r="BE444" i="2"/>
  <c r="M448" i="2"/>
  <c r="AZ450" i="2"/>
  <c r="G453" i="2"/>
  <c r="S455" i="2"/>
  <c r="S457" i="2"/>
  <c r="P459" i="2"/>
  <c r="BB460" i="2"/>
  <c r="AF462" i="2"/>
  <c r="AZ463" i="2"/>
  <c r="J465" i="2"/>
  <c r="X466" i="2"/>
  <c r="AN467" i="2"/>
  <c r="BB468" i="2"/>
  <c r="H470" i="2"/>
  <c r="N471" i="2"/>
  <c r="G472" i="2"/>
  <c r="BF472" i="2"/>
  <c r="BC473" i="2"/>
  <c r="AV474" i="2"/>
  <c r="AN475" i="2"/>
  <c r="AE476" i="2"/>
  <c r="X477" i="2"/>
  <c r="K478" i="2"/>
  <c r="BD478" i="2"/>
  <c r="AG479" i="2"/>
  <c r="P480" i="2"/>
  <c r="AY480" i="2"/>
  <c r="Z481" i="2"/>
  <c r="BE481" i="2"/>
  <c r="AB482" i="2"/>
  <c r="BB482" i="2"/>
  <c r="X483" i="2"/>
  <c r="BB483" i="2"/>
  <c r="Y484" i="2"/>
  <c r="BC484" i="2"/>
  <c r="U485" i="2"/>
  <c r="AY485" i="2"/>
  <c r="W486" i="2"/>
  <c r="AZ486" i="2"/>
  <c r="T487" i="2"/>
  <c r="AV487" i="2"/>
  <c r="S488" i="2"/>
  <c r="AU488" i="2"/>
  <c r="K489" i="2"/>
  <c r="AM489" i="2"/>
  <c r="C490" i="2"/>
  <c r="AE490" i="2"/>
  <c r="BG490" i="2"/>
  <c r="W491" i="2"/>
  <c r="AY491" i="2"/>
  <c r="O492" i="2"/>
  <c r="AQ492" i="2"/>
  <c r="M493" i="2"/>
  <c r="AI493" i="2"/>
  <c r="E494" i="2"/>
  <c r="AA494" i="2"/>
  <c r="BA494" i="2"/>
  <c r="P495" i="2"/>
  <c r="AP495" i="2"/>
  <c r="D496" i="2"/>
  <c r="Z496" i="2"/>
  <c r="AV496" i="2"/>
  <c r="J497" i="2"/>
  <c r="AF497" i="2"/>
  <c r="BB497" i="2"/>
  <c r="O498" i="2"/>
  <c r="AG498" i="2"/>
  <c r="AX498" i="2"/>
  <c r="H499" i="2"/>
  <c r="X499" i="2"/>
  <c r="AN499" i="2"/>
  <c r="BD499" i="2"/>
  <c r="N500" i="2"/>
  <c r="AD500" i="2"/>
  <c r="AT500" i="2"/>
  <c r="D501" i="2"/>
  <c r="T501" i="2"/>
  <c r="AJ501" i="2"/>
  <c r="AZ501" i="2"/>
  <c r="J502" i="2"/>
  <c r="Z502" i="2"/>
  <c r="AP502" i="2"/>
  <c r="BF502" i="2"/>
  <c r="P503" i="2"/>
  <c r="AF503" i="2"/>
  <c r="AV503" i="2"/>
  <c r="F504" i="2"/>
  <c r="V504" i="2"/>
  <c r="AL504" i="2"/>
  <c r="BB504" i="2"/>
  <c r="L505" i="2"/>
  <c r="AB505" i="2"/>
  <c r="AR505" i="2"/>
  <c r="BH505" i="2"/>
  <c r="R506" i="2"/>
  <c r="AH506" i="2"/>
  <c r="AX506" i="2"/>
  <c r="H507" i="2"/>
  <c r="X507" i="2"/>
  <c r="AN507" i="2"/>
  <c r="BD507" i="2"/>
  <c r="N508" i="2"/>
  <c r="AD508" i="2"/>
  <c r="AT508" i="2"/>
  <c r="D509" i="2"/>
  <c r="T509" i="2"/>
  <c r="AJ509" i="2"/>
  <c r="AZ509" i="2"/>
  <c r="J510" i="2"/>
  <c r="Z510" i="2"/>
  <c r="AP510" i="2"/>
  <c r="BF510" i="2"/>
  <c r="P511" i="2"/>
  <c r="AF511" i="2"/>
  <c r="AV511" i="2"/>
  <c r="F512" i="2"/>
  <c r="V512" i="2"/>
  <c r="AL512" i="2"/>
  <c r="BB512" i="2"/>
  <c r="L513" i="2"/>
  <c r="AB513" i="2"/>
  <c r="AR513" i="2"/>
  <c r="BH513" i="2"/>
  <c r="R514" i="2"/>
  <c r="AH514" i="2"/>
  <c r="AX514" i="2"/>
  <c r="H515" i="2"/>
  <c r="X515" i="2"/>
  <c r="AN515" i="2"/>
  <c r="BD515" i="2"/>
  <c r="N516" i="2"/>
  <c r="AD516" i="2"/>
  <c r="AT516" i="2"/>
  <c r="D517" i="2"/>
  <c r="T517" i="2"/>
  <c r="AJ517" i="2"/>
  <c r="AZ517" i="2"/>
  <c r="J518" i="2"/>
  <c r="Z518" i="2"/>
  <c r="AP518" i="2"/>
  <c r="BF518" i="2"/>
  <c r="P519" i="2"/>
  <c r="AF519" i="2"/>
  <c r="AV519" i="2"/>
  <c r="F520" i="2"/>
  <c r="V520" i="2"/>
  <c r="AL520" i="2"/>
  <c r="BB520" i="2"/>
  <c r="L521" i="2"/>
  <c r="AB521" i="2"/>
  <c r="AR521" i="2"/>
  <c r="BH521" i="2"/>
  <c r="R522" i="2"/>
  <c r="AH522" i="2"/>
  <c r="AX522" i="2"/>
  <c r="H523" i="2"/>
  <c r="X523" i="2"/>
  <c r="AN523" i="2"/>
  <c r="BD523" i="2"/>
  <c r="N524" i="2"/>
  <c r="AD524" i="2"/>
  <c r="AT524" i="2"/>
  <c r="D525" i="2"/>
  <c r="T525" i="2"/>
  <c r="AJ525" i="2"/>
  <c r="AZ525" i="2"/>
  <c r="J526" i="2"/>
  <c r="Z526" i="2"/>
  <c r="AP526" i="2"/>
  <c r="BF526" i="2"/>
  <c r="P527" i="2"/>
  <c r="AF527" i="2"/>
  <c r="AV527" i="2"/>
  <c r="F528" i="2"/>
  <c r="V528" i="2"/>
  <c r="AL528" i="2"/>
  <c r="BB528" i="2"/>
  <c r="L529" i="2"/>
  <c r="AB529" i="2"/>
  <c r="AR529" i="2"/>
  <c r="BH529" i="2"/>
  <c r="R530" i="2"/>
  <c r="AH530" i="2"/>
  <c r="AX530" i="2"/>
  <c r="H531" i="2"/>
  <c r="X531" i="2"/>
  <c r="AN531" i="2"/>
  <c r="BD531" i="2"/>
  <c r="N532" i="2"/>
  <c r="AD532" i="2"/>
  <c r="AT532" i="2"/>
  <c r="D533" i="2"/>
  <c r="T533" i="2"/>
  <c r="AJ533" i="2"/>
  <c r="AZ533" i="2"/>
  <c r="J534" i="2"/>
  <c r="BA390" i="2"/>
  <c r="O413" i="2"/>
  <c r="T422" i="2"/>
  <c r="AN429" i="2"/>
  <c r="AD435" i="2"/>
  <c r="AM440" i="2"/>
  <c r="J445" i="2"/>
  <c r="Q448" i="2"/>
  <c r="BC450" i="2"/>
  <c r="I453" i="2"/>
  <c r="U455" i="2"/>
  <c r="W457" i="2"/>
  <c r="U459" i="2"/>
  <c r="BG460" i="2"/>
  <c r="AH462" i="2"/>
  <c r="BB463" i="2"/>
  <c r="L465" i="2"/>
  <c r="Z466" i="2"/>
  <c r="AP467" i="2"/>
  <c r="BE468" i="2"/>
  <c r="J470" i="2"/>
  <c r="P471" i="2"/>
  <c r="J472" i="2"/>
  <c r="G473" i="2"/>
  <c r="BF473" i="2"/>
  <c r="AX474" i="2"/>
  <c r="AO475" i="2"/>
  <c r="AH476" i="2"/>
  <c r="AE477" i="2"/>
  <c r="N478" i="2"/>
  <c r="BF478" i="2"/>
  <c r="AJ479" i="2"/>
  <c r="Q480" i="2"/>
  <c r="AZ480" i="2"/>
  <c r="AA481" i="2"/>
  <c r="BF481" i="2"/>
  <c r="AC482" i="2"/>
  <c r="BG482" i="2"/>
  <c r="Y483" i="2"/>
  <c r="BC483" i="2"/>
  <c r="AA484" i="2"/>
  <c r="BD484" i="2"/>
  <c r="X485" i="2"/>
  <c r="AZ485" i="2"/>
  <c r="X486" i="2"/>
  <c r="BA486" i="2"/>
  <c r="Y487" i="2"/>
  <c r="AW487" i="2"/>
  <c r="T488" i="2"/>
  <c r="AV488" i="2"/>
  <c r="L489" i="2"/>
  <c r="AN489" i="2"/>
  <c r="F490" i="2"/>
  <c r="AF490" i="2"/>
  <c r="BH490" i="2"/>
  <c r="X491" i="2"/>
  <c r="AZ491" i="2"/>
  <c r="R492" i="2"/>
  <c r="AR492" i="2"/>
  <c r="N493" i="2"/>
  <c r="AJ493" i="2"/>
  <c r="F494" i="2"/>
  <c r="AD494" i="2"/>
  <c r="BB494" i="2"/>
  <c r="Q495" i="2"/>
  <c r="AQ495" i="2"/>
  <c r="E496" i="2"/>
  <c r="AB496" i="2"/>
  <c r="AW496" i="2"/>
  <c r="K497" i="2"/>
  <c r="AH497" i="2"/>
  <c r="BC497" i="2"/>
  <c r="P498" i="2"/>
  <c r="AH498" i="2"/>
  <c r="AY498" i="2"/>
  <c r="I499" i="2"/>
  <c r="Y499" i="2"/>
  <c r="AO499" i="2"/>
  <c r="BE499" i="2"/>
  <c r="O500" i="2"/>
  <c r="AE500" i="2"/>
  <c r="AU500" i="2"/>
  <c r="E501" i="2"/>
  <c r="U501" i="2"/>
  <c r="AK501" i="2"/>
  <c r="BA501" i="2"/>
  <c r="K502" i="2"/>
  <c r="AA502" i="2"/>
  <c r="AQ502" i="2"/>
  <c r="BG502" i="2"/>
  <c r="Q503" i="2"/>
  <c r="AG503" i="2"/>
  <c r="AW503" i="2"/>
  <c r="G504" i="2"/>
  <c r="W504" i="2"/>
  <c r="AM504" i="2"/>
  <c r="BC504" i="2"/>
  <c r="M505" i="2"/>
  <c r="AC505" i="2"/>
  <c r="AS505" i="2"/>
  <c r="C506" i="2"/>
  <c r="S506" i="2"/>
  <c r="AI506" i="2"/>
  <c r="AY506" i="2"/>
  <c r="I507" i="2"/>
  <c r="Y507" i="2"/>
  <c r="AO507" i="2"/>
  <c r="BE507" i="2"/>
  <c r="O508" i="2"/>
  <c r="AE508" i="2"/>
  <c r="AU508" i="2"/>
  <c r="E509" i="2"/>
  <c r="U509" i="2"/>
  <c r="AK509" i="2"/>
  <c r="BA509" i="2"/>
  <c r="K510" i="2"/>
  <c r="AA510" i="2"/>
  <c r="AQ510" i="2"/>
  <c r="BG510" i="2"/>
  <c r="Q511" i="2"/>
  <c r="AG511" i="2"/>
  <c r="AW511" i="2"/>
  <c r="G512" i="2"/>
  <c r="W512" i="2"/>
  <c r="AM512" i="2"/>
  <c r="BC512" i="2"/>
  <c r="M513" i="2"/>
  <c r="AC513" i="2"/>
  <c r="AS513" i="2"/>
  <c r="C514" i="2"/>
  <c r="S514" i="2"/>
  <c r="AI514" i="2"/>
  <c r="AY514" i="2"/>
  <c r="I515" i="2"/>
  <c r="Y515" i="2"/>
  <c r="AO515" i="2"/>
  <c r="BE515" i="2"/>
  <c r="O516" i="2"/>
  <c r="AE516" i="2"/>
  <c r="AU516" i="2"/>
  <c r="E517" i="2"/>
  <c r="U517" i="2"/>
  <c r="AK517" i="2"/>
  <c r="BA517" i="2"/>
  <c r="K518" i="2"/>
  <c r="AA518" i="2"/>
  <c r="AQ518" i="2"/>
  <c r="BG518" i="2"/>
  <c r="Q519" i="2"/>
  <c r="AG519" i="2"/>
  <c r="AW519" i="2"/>
  <c r="G520" i="2"/>
  <c r="W520" i="2"/>
  <c r="AM520" i="2"/>
  <c r="BC520" i="2"/>
  <c r="M521" i="2"/>
  <c r="AC521" i="2"/>
  <c r="AS521" i="2"/>
  <c r="C522" i="2"/>
  <c r="S522" i="2"/>
  <c r="AI522" i="2"/>
  <c r="AY522" i="2"/>
  <c r="I523" i="2"/>
  <c r="Y523" i="2"/>
  <c r="AO523" i="2"/>
  <c r="BE523" i="2"/>
  <c r="O524" i="2"/>
  <c r="AE524" i="2"/>
  <c r="AU524" i="2"/>
  <c r="E525" i="2"/>
  <c r="U525" i="2"/>
  <c r="AK525" i="2"/>
  <c r="BA525" i="2"/>
  <c r="K526" i="2"/>
  <c r="AA526" i="2"/>
  <c r="AQ526" i="2"/>
  <c r="BC390" i="2"/>
  <c r="R413" i="2"/>
  <c r="U422" i="2"/>
  <c r="AO429" i="2"/>
  <c r="AE435" i="2"/>
  <c r="AN440" i="2"/>
  <c r="K445" i="2"/>
  <c r="Z448" i="2"/>
  <c r="BD450" i="2"/>
  <c r="J453" i="2"/>
  <c r="V455" i="2"/>
  <c r="AC457" i="2"/>
  <c r="Y459" i="2"/>
  <c r="D461" i="2"/>
  <c r="AK462" i="2"/>
  <c r="BC463" i="2"/>
  <c r="M465" i="2"/>
  <c r="AA466" i="2"/>
  <c r="AQ467" i="2"/>
  <c r="BG468" i="2"/>
  <c r="K470" i="2"/>
  <c r="Q471" i="2"/>
  <c r="Q472" i="2"/>
  <c r="J473" i="2"/>
  <c r="BH473" i="2"/>
  <c r="AY474" i="2"/>
  <c r="AR475" i="2"/>
  <c r="AO476" i="2"/>
  <c r="AH477" i="2"/>
  <c r="U478" i="2"/>
  <c r="BG478" i="2"/>
  <c r="AP479" i="2"/>
  <c r="S480" i="2"/>
  <c r="BB480" i="2"/>
  <c r="AB481" i="2"/>
  <c r="BG481" i="2"/>
  <c r="AE482" i="2"/>
  <c r="BH482" i="2"/>
  <c r="AB483" i="2"/>
  <c r="BD483" i="2"/>
  <c r="AB484" i="2"/>
  <c r="BE484" i="2"/>
  <c r="AC485" i="2"/>
  <c r="BA485" i="2"/>
  <c r="Y486" i="2"/>
  <c r="BC486" i="2"/>
  <c r="Z487" i="2"/>
  <c r="AZ487" i="2"/>
  <c r="U488" i="2"/>
  <c r="AW488" i="2"/>
  <c r="M489" i="2"/>
  <c r="AO489" i="2"/>
  <c r="K490" i="2"/>
  <c r="AG490" i="2"/>
  <c r="C491" i="2"/>
  <c r="Y491" i="2"/>
  <c r="BA491" i="2"/>
  <c r="W492" i="2"/>
  <c r="AS492" i="2"/>
  <c r="O493" i="2"/>
  <c r="AK493" i="2"/>
  <c r="G494" i="2"/>
  <c r="AH494" i="2"/>
  <c r="BC494" i="2"/>
  <c r="T495" i="2"/>
  <c r="AR495" i="2"/>
  <c r="F496" i="2"/>
  <c r="AD496" i="2"/>
  <c r="AX496" i="2"/>
  <c r="L497" i="2"/>
  <c r="AJ497" i="2"/>
  <c r="BD497" i="2"/>
  <c r="Q498" i="2"/>
  <c r="AI498" i="2"/>
  <c r="AZ498" i="2"/>
  <c r="J499" i="2"/>
  <c r="Z499" i="2"/>
  <c r="AP499" i="2"/>
  <c r="BF499" i="2"/>
  <c r="P500" i="2"/>
  <c r="AF500" i="2"/>
  <c r="AV500" i="2"/>
  <c r="F501" i="2"/>
  <c r="V501" i="2"/>
  <c r="AL501" i="2"/>
  <c r="BB501" i="2"/>
  <c r="L502" i="2"/>
  <c r="AB502" i="2"/>
  <c r="AR502" i="2"/>
  <c r="BH502" i="2"/>
  <c r="R503" i="2"/>
  <c r="AH503" i="2"/>
  <c r="AX503" i="2"/>
  <c r="H504" i="2"/>
  <c r="X504" i="2"/>
  <c r="AN504" i="2"/>
  <c r="BD504" i="2"/>
  <c r="N505" i="2"/>
  <c r="AD505" i="2"/>
  <c r="AT505" i="2"/>
  <c r="D506" i="2"/>
  <c r="T506" i="2"/>
  <c r="AJ506" i="2"/>
  <c r="AZ506" i="2"/>
  <c r="J507" i="2"/>
  <c r="Z507" i="2"/>
  <c r="AP507" i="2"/>
  <c r="BF507" i="2"/>
  <c r="P508" i="2"/>
  <c r="AF508" i="2"/>
  <c r="AV508" i="2"/>
  <c r="F509" i="2"/>
  <c r="V509" i="2"/>
  <c r="AL509" i="2"/>
  <c r="BB509" i="2"/>
  <c r="L510" i="2"/>
  <c r="AB510" i="2"/>
  <c r="AR510" i="2"/>
  <c r="BH510" i="2"/>
  <c r="R511" i="2"/>
  <c r="AH511" i="2"/>
  <c r="AX511" i="2"/>
  <c r="H512" i="2"/>
  <c r="X512" i="2"/>
  <c r="AN512" i="2"/>
  <c r="BD512" i="2"/>
  <c r="N513" i="2"/>
  <c r="AD513" i="2"/>
  <c r="AT513" i="2"/>
  <c r="D514" i="2"/>
  <c r="T514" i="2"/>
  <c r="AJ514" i="2"/>
  <c r="AZ514" i="2"/>
  <c r="J515" i="2"/>
  <c r="Z515" i="2"/>
  <c r="AP515" i="2"/>
  <c r="BF515" i="2"/>
  <c r="P516" i="2"/>
  <c r="AF516" i="2"/>
  <c r="AV516" i="2"/>
  <c r="F517" i="2"/>
  <c r="V517" i="2"/>
  <c r="AL517" i="2"/>
  <c r="BB517" i="2"/>
  <c r="L518" i="2"/>
  <c r="AB518" i="2"/>
  <c r="AR518" i="2"/>
  <c r="BH518" i="2"/>
  <c r="R519" i="2"/>
  <c r="AH519" i="2"/>
  <c r="AX519" i="2"/>
  <c r="H520" i="2"/>
  <c r="X520" i="2"/>
  <c r="AN520" i="2"/>
  <c r="BD520" i="2"/>
  <c r="N521" i="2"/>
  <c r="AD521" i="2"/>
  <c r="AT521" i="2"/>
  <c r="D522" i="2"/>
  <c r="T522" i="2"/>
  <c r="AJ522" i="2"/>
  <c r="AZ522" i="2"/>
  <c r="J523" i="2"/>
  <c r="Z523" i="2"/>
  <c r="AP523" i="2"/>
  <c r="BF523" i="2"/>
  <c r="P524" i="2"/>
  <c r="AF524" i="2"/>
  <c r="AV524" i="2"/>
  <c r="F525" i="2"/>
  <c r="L393" i="2"/>
  <c r="D414" i="2"/>
  <c r="AX422" i="2"/>
  <c r="BH429" i="2"/>
  <c r="AW435" i="2"/>
  <c r="BE440" i="2"/>
  <c r="Y445" i="2"/>
  <c r="AC448" i="2"/>
  <c r="C451" i="2"/>
  <c r="O453" i="2"/>
  <c r="AA455" i="2"/>
  <c r="AF457" i="2"/>
  <c r="AB459" i="2"/>
  <c r="G461" i="2"/>
  <c r="AP462" i="2"/>
  <c r="BG463" i="2"/>
  <c r="P465" i="2"/>
  <c r="AF466" i="2"/>
  <c r="AT467" i="2"/>
  <c r="D469" i="2"/>
  <c r="N470" i="2"/>
  <c r="T471" i="2"/>
  <c r="T472" i="2"/>
  <c r="L473" i="2"/>
  <c r="C474" i="2"/>
  <c r="BB474" i="2"/>
  <c r="AY475" i="2"/>
  <c r="AR476" i="2"/>
  <c r="AJ477" i="2"/>
  <c r="W478" i="2"/>
  <c r="D479" i="2"/>
  <c r="AQ479" i="2"/>
  <c r="T480" i="2"/>
  <c r="BC480" i="2"/>
  <c r="AC481" i="2"/>
  <c r="BH481" i="2"/>
  <c r="AF482" i="2"/>
  <c r="C483" i="2"/>
  <c r="AG483" i="2"/>
  <c r="BE483" i="2"/>
  <c r="AC484" i="2"/>
  <c r="BG484" i="2"/>
  <c r="AD485" i="2"/>
  <c r="BD485" i="2"/>
  <c r="Z486" i="2"/>
  <c r="BD486" i="2"/>
  <c r="AA487" i="2"/>
  <c r="BE487" i="2"/>
  <c r="V488" i="2"/>
  <c r="AX488" i="2"/>
  <c r="P489" i="2"/>
  <c r="AP489" i="2"/>
  <c r="L490" i="2"/>
  <c r="AH490" i="2"/>
  <c r="D491" i="2"/>
  <c r="AB491" i="2"/>
  <c r="BB491" i="2"/>
  <c r="X492" i="2"/>
  <c r="AT492" i="2"/>
  <c r="P493" i="2"/>
  <c r="AN493" i="2"/>
  <c r="H494" i="2"/>
  <c r="AI494" i="2"/>
  <c r="BD494" i="2"/>
  <c r="X495" i="2"/>
  <c r="AS495" i="2"/>
  <c r="G496" i="2"/>
  <c r="AE496" i="2"/>
  <c r="AY496" i="2"/>
  <c r="M497" i="2"/>
  <c r="AK497" i="2"/>
  <c r="BE497" i="2"/>
  <c r="R498" i="2"/>
  <c r="AK498" i="2"/>
  <c r="BA498" i="2"/>
  <c r="K499" i="2"/>
  <c r="AA499" i="2"/>
  <c r="AQ499" i="2"/>
  <c r="BG499" i="2"/>
  <c r="Q500" i="2"/>
  <c r="AG500" i="2"/>
  <c r="AW500" i="2"/>
  <c r="G501" i="2"/>
  <c r="W501" i="2"/>
  <c r="AM501" i="2"/>
  <c r="BC501" i="2"/>
  <c r="M502" i="2"/>
  <c r="AC502" i="2"/>
  <c r="AS502" i="2"/>
  <c r="C503" i="2"/>
  <c r="S503" i="2"/>
  <c r="AI503" i="2"/>
  <c r="AY503" i="2"/>
  <c r="I504" i="2"/>
  <c r="Y504" i="2"/>
  <c r="AO504" i="2"/>
  <c r="BE504" i="2"/>
  <c r="O505" i="2"/>
  <c r="AE505" i="2"/>
  <c r="AU505" i="2"/>
  <c r="E506" i="2"/>
  <c r="U506" i="2"/>
  <c r="AK506" i="2"/>
  <c r="BA506" i="2"/>
  <c r="K507" i="2"/>
  <c r="AA507" i="2"/>
  <c r="AQ507" i="2"/>
  <c r="BG507" i="2"/>
  <c r="Q508" i="2"/>
  <c r="AG508" i="2"/>
  <c r="AW508" i="2"/>
  <c r="G509" i="2"/>
  <c r="W509" i="2"/>
  <c r="AM509" i="2"/>
  <c r="BC509" i="2"/>
  <c r="M510" i="2"/>
  <c r="AC510" i="2"/>
  <c r="AS510" i="2"/>
  <c r="C511" i="2"/>
  <c r="S511" i="2"/>
  <c r="AI511" i="2"/>
  <c r="AY511" i="2"/>
  <c r="I512" i="2"/>
  <c r="Y512" i="2"/>
  <c r="AO512" i="2"/>
  <c r="BE512" i="2"/>
  <c r="O513" i="2"/>
  <c r="AE513" i="2"/>
  <c r="AU513" i="2"/>
  <c r="E514" i="2"/>
  <c r="U514" i="2"/>
  <c r="AK514" i="2"/>
  <c r="BA514" i="2"/>
  <c r="K515" i="2"/>
  <c r="AA515" i="2"/>
  <c r="AQ515" i="2"/>
  <c r="BG515" i="2"/>
  <c r="Q516" i="2"/>
  <c r="AG516" i="2"/>
  <c r="AW516" i="2"/>
  <c r="G517" i="2"/>
  <c r="W517" i="2"/>
  <c r="AM517" i="2"/>
  <c r="BC517" i="2"/>
  <c r="M518" i="2"/>
  <c r="AC518" i="2"/>
  <c r="AS518" i="2"/>
  <c r="C519" i="2"/>
  <c r="S519" i="2"/>
  <c r="AI519" i="2"/>
  <c r="AY519" i="2"/>
  <c r="I520" i="2"/>
  <c r="Y520" i="2"/>
  <c r="AO520" i="2"/>
  <c r="BE520" i="2"/>
  <c r="O521" i="2"/>
  <c r="AE521" i="2"/>
  <c r="AU521" i="2"/>
  <c r="H397" i="2"/>
  <c r="X415" i="2"/>
  <c r="BD423" i="2"/>
  <c r="AX430" i="2"/>
  <c r="AJ436" i="2"/>
  <c r="AL441" i="2"/>
  <c r="BE445" i="2"/>
  <c r="BF448" i="2"/>
  <c r="AA451" i="2"/>
  <c r="AM453" i="2"/>
  <c r="AY455" i="2"/>
  <c r="AW457" i="2"/>
  <c r="AR459" i="2"/>
  <c r="V461" i="2"/>
  <c r="BA462" i="2"/>
  <c r="L464" i="2"/>
  <c r="AB465" i="2"/>
  <c r="AP466" i="2"/>
  <c r="BF467" i="2"/>
  <c r="O469" i="2"/>
  <c r="X470" i="2"/>
  <c r="AD471" i="2"/>
  <c r="V472" i="2"/>
  <c r="M473" i="2"/>
  <c r="F474" i="2"/>
  <c r="C475" i="2"/>
  <c r="BB475" i="2"/>
  <c r="AT476" i="2"/>
  <c r="AK477" i="2"/>
  <c r="X478" i="2"/>
  <c r="J479" i="2"/>
  <c r="AS479" i="2"/>
  <c r="V480" i="2"/>
  <c r="BF480" i="2"/>
  <c r="AF481" i="2"/>
  <c r="C482" i="2"/>
  <c r="AG482" i="2"/>
  <c r="E483" i="2"/>
  <c r="AH483" i="2"/>
  <c r="BH483" i="2"/>
  <c r="AD484" i="2"/>
  <c r="BH484" i="2"/>
  <c r="AE485" i="2"/>
  <c r="C486" i="2"/>
  <c r="AA486" i="2"/>
  <c r="BE486" i="2"/>
  <c r="AC487" i="2"/>
  <c r="BF487" i="2"/>
  <c r="W488" i="2"/>
  <c r="AY488" i="2"/>
  <c r="U489" i="2"/>
  <c r="AQ489" i="2"/>
  <c r="M490" i="2"/>
  <c r="AI490" i="2"/>
  <c r="E491" i="2"/>
  <c r="AG491" i="2"/>
  <c r="BC491" i="2"/>
  <c r="Y492" i="2"/>
  <c r="AU492" i="2"/>
  <c r="Q493" i="2"/>
  <c r="AS493" i="2"/>
  <c r="I494" i="2"/>
  <c r="AJ494" i="2"/>
  <c r="BE494" i="2"/>
  <c r="Y495" i="2"/>
  <c r="AT495" i="2"/>
  <c r="J496" i="2"/>
  <c r="AF496" i="2"/>
  <c r="AZ496" i="2"/>
  <c r="P497" i="2"/>
  <c r="AL497" i="2"/>
  <c r="BF497" i="2"/>
  <c r="S498" i="2"/>
  <c r="AL498" i="2"/>
  <c r="BB498" i="2"/>
  <c r="L499" i="2"/>
  <c r="AB499" i="2"/>
  <c r="AR499" i="2"/>
  <c r="BH499" i="2"/>
  <c r="R500" i="2"/>
  <c r="AH500" i="2"/>
  <c r="AX500" i="2"/>
  <c r="H501" i="2"/>
  <c r="X501" i="2"/>
  <c r="AN501" i="2"/>
  <c r="BD501" i="2"/>
  <c r="N502" i="2"/>
  <c r="AD502" i="2"/>
  <c r="AT502" i="2"/>
  <c r="D503" i="2"/>
  <c r="T503" i="2"/>
  <c r="AJ503" i="2"/>
  <c r="AZ503" i="2"/>
  <c r="J504" i="2"/>
  <c r="Z504" i="2"/>
  <c r="AP504" i="2"/>
  <c r="BF504" i="2"/>
  <c r="P505" i="2"/>
  <c r="AF505" i="2"/>
  <c r="AV505" i="2"/>
  <c r="F506" i="2"/>
  <c r="V506" i="2"/>
  <c r="AL506" i="2"/>
  <c r="BB506" i="2"/>
  <c r="L507" i="2"/>
  <c r="AB507" i="2"/>
  <c r="AR507" i="2"/>
  <c r="BH507" i="2"/>
  <c r="R508" i="2"/>
  <c r="AH508" i="2"/>
  <c r="AX508" i="2"/>
  <c r="H509" i="2"/>
  <c r="X509" i="2"/>
  <c r="AN509" i="2"/>
  <c r="BD509" i="2"/>
  <c r="N510" i="2"/>
  <c r="AD510" i="2"/>
  <c r="AT510" i="2"/>
  <c r="D511" i="2"/>
  <c r="T511" i="2"/>
  <c r="AJ511" i="2"/>
  <c r="AZ511" i="2"/>
  <c r="J512" i="2"/>
  <c r="Z512" i="2"/>
  <c r="AP512" i="2"/>
  <c r="BF512" i="2"/>
  <c r="P513" i="2"/>
  <c r="AF513" i="2"/>
  <c r="AV513" i="2"/>
  <c r="F514" i="2"/>
  <c r="V514" i="2"/>
  <c r="AL514" i="2"/>
  <c r="BB514" i="2"/>
  <c r="L515" i="2"/>
  <c r="AB515" i="2"/>
  <c r="AR515" i="2"/>
  <c r="BH515" i="2"/>
  <c r="R516" i="2"/>
  <c r="AH516" i="2"/>
  <c r="AX516" i="2"/>
  <c r="H517" i="2"/>
  <c r="X517" i="2"/>
  <c r="AB398" i="2"/>
  <c r="AT415" i="2"/>
  <c r="Q424" i="2"/>
  <c r="H431" i="2"/>
  <c r="AY436" i="2"/>
  <c r="AY441" i="2"/>
  <c r="BG445" i="2"/>
  <c r="BH448" i="2"/>
  <c r="AC451" i="2"/>
  <c r="AO453" i="2"/>
  <c r="BA455" i="2"/>
  <c r="AY457" i="2"/>
  <c r="AT459" i="2"/>
  <c r="X461" i="2"/>
  <c r="BE462" i="2"/>
  <c r="N464" i="2"/>
  <c r="AD465" i="2"/>
  <c r="AS466" i="2"/>
  <c r="BH467" i="2"/>
  <c r="Q469" i="2"/>
  <c r="Z470" i="2"/>
  <c r="AF471" i="2"/>
  <c r="W472" i="2"/>
  <c r="P473" i="2"/>
  <c r="M474" i="2"/>
  <c r="F475" i="2"/>
  <c r="BD475" i="2"/>
  <c r="AU476" i="2"/>
  <c r="AN477" i="2"/>
  <c r="Z478" i="2"/>
  <c r="K479" i="2"/>
  <c r="AT479" i="2"/>
  <c r="W480" i="2"/>
  <c r="F481" i="2"/>
  <c r="AL481" i="2"/>
  <c r="F482" i="2"/>
  <c r="AH482" i="2"/>
  <c r="F483" i="2"/>
  <c r="AI483" i="2"/>
  <c r="G484" i="2"/>
  <c r="AE484" i="2"/>
  <c r="C485" i="2"/>
  <c r="AG485" i="2"/>
  <c r="D486" i="2"/>
  <c r="AD486" i="2"/>
  <c r="BF486" i="2"/>
  <c r="AD487" i="2"/>
  <c r="BG487" i="2"/>
  <c r="Z488" i="2"/>
  <c r="AZ488" i="2"/>
  <c r="V489" i="2"/>
  <c r="AR489" i="2"/>
  <c r="N490" i="2"/>
  <c r="AL490" i="2"/>
  <c r="F491" i="2"/>
  <c r="AH491" i="2"/>
  <c r="BD491" i="2"/>
  <c r="Z492" i="2"/>
  <c r="AX492" i="2"/>
  <c r="R493" i="2"/>
  <c r="AT493" i="2"/>
  <c r="J494" i="2"/>
  <c r="AK494" i="2"/>
  <c r="BF494" i="2"/>
  <c r="Z495" i="2"/>
  <c r="AU495" i="2"/>
  <c r="L496" i="2"/>
  <c r="AG496" i="2"/>
  <c r="BA496" i="2"/>
  <c r="R497" i="2"/>
  <c r="AM497" i="2"/>
  <c r="BG497" i="2"/>
  <c r="U498" i="2"/>
  <c r="AM498" i="2"/>
  <c r="BC498" i="2"/>
  <c r="M499" i="2"/>
  <c r="AC499" i="2"/>
  <c r="AS499" i="2"/>
  <c r="C500" i="2"/>
  <c r="S500" i="2"/>
  <c r="AI500" i="2"/>
  <c r="AY500" i="2"/>
  <c r="I501" i="2"/>
  <c r="Y501" i="2"/>
  <c r="AO501" i="2"/>
  <c r="BE501" i="2"/>
  <c r="O502" i="2"/>
  <c r="AE502" i="2"/>
  <c r="AU502" i="2"/>
  <c r="E503" i="2"/>
  <c r="U503" i="2"/>
  <c r="AK503" i="2"/>
  <c r="BA503" i="2"/>
  <c r="K504" i="2"/>
  <c r="AA504" i="2"/>
  <c r="AQ504" i="2"/>
  <c r="BG504" i="2"/>
  <c r="Q505" i="2"/>
  <c r="AG505" i="2"/>
  <c r="AW505" i="2"/>
  <c r="G506" i="2"/>
  <c r="W506" i="2"/>
  <c r="AM506" i="2"/>
  <c r="BC506" i="2"/>
  <c r="M507" i="2"/>
  <c r="AC507" i="2"/>
  <c r="AS507" i="2"/>
  <c r="C508" i="2"/>
  <c r="S508" i="2"/>
  <c r="AI508" i="2"/>
  <c r="AY508" i="2"/>
  <c r="I509" i="2"/>
  <c r="Y509" i="2"/>
  <c r="AO509" i="2"/>
  <c r="BE509" i="2"/>
  <c r="O510" i="2"/>
  <c r="AE510" i="2"/>
  <c r="AU510" i="2"/>
  <c r="E511" i="2"/>
  <c r="U511" i="2"/>
  <c r="AK511" i="2"/>
  <c r="BA511" i="2"/>
  <c r="K512" i="2"/>
  <c r="AA512" i="2"/>
  <c r="AQ512" i="2"/>
  <c r="BG512" i="2"/>
  <c r="Q513" i="2"/>
  <c r="AG513" i="2"/>
  <c r="AW513" i="2"/>
  <c r="G514" i="2"/>
  <c r="AC398" i="2"/>
  <c r="BA415" i="2"/>
  <c r="T424" i="2"/>
  <c r="I431" i="2"/>
  <c r="AZ436" i="2"/>
  <c r="AZ441" i="2"/>
  <c r="BH445" i="2"/>
  <c r="C449" i="2"/>
  <c r="AD451" i="2"/>
  <c r="AP453" i="2"/>
  <c r="BB455" i="2"/>
  <c r="AZ457" i="2"/>
  <c r="AU459" i="2"/>
  <c r="Y461" i="2"/>
  <c r="BF462" i="2"/>
  <c r="O464" i="2"/>
  <c r="AE465" i="2"/>
  <c r="AU466" i="2"/>
  <c r="C468" i="2"/>
  <c r="R469" i="2"/>
  <c r="AA470" i="2"/>
  <c r="AG471" i="2"/>
  <c r="Z472" i="2"/>
  <c r="W473" i="2"/>
  <c r="P474" i="2"/>
  <c r="H475" i="2"/>
  <c r="BE475" i="2"/>
  <c r="AX476" i="2"/>
  <c r="AU477" i="2"/>
  <c r="AA478" i="2"/>
  <c r="M479" i="2"/>
  <c r="AV479" i="2"/>
  <c r="Z480" i="2"/>
  <c r="G481" i="2"/>
  <c r="AM481" i="2"/>
  <c r="K482" i="2"/>
  <c r="AI482" i="2"/>
  <c r="G483" i="2"/>
  <c r="AK483" i="2"/>
  <c r="H484" i="2"/>
  <c r="AH484" i="2"/>
  <c r="D485" i="2"/>
  <c r="AH485" i="2"/>
  <c r="E486" i="2"/>
  <c r="AI486" i="2"/>
  <c r="BG486" i="2"/>
  <c r="AE487" i="2"/>
  <c r="C488" i="2"/>
  <c r="AE488" i="2"/>
  <c r="BA488" i="2"/>
  <c r="W489" i="2"/>
  <c r="AS489" i="2"/>
  <c r="O490" i="2"/>
  <c r="AQ490" i="2"/>
  <c r="G491" i="2"/>
  <c r="AI491" i="2"/>
  <c r="BE491" i="2"/>
  <c r="AA492" i="2"/>
  <c r="BC492" i="2"/>
  <c r="S493" i="2"/>
  <c r="AU493" i="2"/>
  <c r="K494" i="2"/>
  <c r="AL494" i="2"/>
  <c r="BG494" i="2"/>
  <c r="AA495" i="2"/>
  <c r="AV495" i="2"/>
  <c r="N496" i="2"/>
  <c r="AH496" i="2"/>
  <c r="BB496" i="2"/>
  <c r="T497" i="2"/>
  <c r="AN497" i="2"/>
  <c r="BH497" i="2"/>
  <c r="V498" i="2"/>
  <c r="AN498" i="2"/>
  <c r="BD498" i="2"/>
  <c r="N499" i="2"/>
  <c r="AD499" i="2"/>
  <c r="AT499" i="2"/>
  <c r="D500" i="2"/>
  <c r="T500" i="2"/>
  <c r="AJ500" i="2"/>
  <c r="AZ500" i="2"/>
  <c r="J501" i="2"/>
  <c r="Z501" i="2"/>
  <c r="AP501" i="2"/>
  <c r="BF501" i="2"/>
  <c r="P502" i="2"/>
  <c r="AF502" i="2"/>
  <c r="AV502" i="2"/>
  <c r="F503" i="2"/>
  <c r="V503" i="2"/>
  <c r="AL503" i="2"/>
  <c r="BB503" i="2"/>
  <c r="L504" i="2"/>
  <c r="AB504" i="2"/>
  <c r="AR504" i="2"/>
  <c r="BH504" i="2"/>
  <c r="R505" i="2"/>
  <c r="AH505" i="2"/>
  <c r="AX505" i="2"/>
  <c r="H506" i="2"/>
  <c r="X506" i="2"/>
  <c r="AN506" i="2"/>
  <c r="BD506" i="2"/>
  <c r="N507" i="2"/>
  <c r="AD507" i="2"/>
  <c r="L400" i="2"/>
  <c r="T416" i="2"/>
  <c r="AU424" i="2"/>
  <c r="AD431" i="2"/>
  <c r="K437" i="2"/>
  <c r="I442" i="2"/>
  <c r="P446" i="2"/>
  <c r="N449" i="2"/>
  <c r="AI451" i="2"/>
  <c r="AU453" i="2"/>
  <c r="BG455" i="2"/>
  <c r="D458" i="2"/>
  <c r="BA459" i="2"/>
  <c r="AB461" i="2"/>
  <c r="C463" i="2"/>
  <c r="T464" i="2"/>
  <c r="AH465" i="2"/>
  <c r="AX466" i="2"/>
  <c r="F468" i="2"/>
  <c r="U469" i="2"/>
  <c r="AD470" i="2"/>
  <c r="AJ471" i="2"/>
  <c r="AG472" i="2"/>
  <c r="Z473" i="2"/>
  <c r="R474" i="2"/>
  <c r="I475" i="2"/>
  <c r="BH475" i="2"/>
  <c r="BE476" i="2"/>
  <c r="AW477" i="2"/>
  <c r="AD478" i="2"/>
  <c r="N479" i="2"/>
  <c r="AW479" i="2"/>
  <c r="AF480" i="2"/>
  <c r="I481" i="2"/>
  <c r="AO481" i="2"/>
  <c r="L482" i="2"/>
  <c r="AL482" i="2"/>
  <c r="H483" i="2"/>
  <c r="AL483" i="2"/>
  <c r="I484" i="2"/>
  <c r="AM484" i="2"/>
  <c r="E485" i="2"/>
  <c r="AI485" i="2"/>
  <c r="G486" i="2"/>
  <c r="AJ486" i="2"/>
  <c r="D487" i="2"/>
  <c r="AF487" i="2"/>
  <c r="D488" i="2"/>
  <c r="AF488" i="2"/>
  <c r="BB488" i="2"/>
  <c r="X489" i="2"/>
  <c r="AV489" i="2"/>
  <c r="P490" i="2"/>
  <c r="AR490" i="2"/>
  <c r="H491" i="2"/>
  <c r="AJ491" i="2"/>
  <c r="BH491" i="2"/>
  <c r="AB492" i="2"/>
  <c r="BD492" i="2"/>
  <c r="T493" i="2"/>
  <c r="AV493" i="2"/>
  <c r="N494" i="2"/>
  <c r="AM494" i="2"/>
  <c r="D495" i="2"/>
  <c r="AB495" i="2"/>
  <c r="AW495" i="2"/>
  <c r="O496" i="2"/>
  <c r="AI496" i="2"/>
  <c r="BC496" i="2"/>
  <c r="U497" i="2"/>
  <c r="AO497" i="2"/>
  <c r="C498" i="2"/>
  <c r="X498" i="2"/>
  <c r="AO498" i="2"/>
  <c r="BE498" i="2"/>
  <c r="O499" i="2"/>
  <c r="AE499" i="2"/>
  <c r="AU499" i="2"/>
  <c r="E500" i="2"/>
  <c r="U500" i="2"/>
  <c r="AK500" i="2"/>
  <c r="BA500" i="2"/>
  <c r="K501" i="2"/>
  <c r="AA501" i="2"/>
  <c r="AQ501" i="2"/>
  <c r="BG501" i="2"/>
  <c r="Q502" i="2"/>
  <c r="AG502" i="2"/>
  <c r="AW502" i="2"/>
  <c r="G503" i="2"/>
  <c r="W503" i="2"/>
  <c r="AM503" i="2"/>
  <c r="BC503" i="2"/>
  <c r="M504" i="2"/>
  <c r="AC504" i="2"/>
  <c r="AS504" i="2"/>
  <c r="C505" i="2"/>
  <c r="S505" i="2"/>
  <c r="AI505" i="2"/>
  <c r="AY505" i="2"/>
  <c r="I506" i="2"/>
  <c r="Y506" i="2"/>
  <c r="AO506" i="2"/>
  <c r="BE506" i="2"/>
  <c r="O507" i="2"/>
  <c r="AE507" i="2"/>
  <c r="AU507" i="2"/>
  <c r="E508" i="2"/>
  <c r="U508" i="2"/>
  <c r="AK508" i="2"/>
  <c r="BA508" i="2"/>
  <c r="K509" i="2"/>
  <c r="AA509" i="2"/>
  <c r="AQ509" i="2"/>
  <c r="BG509" i="2"/>
  <c r="Q510" i="2"/>
  <c r="AG510" i="2"/>
  <c r="AW510" i="2"/>
  <c r="G511" i="2"/>
  <c r="AM403" i="2"/>
  <c r="AJ417" i="2"/>
  <c r="BA425" i="2"/>
  <c r="T432" i="2"/>
  <c r="BA437" i="2"/>
  <c r="AS442" i="2"/>
  <c r="AU446" i="2"/>
  <c r="AH449" i="2"/>
  <c r="BG451" i="2"/>
  <c r="M454" i="2"/>
  <c r="X456" i="2"/>
  <c r="U458" i="2"/>
  <c r="I460" i="2"/>
  <c r="AQ461" i="2"/>
  <c r="P463" i="2"/>
  <c r="AD464" i="2"/>
  <c r="AT465" i="2"/>
  <c r="C467" i="2"/>
  <c r="R468" i="2"/>
  <c r="AF469" i="2"/>
  <c r="AN470" i="2"/>
  <c r="AQ471" i="2"/>
  <c r="AJ472" i="2"/>
  <c r="AB473" i="2"/>
  <c r="S474" i="2"/>
  <c r="L475" i="2"/>
  <c r="I476" i="2"/>
  <c r="BH476" i="2"/>
  <c r="AX477" i="2"/>
  <c r="AK478" i="2"/>
  <c r="P479" i="2"/>
  <c r="AZ479" i="2"/>
  <c r="AG480" i="2"/>
  <c r="J481" i="2"/>
  <c r="AP481" i="2"/>
  <c r="M482" i="2"/>
  <c r="AQ482" i="2"/>
  <c r="I483" i="2"/>
  <c r="AM483" i="2"/>
  <c r="K484" i="2"/>
  <c r="AN484" i="2"/>
  <c r="H485" i="2"/>
  <c r="AJ485" i="2"/>
  <c r="H486" i="2"/>
  <c r="AK486" i="2"/>
  <c r="I487" i="2"/>
  <c r="AG487" i="2"/>
  <c r="E488" i="2"/>
  <c r="AG488" i="2"/>
  <c r="BC488" i="2"/>
  <c r="Y489" i="2"/>
  <c r="BA489" i="2"/>
  <c r="Q490" i="2"/>
  <c r="AS490" i="2"/>
  <c r="I491" i="2"/>
  <c r="AK491" i="2"/>
  <c r="G492" i="2"/>
  <c r="AC492" i="2"/>
  <c r="BE492" i="2"/>
  <c r="U493" i="2"/>
  <c r="AW493" i="2"/>
  <c r="S494" i="2"/>
  <c r="AN494" i="2"/>
  <c r="H495" i="2"/>
  <c r="AC495" i="2"/>
  <c r="AZ495" i="2"/>
  <c r="P496" i="2"/>
  <c r="AJ496" i="2"/>
  <c r="BF496" i="2"/>
  <c r="V497" i="2"/>
  <c r="AP497" i="2"/>
  <c r="E498" i="2"/>
  <c r="Y498" i="2"/>
  <c r="AP498" i="2"/>
  <c r="BF498" i="2"/>
  <c r="P499" i="2"/>
  <c r="AF499" i="2"/>
  <c r="AV499" i="2"/>
  <c r="F500" i="2"/>
  <c r="V500" i="2"/>
  <c r="AL500" i="2"/>
  <c r="BB500" i="2"/>
  <c r="L501" i="2"/>
  <c r="AB501" i="2"/>
  <c r="AR501" i="2"/>
  <c r="BH501" i="2"/>
  <c r="R502" i="2"/>
  <c r="AH502" i="2"/>
  <c r="AX502" i="2"/>
  <c r="H503" i="2"/>
  <c r="X503" i="2"/>
  <c r="AN503" i="2"/>
  <c r="BD503" i="2"/>
  <c r="N504" i="2"/>
  <c r="AD504" i="2"/>
  <c r="AT504" i="2"/>
  <c r="D505" i="2"/>
  <c r="T505" i="2"/>
  <c r="AJ505" i="2"/>
  <c r="AZ505" i="2"/>
  <c r="J506" i="2"/>
  <c r="Z506" i="2"/>
  <c r="AP506" i="2"/>
  <c r="BF506" i="2"/>
  <c r="P507" i="2"/>
  <c r="AF507" i="2"/>
  <c r="AV507" i="2"/>
  <c r="F508" i="2"/>
  <c r="V508" i="2"/>
  <c r="AL508" i="2"/>
  <c r="BB508" i="2"/>
  <c r="L509" i="2"/>
  <c r="AB509" i="2"/>
  <c r="AR509" i="2"/>
  <c r="BH509" i="2"/>
  <c r="R510" i="2"/>
  <c r="AH510" i="2"/>
  <c r="AX510" i="2"/>
  <c r="H511" i="2"/>
  <c r="X511" i="2"/>
  <c r="AN511" i="2"/>
  <c r="BD511" i="2"/>
  <c r="N512" i="2"/>
  <c r="AD512" i="2"/>
  <c r="AT512" i="2"/>
  <c r="D513" i="2"/>
  <c r="T513" i="2"/>
  <c r="AJ513" i="2"/>
  <c r="AZ513" i="2"/>
  <c r="J514" i="2"/>
  <c r="Z514" i="2"/>
  <c r="AP514" i="2"/>
  <c r="AO404" i="2"/>
  <c r="C452" i="2"/>
  <c r="AV465" i="2"/>
  <c r="V474" i="2"/>
  <c r="AI480" i="2"/>
  <c r="AO484" i="2"/>
  <c r="AH488" i="2"/>
  <c r="H492" i="2"/>
  <c r="AD495" i="2"/>
  <c r="Z498" i="2"/>
  <c r="AM500" i="2"/>
  <c r="AY502" i="2"/>
  <c r="E505" i="2"/>
  <c r="Q507" i="2"/>
  <c r="AZ508" i="2"/>
  <c r="S510" i="2"/>
  <c r="AM511" i="2"/>
  <c r="AS512" i="2"/>
  <c r="AY513" i="2"/>
  <c r="AR514" i="2"/>
  <c r="AF515" i="2"/>
  <c r="T516" i="2"/>
  <c r="BD516" i="2"/>
  <c r="AQ517" i="2"/>
  <c r="S518" i="2"/>
  <c r="D519" i="2"/>
  <c r="AL519" i="2"/>
  <c r="N520" i="2"/>
  <c r="AV520" i="2"/>
  <c r="AG521" i="2"/>
  <c r="H522" i="2"/>
  <c r="AN522" i="2"/>
  <c r="N523" i="2"/>
  <c r="AT523" i="2"/>
  <c r="T524" i="2"/>
  <c r="AY524" i="2"/>
  <c r="V525" i="2"/>
  <c r="AR525" i="2"/>
  <c r="N526" i="2"/>
  <c r="AJ526" i="2"/>
  <c r="E527" i="2"/>
  <c r="Z527" i="2"/>
  <c r="AZ527" i="2"/>
  <c r="O528" i="2"/>
  <c r="AO528" i="2"/>
  <c r="D529" i="2"/>
  <c r="AD529" i="2"/>
  <c r="AX529" i="2"/>
  <c r="L530" i="2"/>
  <c r="AJ530" i="2"/>
  <c r="BD530" i="2"/>
  <c r="R531" i="2"/>
  <c r="AP531" i="2"/>
  <c r="D532" i="2"/>
  <c r="X532" i="2"/>
  <c r="AV532" i="2"/>
  <c r="J533" i="2"/>
  <c r="AD533" i="2"/>
  <c r="AY533" i="2"/>
  <c r="M534" i="2"/>
  <c r="AE534" i="2"/>
  <c r="AW534" i="2"/>
  <c r="H535" i="2"/>
  <c r="Y535" i="2"/>
  <c r="AP535" i="2"/>
  <c r="BG535" i="2"/>
  <c r="S536" i="2"/>
  <c r="AJ536" i="2"/>
  <c r="AZ536" i="2"/>
  <c r="J537" i="2"/>
  <c r="Z537" i="2"/>
  <c r="AP537" i="2"/>
  <c r="BF537" i="2"/>
  <c r="P538" i="2"/>
  <c r="AF538" i="2"/>
  <c r="AV538" i="2"/>
  <c r="F539" i="2"/>
  <c r="V539" i="2"/>
  <c r="AL539" i="2"/>
  <c r="BB539" i="2"/>
  <c r="L540" i="2"/>
  <c r="AB540" i="2"/>
  <c r="AR540" i="2"/>
  <c r="BH540" i="2"/>
  <c r="R541" i="2"/>
  <c r="AH541" i="2"/>
  <c r="AX541" i="2"/>
  <c r="H542" i="2"/>
  <c r="X542" i="2"/>
  <c r="AN542" i="2"/>
  <c r="BD542" i="2"/>
  <c r="N543" i="2"/>
  <c r="AD543" i="2"/>
  <c r="AT543" i="2"/>
  <c r="D544" i="2"/>
  <c r="T544" i="2"/>
  <c r="AJ544" i="2"/>
  <c r="AZ544" i="2"/>
  <c r="J545" i="2"/>
  <c r="Z545" i="2"/>
  <c r="AP545" i="2"/>
  <c r="BF545" i="2"/>
  <c r="P546" i="2"/>
  <c r="AF546" i="2"/>
  <c r="AV546" i="2"/>
  <c r="F547" i="2"/>
  <c r="V547" i="2"/>
  <c r="AL547" i="2"/>
  <c r="BB547" i="2"/>
  <c r="L548" i="2"/>
  <c r="AB548" i="2"/>
  <c r="AR548" i="2"/>
  <c r="BH548" i="2"/>
  <c r="R549" i="2"/>
  <c r="AH549" i="2"/>
  <c r="AX549" i="2"/>
  <c r="H550" i="2"/>
  <c r="X550" i="2"/>
  <c r="AN550" i="2"/>
  <c r="BD550" i="2"/>
  <c r="N551" i="2"/>
  <c r="AD551" i="2"/>
  <c r="AT551" i="2"/>
  <c r="D552" i="2"/>
  <c r="T552" i="2"/>
  <c r="AJ552" i="2"/>
  <c r="AZ552" i="2"/>
  <c r="J553" i="2"/>
  <c r="Z553" i="2"/>
  <c r="AP553" i="2"/>
  <c r="BF553" i="2"/>
  <c r="P554" i="2"/>
  <c r="AF554" i="2"/>
  <c r="AV554" i="2"/>
  <c r="F555" i="2"/>
  <c r="V555" i="2"/>
  <c r="AL555" i="2"/>
  <c r="BB555" i="2"/>
  <c r="L556" i="2"/>
  <c r="AB556" i="2"/>
  <c r="AR556" i="2"/>
  <c r="BH556" i="2"/>
  <c r="R557" i="2"/>
  <c r="AH557" i="2"/>
  <c r="AX557" i="2"/>
  <c r="H558" i="2"/>
  <c r="X558" i="2"/>
  <c r="AN558" i="2"/>
  <c r="BD558" i="2"/>
  <c r="V549" i="2"/>
  <c r="AN552" i="2"/>
  <c r="D554" i="2"/>
  <c r="Z555" i="2"/>
  <c r="P556" i="2"/>
  <c r="AV556" i="2"/>
  <c r="AL557" i="2"/>
  <c r="L558" i="2"/>
  <c r="K547" i="2"/>
  <c r="AW548" i="2"/>
  <c r="AS550" i="2"/>
  <c r="I552" i="2"/>
  <c r="AE553" i="2"/>
  <c r="U554" i="2"/>
  <c r="AQ555" i="2"/>
  <c r="AW556" i="2"/>
  <c r="BC557" i="2"/>
  <c r="BE557" i="2"/>
  <c r="AP404" i="2"/>
  <c r="D452" i="2"/>
  <c r="AW465" i="2"/>
  <c r="AC474" i="2"/>
  <c r="AJ480" i="2"/>
  <c r="AQ484" i="2"/>
  <c r="AI488" i="2"/>
  <c r="I492" i="2"/>
  <c r="AE495" i="2"/>
  <c r="AA498" i="2"/>
  <c r="AN500" i="2"/>
  <c r="AZ502" i="2"/>
  <c r="F505" i="2"/>
  <c r="R507" i="2"/>
  <c r="BC508" i="2"/>
  <c r="T510" i="2"/>
  <c r="AO511" i="2"/>
  <c r="AU512" i="2"/>
  <c r="BA513" i="2"/>
  <c r="BC514" i="2"/>
  <c r="AG515" i="2"/>
  <c r="U516" i="2"/>
  <c r="I517" i="2"/>
  <c r="AR517" i="2"/>
  <c r="T518" i="2"/>
  <c r="E519" i="2"/>
  <c r="AM519" i="2"/>
  <c r="O520" i="2"/>
  <c r="BF520" i="2"/>
  <c r="AH521" i="2"/>
  <c r="I522" i="2"/>
  <c r="AO522" i="2"/>
  <c r="O523" i="2"/>
  <c r="AU523" i="2"/>
  <c r="U524" i="2"/>
  <c r="AZ524" i="2"/>
  <c r="W525" i="2"/>
  <c r="AS525" i="2"/>
  <c r="O526" i="2"/>
  <c r="AM526" i="2"/>
  <c r="F527" i="2"/>
  <c r="AC527" i="2"/>
  <c r="BA527" i="2"/>
  <c r="P528" i="2"/>
  <c r="AP528" i="2"/>
  <c r="E529" i="2"/>
  <c r="AE529" i="2"/>
  <c r="AY529" i="2"/>
  <c r="O530" i="2"/>
  <c r="AK530" i="2"/>
  <c r="BE530" i="2"/>
  <c r="U531" i="2"/>
  <c r="AQ531" i="2"/>
  <c r="E532" i="2"/>
  <c r="AA532" i="2"/>
  <c r="AW532" i="2"/>
  <c r="K533" i="2"/>
  <c r="AG533" i="2"/>
  <c r="BA533" i="2"/>
  <c r="N534" i="2"/>
  <c r="AF534" i="2"/>
  <c r="AX534" i="2"/>
  <c r="I535" i="2"/>
  <c r="Z535" i="2"/>
  <c r="AQ535" i="2"/>
  <c r="C536" i="2"/>
  <c r="T536" i="2"/>
  <c r="AK536" i="2"/>
  <c r="BA536" i="2"/>
  <c r="K537" i="2"/>
  <c r="AA537" i="2"/>
  <c r="AQ537" i="2"/>
  <c r="BG537" i="2"/>
  <c r="Q538" i="2"/>
  <c r="AG538" i="2"/>
  <c r="AW538" i="2"/>
  <c r="G539" i="2"/>
  <c r="W539" i="2"/>
  <c r="AM539" i="2"/>
  <c r="BC539" i="2"/>
  <c r="M540" i="2"/>
  <c r="AC540" i="2"/>
  <c r="AS540" i="2"/>
  <c r="C541" i="2"/>
  <c r="S541" i="2"/>
  <c r="AI541" i="2"/>
  <c r="AY541" i="2"/>
  <c r="I542" i="2"/>
  <c r="Y542" i="2"/>
  <c r="AO542" i="2"/>
  <c r="BE542" i="2"/>
  <c r="O543" i="2"/>
  <c r="AE543" i="2"/>
  <c r="AU543" i="2"/>
  <c r="E544" i="2"/>
  <c r="U544" i="2"/>
  <c r="AK544" i="2"/>
  <c r="BA544" i="2"/>
  <c r="K545" i="2"/>
  <c r="AA545" i="2"/>
  <c r="AQ545" i="2"/>
  <c r="BG545" i="2"/>
  <c r="Q546" i="2"/>
  <c r="AG546" i="2"/>
  <c r="AW546" i="2"/>
  <c r="G547" i="2"/>
  <c r="W547" i="2"/>
  <c r="AM547" i="2"/>
  <c r="BC547" i="2"/>
  <c r="M548" i="2"/>
  <c r="AC548" i="2"/>
  <c r="AS548" i="2"/>
  <c r="C549" i="2"/>
  <c r="S549" i="2"/>
  <c r="AI549" i="2"/>
  <c r="AY549" i="2"/>
  <c r="I550" i="2"/>
  <c r="Y550" i="2"/>
  <c r="AO550" i="2"/>
  <c r="BE550" i="2"/>
  <c r="O551" i="2"/>
  <c r="AE551" i="2"/>
  <c r="AU551" i="2"/>
  <c r="E552" i="2"/>
  <c r="U552" i="2"/>
  <c r="AK552" i="2"/>
  <c r="BA552" i="2"/>
  <c r="K553" i="2"/>
  <c r="AA553" i="2"/>
  <c r="AQ553" i="2"/>
  <c r="BG553" i="2"/>
  <c r="Q554" i="2"/>
  <c r="AG554" i="2"/>
  <c r="AW554" i="2"/>
  <c r="G555" i="2"/>
  <c r="W555" i="2"/>
  <c r="AM555" i="2"/>
  <c r="BC555" i="2"/>
  <c r="M556" i="2"/>
  <c r="AC556" i="2"/>
  <c r="AS556" i="2"/>
  <c r="C557" i="2"/>
  <c r="S557" i="2"/>
  <c r="AI557" i="2"/>
  <c r="AY557" i="2"/>
  <c r="I558" i="2"/>
  <c r="Y558" i="2"/>
  <c r="AO558" i="2"/>
  <c r="BE558" i="2"/>
  <c r="F549" i="2"/>
  <c r="AX551" i="2"/>
  <c r="AT553" i="2"/>
  <c r="AJ554" i="2"/>
  <c r="AP555" i="2"/>
  <c r="V557" i="2"/>
  <c r="AR558" i="2"/>
  <c r="AA547" i="2"/>
  <c r="G549" i="2"/>
  <c r="BC549" i="2"/>
  <c r="AY551" i="2"/>
  <c r="AO552" i="2"/>
  <c r="AU553" i="2"/>
  <c r="BA554" i="2"/>
  <c r="AG556" i="2"/>
  <c r="AM557" i="2"/>
  <c r="AE558" i="2"/>
  <c r="BF417" i="2"/>
  <c r="O454" i="2"/>
  <c r="F467" i="2"/>
  <c r="S475" i="2"/>
  <c r="K481" i="2"/>
  <c r="M485" i="2"/>
  <c r="BF488" i="2"/>
  <c r="AD492" i="2"/>
  <c r="BB495" i="2"/>
  <c r="AQ498" i="2"/>
  <c r="BC500" i="2"/>
  <c r="I503" i="2"/>
  <c r="U505" i="2"/>
  <c r="AG507" i="2"/>
  <c r="BD508" i="2"/>
  <c r="AF510" i="2"/>
  <c r="AP511" i="2"/>
  <c r="AV512" i="2"/>
  <c r="BB513" i="2"/>
  <c r="BD514" i="2"/>
  <c r="AH515" i="2"/>
  <c r="V516" i="2"/>
  <c r="J517" i="2"/>
  <c r="AS517" i="2"/>
  <c r="AD518" i="2"/>
  <c r="F519" i="2"/>
  <c r="AN519" i="2"/>
  <c r="P520" i="2"/>
  <c r="BG520" i="2"/>
  <c r="AI521" i="2"/>
  <c r="J522" i="2"/>
  <c r="AP522" i="2"/>
  <c r="P523" i="2"/>
  <c r="AV523" i="2"/>
  <c r="V524" i="2"/>
  <c r="BA524" i="2"/>
  <c r="X525" i="2"/>
  <c r="AT525" i="2"/>
  <c r="P526" i="2"/>
  <c r="AR526" i="2"/>
  <c r="G527" i="2"/>
  <c r="AG527" i="2"/>
  <c r="BB527" i="2"/>
  <c r="S528" i="2"/>
  <c r="AQ528" i="2"/>
  <c r="F529" i="2"/>
  <c r="AF529" i="2"/>
  <c r="AZ529" i="2"/>
  <c r="Q530" i="2"/>
  <c r="AL530" i="2"/>
  <c r="BF530" i="2"/>
  <c r="W531" i="2"/>
  <c r="AR531" i="2"/>
  <c r="F532" i="2"/>
  <c r="AC532" i="2"/>
  <c r="AX532" i="2"/>
  <c r="L533" i="2"/>
  <c r="AH533" i="2"/>
  <c r="BB533" i="2"/>
  <c r="O534" i="2"/>
  <c r="AG534" i="2"/>
  <c r="AY534" i="2"/>
  <c r="J535" i="2"/>
  <c r="AA535" i="2"/>
  <c r="AS535" i="2"/>
  <c r="D536" i="2"/>
  <c r="U536" i="2"/>
  <c r="AL536" i="2"/>
  <c r="BB536" i="2"/>
  <c r="L537" i="2"/>
  <c r="AB537" i="2"/>
  <c r="AR537" i="2"/>
  <c r="BH537" i="2"/>
  <c r="R538" i="2"/>
  <c r="AH538" i="2"/>
  <c r="AX538" i="2"/>
  <c r="H539" i="2"/>
  <c r="X539" i="2"/>
  <c r="AN539" i="2"/>
  <c r="BD539" i="2"/>
  <c r="N540" i="2"/>
  <c r="AD540" i="2"/>
  <c r="AT540" i="2"/>
  <c r="D541" i="2"/>
  <c r="T541" i="2"/>
  <c r="AJ541" i="2"/>
  <c r="AZ541" i="2"/>
  <c r="J542" i="2"/>
  <c r="Z542" i="2"/>
  <c r="AP542" i="2"/>
  <c r="BF542" i="2"/>
  <c r="P543" i="2"/>
  <c r="AF543" i="2"/>
  <c r="AV543" i="2"/>
  <c r="F544" i="2"/>
  <c r="V544" i="2"/>
  <c r="AL544" i="2"/>
  <c r="BB544" i="2"/>
  <c r="L545" i="2"/>
  <c r="AB545" i="2"/>
  <c r="AR545" i="2"/>
  <c r="BH545" i="2"/>
  <c r="R546" i="2"/>
  <c r="AH546" i="2"/>
  <c r="AX546" i="2"/>
  <c r="H547" i="2"/>
  <c r="X547" i="2"/>
  <c r="AN547" i="2"/>
  <c r="BD547" i="2"/>
  <c r="N548" i="2"/>
  <c r="AD548" i="2"/>
  <c r="AT548" i="2"/>
  <c r="D549" i="2"/>
  <c r="T549" i="2"/>
  <c r="AJ549" i="2"/>
  <c r="AZ549" i="2"/>
  <c r="J550" i="2"/>
  <c r="Z550" i="2"/>
  <c r="AP550" i="2"/>
  <c r="BF550" i="2"/>
  <c r="P551" i="2"/>
  <c r="AF551" i="2"/>
  <c r="AV551" i="2"/>
  <c r="F552" i="2"/>
  <c r="V552" i="2"/>
  <c r="AL552" i="2"/>
  <c r="BB552" i="2"/>
  <c r="L553" i="2"/>
  <c r="AB553" i="2"/>
  <c r="AR553" i="2"/>
  <c r="BH553" i="2"/>
  <c r="R554" i="2"/>
  <c r="AH554" i="2"/>
  <c r="AX554" i="2"/>
  <c r="H555" i="2"/>
  <c r="X555" i="2"/>
  <c r="AN555" i="2"/>
  <c r="BD555" i="2"/>
  <c r="N556" i="2"/>
  <c r="AD556" i="2"/>
  <c r="AT556" i="2"/>
  <c r="D557" i="2"/>
  <c r="T557" i="2"/>
  <c r="AJ557" i="2"/>
  <c r="AZ557" i="2"/>
  <c r="J558" i="2"/>
  <c r="Z558" i="2"/>
  <c r="AP558" i="2"/>
  <c r="BF558" i="2"/>
  <c r="AL549" i="2"/>
  <c r="AH551" i="2"/>
  <c r="BD552" i="2"/>
  <c r="T554" i="2"/>
  <c r="BF555" i="2"/>
  <c r="F557" i="2"/>
  <c r="BH558" i="2"/>
  <c r="BG547" i="2"/>
  <c r="AM549" i="2"/>
  <c r="S551" i="2"/>
  <c r="BE552" i="2"/>
  <c r="E554" i="2"/>
  <c r="AA555" i="2"/>
  <c r="Q556" i="2"/>
  <c r="W557" i="2"/>
  <c r="AS558" i="2"/>
  <c r="O558" i="2"/>
  <c r="G418" i="2"/>
  <c r="P454" i="2"/>
  <c r="G467" i="2"/>
  <c r="V475" i="2"/>
  <c r="L481" i="2"/>
  <c r="N485" i="2"/>
  <c r="E489" i="2"/>
  <c r="AE492" i="2"/>
  <c r="BD495" i="2"/>
  <c r="AR498" i="2"/>
  <c r="BD500" i="2"/>
  <c r="J503" i="2"/>
  <c r="V505" i="2"/>
  <c r="AH507" i="2"/>
  <c r="J509" i="2"/>
  <c r="AI510" i="2"/>
  <c r="BB511" i="2"/>
  <c r="BH512" i="2"/>
  <c r="H514" i="2"/>
  <c r="BE514" i="2"/>
  <c r="AS515" i="2"/>
  <c r="W516" i="2"/>
  <c r="K517" i="2"/>
  <c r="AT517" i="2"/>
  <c r="AE518" i="2"/>
  <c r="G519" i="2"/>
  <c r="AO519" i="2"/>
  <c r="Z520" i="2"/>
  <c r="BH520" i="2"/>
  <c r="AJ521" i="2"/>
  <c r="K522" i="2"/>
  <c r="AQ522" i="2"/>
  <c r="Q523" i="2"/>
  <c r="AW523" i="2"/>
  <c r="W524" i="2"/>
  <c r="BB524" i="2"/>
  <c r="Y525" i="2"/>
  <c r="AW525" i="2"/>
  <c r="Q526" i="2"/>
  <c r="AS526" i="2"/>
  <c r="H527" i="2"/>
  <c r="AH527" i="2"/>
  <c r="BC527" i="2"/>
  <c r="W528" i="2"/>
  <c r="AR528" i="2"/>
  <c r="I529" i="2"/>
  <c r="AG529" i="2"/>
  <c r="BA529" i="2"/>
  <c r="S530" i="2"/>
  <c r="AM530" i="2"/>
  <c r="BG530" i="2"/>
  <c r="Y531" i="2"/>
  <c r="AS531" i="2"/>
  <c r="G532" i="2"/>
  <c r="AE532" i="2"/>
  <c r="AY532" i="2"/>
  <c r="M533" i="2"/>
  <c r="AI533" i="2"/>
  <c r="BC533" i="2"/>
  <c r="P534" i="2"/>
  <c r="AH534" i="2"/>
  <c r="AZ534" i="2"/>
  <c r="K535" i="2"/>
  <c r="AC535" i="2"/>
  <c r="AT535" i="2"/>
  <c r="E536" i="2"/>
  <c r="V536" i="2"/>
  <c r="AM536" i="2"/>
  <c r="BC536" i="2"/>
  <c r="M537" i="2"/>
  <c r="AC537" i="2"/>
  <c r="AS537" i="2"/>
  <c r="C538" i="2"/>
  <c r="S538" i="2"/>
  <c r="AI538" i="2"/>
  <c r="AY538" i="2"/>
  <c r="I539" i="2"/>
  <c r="Y539" i="2"/>
  <c r="AO539" i="2"/>
  <c r="BE539" i="2"/>
  <c r="O540" i="2"/>
  <c r="AE540" i="2"/>
  <c r="AU540" i="2"/>
  <c r="E541" i="2"/>
  <c r="U541" i="2"/>
  <c r="AK541" i="2"/>
  <c r="BA541" i="2"/>
  <c r="K542" i="2"/>
  <c r="AA542" i="2"/>
  <c r="AQ542" i="2"/>
  <c r="BG542" i="2"/>
  <c r="Q543" i="2"/>
  <c r="AG543" i="2"/>
  <c r="AW543" i="2"/>
  <c r="G544" i="2"/>
  <c r="W544" i="2"/>
  <c r="AM544" i="2"/>
  <c r="BC544" i="2"/>
  <c r="M545" i="2"/>
  <c r="AC545" i="2"/>
  <c r="AS545" i="2"/>
  <c r="C546" i="2"/>
  <c r="S546" i="2"/>
  <c r="AI546" i="2"/>
  <c r="AY546" i="2"/>
  <c r="I547" i="2"/>
  <c r="Y547" i="2"/>
  <c r="AO547" i="2"/>
  <c r="BE547" i="2"/>
  <c r="O548" i="2"/>
  <c r="AE548" i="2"/>
  <c r="AU548" i="2"/>
  <c r="E549" i="2"/>
  <c r="U549" i="2"/>
  <c r="AK549" i="2"/>
  <c r="BA549" i="2"/>
  <c r="K550" i="2"/>
  <c r="AA550" i="2"/>
  <c r="AQ550" i="2"/>
  <c r="BG550" i="2"/>
  <c r="Q551" i="2"/>
  <c r="AG551" i="2"/>
  <c r="AW551" i="2"/>
  <c r="G552" i="2"/>
  <c r="W552" i="2"/>
  <c r="AM552" i="2"/>
  <c r="BC552" i="2"/>
  <c r="M553" i="2"/>
  <c r="AC553" i="2"/>
  <c r="AS553" i="2"/>
  <c r="C554" i="2"/>
  <c r="S554" i="2"/>
  <c r="AI554" i="2"/>
  <c r="AY554" i="2"/>
  <c r="I555" i="2"/>
  <c r="Y555" i="2"/>
  <c r="AO555" i="2"/>
  <c r="BE555" i="2"/>
  <c r="O556" i="2"/>
  <c r="AE556" i="2"/>
  <c r="AU556" i="2"/>
  <c r="E557" i="2"/>
  <c r="U557" i="2"/>
  <c r="AK557" i="2"/>
  <c r="BA557" i="2"/>
  <c r="K558" i="2"/>
  <c r="AA558" i="2"/>
  <c r="AQ558" i="2"/>
  <c r="BG558" i="2"/>
  <c r="L550" i="2"/>
  <c r="X552" i="2"/>
  <c r="AD553" i="2"/>
  <c r="J555" i="2"/>
  <c r="BB557" i="2"/>
  <c r="AQ547" i="2"/>
  <c r="AG548" i="2"/>
  <c r="W549" i="2"/>
  <c r="M550" i="2"/>
  <c r="AC550" i="2"/>
  <c r="C551" i="2"/>
  <c r="AI551" i="2"/>
  <c r="O553" i="2"/>
  <c r="K555" i="2"/>
  <c r="G557" i="2"/>
  <c r="M558" i="2"/>
  <c r="AO557" i="2"/>
  <c r="P426" i="2"/>
  <c r="Z456" i="2"/>
  <c r="T468" i="2"/>
  <c r="L476" i="2"/>
  <c r="AQ481" i="2"/>
  <c r="AK485" i="2"/>
  <c r="Z489" i="2"/>
  <c r="BF492" i="2"/>
  <c r="Q496" i="2"/>
  <c r="BG498" i="2"/>
  <c r="M501" i="2"/>
  <c r="Y503" i="2"/>
  <c r="AK505" i="2"/>
  <c r="AT507" i="2"/>
  <c r="M509" i="2"/>
  <c r="AJ510" i="2"/>
  <c r="BC511" i="2"/>
  <c r="C513" i="2"/>
  <c r="I514" i="2"/>
  <c r="BF514" i="2"/>
  <c r="AT515" i="2"/>
  <c r="X516" i="2"/>
  <c r="L517" i="2"/>
  <c r="BD517" i="2"/>
  <c r="AF518" i="2"/>
  <c r="H519" i="2"/>
  <c r="AP519" i="2"/>
  <c r="AA520" i="2"/>
  <c r="C521" i="2"/>
  <c r="AK521" i="2"/>
  <c r="L522" i="2"/>
  <c r="AR522" i="2"/>
  <c r="R523" i="2"/>
  <c r="AX523" i="2"/>
  <c r="X524" i="2"/>
  <c r="BC524" i="2"/>
  <c r="Z525" i="2"/>
  <c r="BB525" i="2"/>
  <c r="R526" i="2"/>
  <c r="AT526" i="2"/>
  <c r="I527" i="2"/>
  <c r="AI527" i="2"/>
  <c r="BD527" i="2"/>
  <c r="X528" i="2"/>
  <c r="AS528" i="2"/>
  <c r="M529" i="2"/>
  <c r="AH529" i="2"/>
  <c r="BB529" i="2"/>
  <c r="T530" i="2"/>
  <c r="AN530" i="2"/>
  <c r="BH530" i="2"/>
  <c r="Z531" i="2"/>
  <c r="AT531" i="2"/>
  <c r="H532" i="2"/>
  <c r="AF532" i="2"/>
  <c r="AZ532" i="2"/>
  <c r="N533" i="2"/>
  <c r="AK533" i="2"/>
  <c r="BD533" i="2"/>
  <c r="Q534" i="2"/>
  <c r="AI534" i="2"/>
  <c r="BA534" i="2"/>
  <c r="M535" i="2"/>
  <c r="AD535" i="2"/>
  <c r="AU535" i="2"/>
  <c r="F536" i="2"/>
  <c r="W536" i="2"/>
  <c r="AN536" i="2"/>
  <c r="BD536" i="2"/>
  <c r="N537" i="2"/>
  <c r="AD537" i="2"/>
  <c r="AT537" i="2"/>
  <c r="D538" i="2"/>
  <c r="T538" i="2"/>
  <c r="AJ538" i="2"/>
  <c r="AZ538" i="2"/>
  <c r="J539" i="2"/>
  <c r="Z539" i="2"/>
  <c r="AP539" i="2"/>
  <c r="BF539" i="2"/>
  <c r="P540" i="2"/>
  <c r="AF540" i="2"/>
  <c r="AV540" i="2"/>
  <c r="F541" i="2"/>
  <c r="V541" i="2"/>
  <c r="AL541" i="2"/>
  <c r="BB541" i="2"/>
  <c r="L542" i="2"/>
  <c r="AB542" i="2"/>
  <c r="AR542" i="2"/>
  <c r="BH542" i="2"/>
  <c r="R543" i="2"/>
  <c r="AH543" i="2"/>
  <c r="AX543" i="2"/>
  <c r="H544" i="2"/>
  <c r="X544" i="2"/>
  <c r="AN544" i="2"/>
  <c r="BD544" i="2"/>
  <c r="N545" i="2"/>
  <c r="AD545" i="2"/>
  <c r="AT545" i="2"/>
  <c r="D546" i="2"/>
  <c r="T546" i="2"/>
  <c r="AJ546" i="2"/>
  <c r="AZ546" i="2"/>
  <c r="J547" i="2"/>
  <c r="Z547" i="2"/>
  <c r="AP547" i="2"/>
  <c r="BF547" i="2"/>
  <c r="P548" i="2"/>
  <c r="AF548" i="2"/>
  <c r="AV548" i="2"/>
  <c r="BB549" i="2"/>
  <c r="AB550" i="2"/>
  <c r="AR550" i="2"/>
  <c r="BH550" i="2"/>
  <c r="R551" i="2"/>
  <c r="H552" i="2"/>
  <c r="N553" i="2"/>
  <c r="AZ554" i="2"/>
  <c r="AF556" i="2"/>
  <c r="AB558" i="2"/>
  <c r="Q548" i="2"/>
  <c r="Y552" i="2"/>
  <c r="AK554" i="2"/>
  <c r="BG555" i="2"/>
  <c r="AC558" i="2"/>
  <c r="V426" i="2"/>
  <c r="AA456" i="2"/>
  <c r="U468" i="2"/>
  <c r="N476" i="2"/>
  <c r="AR481" i="2"/>
  <c r="AN485" i="2"/>
  <c r="AA489" i="2"/>
  <c r="BG492" i="2"/>
  <c r="R496" i="2"/>
  <c r="BH498" i="2"/>
  <c r="N501" i="2"/>
  <c r="Z503" i="2"/>
  <c r="AL505" i="2"/>
  <c r="AW507" i="2"/>
  <c r="N509" i="2"/>
  <c r="AV510" i="2"/>
  <c r="BE511" i="2"/>
  <c r="E513" i="2"/>
  <c r="K514" i="2"/>
  <c r="BG514" i="2"/>
  <c r="AU515" i="2"/>
  <c r="AI516" i="2"/>
  <c r="M517" i="2"/>
  <c r="BE517" i="2"/>
  <c r="AG518" i="2"/>
  <c r="I519" i="2"/>
  <c r="AZ519" i="2"/>
  <c r="AB520" i="2"/>
  <c r="D521" i="2"/>
  <c r="AL521" i="2"/>
  <c r="U522" i="2"/>
  <c r="BA522" i="2"/>
  <c r="AA523" i="2"/>
  <c r="BG523" i="2"/>
  <c r="AG524" i="2"/>
  <c r="BD524" i="2"/>
  <c r="AA525" i="2"/>
  <c r="BC525" i="2"/>
  <c r="S526" i="2"/>
  <c r="AU526" i="2"/>
  <c r="J527" i="2"/>
  <c r="AJ527" i="2"/>
  <c r="BE527" i="2"/>
  <c r="Y528" i="2"/>
  <c r="AT528" i="2"/>
  <c r="N529" i="2"/>
  <c r="AI529" i="2"/>
  <c r="BE529" i="2"/>
  <c r="U530" i="2"/>
  <c r="AO530" i="2"/>
  <c r="E531" i="2"/>
  <c r="AA531" i="2"/>
  <c r="AU531" i="2"/>
  <c r="K532" i="2"/>
  <c r="AG532" i="2"/>
  <c r="BA532" i="2"/>
  <c r="Q533" i="2"/>
  <c r="AL533" i="2"/>
  <c r="BE533" i="2"/>
  <c r="R534" i="2"/>
  <c r="AJ534" i="2"/>
  <c r="BC534" i="2"/>
  <c r="N535" i="2"/>
  <c r="AE535" i="2"/>
  <c r="AV535" i="2"/>
  <c r="G536" i="2"/>
  <c r="X536" i="2"/>
  <c r="AO536" i="2"/>
  <c r="BE536" i="2"/>
  <c r="O537" i="2"/>
  <c r="AE537" i="2"/>
  <c r="AU537" i="2"/>
  <c r="E538" i="2"/>
  <c r="U538" i="2"/>
  <c r="AK538" i="2"/>
  <c r="BA538" i="2"/>
  <c r="K539" i="2"/>
  <c r="AA539" i="2"/>
  <c r="AQ539" i="2"/>
  <c r="BG539" i="2"/>
  <c r="Q540" i="2"/>
  <c r="AG540" i="2"/>
  <c r="AW540" i="2"/>
  <c r="G541" i="2"/>
  <c r="W541" i="2"/>
  <c r="AM541" i="2"/>
  <c r="BC541" i="2"/>
  <c r="M542" i="2"/>
  <c r="AC542" i="2"/>
  <c r="AS542" i="2"/>
  <c r="C543" i="2"/>
  <c r="S543" i="2"/>
  <c r="AI543" i="2"/>
  <c r="AY543" i="2"/>
  <c r="I544" i="2"/>
  <c r="Y544" i="2"/>
  <c r="AO544" i="2"/>
  <c r="BE544" i="2"/>
  <c r="O545" i="2"/>
  <c r="AE545" i="2"/>
  <c r="AU545" i="2"/>
  <c r="E546" i="2"/>
  <c r="U546" i="2"/>
  <c r="AK546" i="2"/>
  <c r="BA546" i="2"/>
  <c r="AJ432" i="2"/>
  <c r="W458" i="2"/>
  <c r="AH469" i="2"/>
  <c r="D477" i="2"/>
  <c r="O482" i="2"/>
  <c r="I486" i="2"/>
  <c r="BB489" i="2"/>
  <c r="X493" i="2"/>
  <c r="AK496" i="2"/>
  <c r="Q499" i="2"/>
  <c r="AC501" i="2"/>
  <c r="AO503" i="2"/>
  <c r="BA505" i="2"/>
  <c r="AX507" i="2"/>
  <c r="Z509" i="2"/>
  <c r="AY510" i="2"/>
  <c r="BF511" i="2"/>
  <c r="F513" i="2"/>
  <c r="L514" i="2"/>
  <c r="BH514" i="2"/>
  <c r="AV515" i="2"/>
  <c r="AJ516" i="2"/>
  <c r="N517" i="2"/>
  <c r="BF517" i="2"/>
  <c r="AH518" i="2"/>
  <c r="J519" i="2"/>
  <c r="BA519" i="2"/>
  <c r="AC520" i="2"/>
  <c r="E521" i="2"/>
  <c r="AV521" i="2"/>
  <c r="V522" i="2"/>
  <c r="BB522" i="2"/>
  <c r="AB523" i="2"/>
  <c r="BH523" i="2"/>
  <c r="AH524" i="2"/>
  <c r="BG524" i="2"/>
  <c r="AB525" i="2"/>
  <c r="BD525" i="2"/>
  <c r="T526" i="2"/>
  <c r="AV526" i="2"/>
  <c r="M527" i="2"/>
  <c r="AK527" i="2"/>
  <c r="BF527" i="2"/>
  <c r="Z528" i="2"/>
  <c r="AU528" i="2"/>
  <c r="O529" i="2"/>
  <c r="AJ529" i="2"/>
  <c r="BG529" i="2"/>
  <c r="V530" i="2"/>
  <c r="AP530" i="2"/>
  <c r="G531" i="2"/>
  <c r="AB531" i="2"/>
  <c r="AV531" i="2"/>
  <c r="M532" i="2"/>
  <c r="AH532" i="2"/>
  <c r="BB532" i="2"/>
  <c r="S533" i="2"/>
  <c r="AM533" i="2"/>
  <c r="BF533" i="2"/>
  <c r="S534" i="2"/>
  <c r="AM534" i="2"/>
  <c r="BD534" i="2"/>
  <c r="O535" i="2"/>
  <c r="AF535" i="2"/>
  <c r="AW535" i="2"/>
  <c r="H536" i="2"/>
  <c r="Y536" i="2"/>
  <c r="AP536" i="2"/>
  <c r="BF536" i="2"/>
  <c r="P537" i="2"/>
  <c r="AF537" i="2"/>
  <c r="AV537" i="2"/>
  <c r="F538" i="2"/>
  <c r="V538" i="2"/>
  <c r="AL538" i="2"/>
  <c r="BB538" i="2"/>
  <c r="L539" i="2"/>
  <c r="AB539" i="2"/>
  <c r="AR539" i="2"/>
  <c r="BH539" i="2"/>
  <c r="R540" i="2"/>
  <c r="AH540" i="2"/>
  <c r="AX540" i="2"/>
  <c r="H541" i="2"/>
  <c r="X541" i="2"/>
  <c r="AN541" i="2"/>
  <c r="BD541" i="2"/>
  <c r="N542" i="2"/>
  <c r="AD542" i="2"/>
  <c r="AT542" i="2"/>
  <c r="D543" i="2"/>
  <c r="T543" i="2"/>
  <c r="AJ543" i="2"/>
  <c r="AZ543" i="2"/>
  <c r="J544" i="2"/>
  <c r="Z544" i="2"/>
  <c r="AP544" i="2"/>
  <c r="BF544" i="2"/>
  <c r="P545" i="2"/>
  <c r="AF545" i="2"/>
  <c r="AV545" i="2"/>
  <c r="F546" i="2"/>
  <c r="V546" i="2"/>
  <c r="AL546" i="2"/>
  <c r="BB546" i="2"/>
  <c r="L547" i="2"/>
  <c r="AB547" i="2"/>
  <c r="AR547" i="2"/>
  <c r="BH547" i="2"/>
  <c r="R548" i="2"/>
  <c r="AH548" i="2"/>
  <c r="AX548" i="2"/>
  <c r="H549" i="2"/>
  <c r="X549" i="2"/>
  <c r="AN549" i="2"/>
  <c r="BD549" i="2"/>
  <c r="N550" i="2"/>
  <c r="AD550" i="2"/>
  <c r="AT550" i="2"/>
  <c r="D551" i="2"/>
  <c r="T551" i="2"/>
  <c r="AJ551" i="2"/>
  <c r="AZ551" i="2"/>
  <c r="J552" i="2"/>
  <c r="Z552" i="2"/>
  <c r="AP552" i="2"/>
  <c r="BF552" i="2"/>
  <c r="P553" i="2"/>
  <c r="AF553" i="2"/>
  <c r="AV553" i="2"/>
  <c r="F554" i="2"/>
  <c r="V554" i="2"/>
  <c r="AL554" i="2"/>
  <c r="BB554" i="2"/>
  <c r="L555" i="2"/>
  <c r="AB555" i="2"/>
  <c r="AR555" i="2"/>
  <c r="BH555" i="2"/>
  <c r="R556" i="2"/>
  <c r="AH556" i="2"/>
  <c r="AX556" i="2"/>
  <c r="H557" i="2"/>
  <c r="X557" i="2"/>
  <c r="AN557" i="2"/>
  <c r="BD557" i="2"/>
  <c r="N558" i="2"/>
  <c r="AD558" i="2"/>
  <c r="AT558" i="2"/>
  <c r="I557" i="2"/>
  <c r="AU558" i="2"/>
  <c r="AM432" i="2"/>
  <c r="X458" i="2"/>
  <c r="AI469" i="2"/>
  <c r="E477" i="2"/>
  <c r="P482" i="2"/>
  <c r="J486" i="2"/>
  <c r="BC489" i="2"/>
  <c r="AC493" i="2"/>
  <c r="AL496" i="2"/>
  <c r="R499" i="2"/>
  <c r="AD501" i="2"/>
  <c r="AP503" i="2"/>
  <c r="BB505" i="2"/>
  <c r="D508" i="2"/>
  <c r="AC509" i="2"/>
  <c r="AZ510" i="2"/>
  <c r="L512" i="2"/>
  <c r="R513" i="2"/>
  <c r="W514" i="2"/>
  <c r="M515" i="2"/>
  <c r="AW515" i="2"/>
  <c r="AK516" i="2"/>
  <c r="Y517" i="2"/>
  <c r="BG517" i="2"/>
  <c r="AI518" i="2"/>
  <c r="T519" i="2"/>
  <c r="BB519" i="2"/>
  <c r="AD520" i="2"/>
  <c r="F521" i="2"/>
  <c r="AW521" i="2"/>
  <c r="W522" i="2"/>
  <c r="BC522" i="2"/>
  <c r="AC523" i="2"/>
  <c r="C524" i="2"/>
  <c r="AI524" i="2"/>
  <c r="G525" i="2"/>
  <c r="AC525" i="2"/>
  <c r="BE525" i="2"/>
  <c r="W526" i="2"/>
  <c r="AW526" i="2"/>
  <c r="Q527" i="2"/>
  <c r="AL527" i="2"/>
  <c r="C528" i="2"/>
  <c r="AA528" i="2"/>
  <c r="AV528" i="2"/>
  <c r="P529" i="2"/>
  <c r="AK529" i="2"/>
  <c r="C530" i="2"/>
  <c r="W530" i="2"/>
  <c r="AQ530" i="2"/>
  <c r="I531" i="2"/>
  <c r="AC531" i="2"/>
  <c r="AW531" i="2"/>
  <c r="O532" i="2"/>
  <c r="AI532" i="2"/>
  <c r="BC532" i="2"/>
  <c r="U533" i="2"/>
  <c r="AN533" i="2"/>
  <c r="BG533" i="2"/>
  <c r="T534" i="2"/>
  <c r="AN534" i="2"/>
  <c r="BE534" i="2"/>
  <c r="P535" i="2"/>
  <c r="AG535" i="2"/>
  <c r="AX535" i="2"/>
  <c r="I536" i="2"/>
  <c r="Z536" i="2"/>
  <c r="AQ536" i="2"/>
  <c r="BG536" i="2"/>
  <c r="Q537" i="2"/>
  <c r="AG537" i="2"/>
  <c r="AW537" i="2"/>
  <c r="G538" i="2"/>
  <c r="W538" i="2"/>
  <c r="AM538" i="2"/>
  <c r="BC538" i="2"/>
  <c r="M539" i="2"/>
  <c r="AC539" i="2"/>
  <c r="AS539" i="2"/>
  <c r="C540" i="2"/>
  <c r="S540" i="2"/>
  <c r="AI540" i="2"/>
  <c r="AY540" i="2"/>
  <c r="I541" i="2"/>
  <c r="Y541" i="2"/>
  <c r="AO541" i="2"/>
  <c r="BE541" i="2"/>
  <c r="O542" i="2"/>
  <c r="AE542" i="2"/>
  <c r="AU542" i="2"/>
  <c r="E543" i="2"/>
  <c r="U543" i="2"/>
  <c r="AK543" i="2"/>
  <c r="BA543" i="2"/>
  <c r="K544" i="2"/>
  <c r="AA544" i="2"/>
  <c r="AQ544" i="2"/>
  <c r="BG544" i="2"/>
  <c r="Q545" i="2"/>
  <c r="AG545" i="2"/>
  <c r="AW545" i="2"/>
  <c r="G546" i="2"/>
  <c r="W546" i="2"/>
  <c r="AM546" i="2"/>
  <c r="BC546" i="2"/>
  <c r="M547" i="2"/>
  <c r="AC547" i="2"/>
  <c r="AS547" i="2"/>
  <c r="C548" i="2"/>
  <c r="S548" i="2"/>
  <c r="AI548" i="2"/>
  <c r="AY548" i="2"/>
  <c r="I549" i="2"/>
  <c r="Y549" i="2"/>
  <c r="AO549" i="2"/>
  <c r="BE549" i="2"/>
  <c r="O550" i="2"/>
  <c r="AE550" i="2"/>
  <c r="AU550" i="2"/>
  <c r="E551" i="2"/>
  <c r="U551" i="2"/>
  <c r="AK551" i="2"/>
  <c r="BA551" i="2"/>
  <c r="K552" i="2"/>
  <c r="AA552" i="2"/>
  <c r="AQ552" i="2"/>
  <c r="BG552" i="2"/>
  <c r="Q553" i="2"/>
  <c r="AG553" i="2"/>
  <c r="AW553" i="2"/>
  <c r="G554" i="2"/>
  <c r="W554" i="2"/>
  <c r="AM554" i="2"/>
  <c r="BC554" i="2"/>
  <c r="M555" i="2"/>
  <c r="AC555" i="2"/>
  <c r="AS555" i="2"/>
  <c r="C556" i="2"/>
  <c r="S556" i="2"/>
  <c r="AI556" i="2"/>
  <c r="AY556" i="2"/>
  <c r="Y557" i="2"/>
  <c r="I438" i="2"/>
  <c r="N460" i="2"/>
  <c r="AP470" i="2"/>
  <c r="AZ477" i="2"/>
  <c r="AR482" i="2"/>
  <c r="AM486" i="2"/>
  <c r="R490" i="2"/>
  <c r="AX493" i="2"/>
  <c r="BH496" i="2"/>
  <c r="AG499" i="2"/>
  <c r="AS501" i="2"/>
  <c r="BE503" i="2"/>
  <c r="K506" i="2"/>
  <c r="G508" i="2"/>
  <c r="AD509" i="2"/>
  <c r="F511" i="2"/>
  <c r="M512" i="2"/>
  <c r="S513" i="2"/>
  <c r="X514" i="2"/>
  <c r="N515" i="2"/>
  <c r="AX515" i="2"/>
  <c r="AL516" i="2"/>
  <c r="Z517" i="2"/>
  <c r="BH517" i="2"/>
  <c r="AJ518" i="2"/>
  <c r="U519" i="2"/>
  <c r="BC519" i="2"/>
  <c r="AE520" i="2"/>
  <c r="P521" i="2"/>
  <c r="AX521" i="2"/>
  <c r="X522" i="2"/>
  <c r="BD522" i="2"/>
  <c r="AD523" i="2"/>
  <c r="D524" i="2"/>
  <c r="AJ524" i="2"/>
  <c r="H525" i="2"/>
  <c r="AD525" i="2"/>
  <c r="BF525" i="2"/>
  <c r="AB526" i="2"/>
  <c r="AX526" i="2"/>
  <c r="R527" i="2"/>
  <c r="AM527" i="2"/>
  <c r="G528" i="2"/>
  <c r="AB528" i="2"/>
  <c r="AY528" i="2"/>
  <c r="Q529" i="2"/>
  <c r="AL529" i="2"/>
  <c r="D530" i="2"/>
  <c r="X530" i="2"/>
  <c r="AR530" i="2"/>
  <c r="J531" i="2"/>
  <c r="AD531" i="2"/>
  <c r="AX531" i="2"/>
  <c r="P532" i="2"/>
  <c r="AJ532" i="2"/>
  <c r="BD532" i="2"/>
  <c r="V533" i="2"/>
  <c r="AO533" i="2"/>
  <c r="BH533" i="2"/>
  <c r="W534" i="2"/>
  <c r="AO534" i="2"/>
  <c r="BF534" i="2"/>
  <c r="Q535" i="2"/>
  <c r="AH535" i="2"/>
  <c r="AY535" i="2"/>
  <c r="J536" i="2"/>
  <c r="AA536" i="2"/>
  <c r="AR536" i="2"/>
  <c r="BH536" i="2"/>
  <c r="R537" i="2"/>
  <c r="AH537" i="2"/>
  <c r="AX537" i="2"/>
  <c r="H538" i="2"/>
  <c r="X538" i="2"/>
  <c r="AN538" i="2"/>
  <c r="BD538" i="2"/>
  <c r="N539" i="2"/>
  <c r="AD539" i="2"/>
  <c r="AT539" i="2"/>
  <c r="D540" i="2"/>
  <c r="T540" i="2"/>
  <c r="AJ540" i="2"/>
  <c r="AZ540" i="2"/>
  <c r="J541" i="2"/>
  <c r="Z541" i="2"/>
  <c r="AP541" i="2"/>
  <c r="BF541" i="2"/>
  <c r="P542" i="2"/>
  <c r="AF542" i="2"/>
  <c r="AV542" i="2"/>
  <c r="F543" i="2"/>
  <c r="V543" i="2"/>
  <c r="J438" i="2"/>
  <c r="O460" i="2"/>
  <c r="AQ470" i="2"/>
  <c r="BA477" i="2"/>
  <c r="AS482" i="2"/>
  <c r="AN486" i="2"/>
  <c r="S490" i="2"/>
  <c r="AY493" i="2"/>
  <c r="D497" i="2"/>
  <c r="AH499" i="2"/>
  <c r="AT501" i="2"/>
  <c r="BF503" i="2"/>
  <c r="L506" i="2"/>
  <c r="H508" i="2"/>
  <c r="AP509" i="2"/>
  <c r="I511" i="2"/>
  <c r="O512" i="2"/>
  <c r="U513" i="2"/>
  <c r="Y514" i="2"/>
  <c r="O515" i="2"/>
  <c r="C516" i="2"/>
  <c r="AM516" i="2"/>
  <c r="AA517" i="2"/>
  <c r="C518" i="2"/>
  <c r="AT518" i="2"/>
  <c r="V519" i="2"/>
  <c r="BD519" i="2"/>
  <c r="AF520" i="2"/>
  <c r="Q521" i="2"/>
  <c r="AY521" i="2"/>
  <c r="Y522" i="2"/>
  <c r="BE522" i="2"/>
  <c r="AE523" i="2"/>
  <c r="E524" i="2"/>
  <c r="AK524" i="2"/>
  <c r="I525" i="2"/>
  <c r="AG525" i="2"/>
  <c r="BG525" i="2"/>
  <c r="AC526" i="2"/>
  <c r="AY526" i="2"/>
  <c r="S527" i="2"/>
  <c r="AN527" i="2"/>
  <c r="H528" i="2"/>
  <c r="AC528" i="2"/>
  <c r="BC528" i="2"/>
  <c r="R529" i="2"/>
  <c r="AO529" i="2"/>
  <c r="E530" i="2"/>
  <c r="Y530" i="2"/>
  <c r="AU530" i="2"/>
  <c r="K531" i="2"/>
  <c r="AE531" i="2"/>
  <c r="BA531" i="2"/>
  <c r="Q532" i="2"/>
  <c r="AK532" i="2"/>
  <c r="BG532" i="2"/>
  <c r="W533" i="2"/>
  <c r="AP533" i="2"/>
  <c r="C534" i="2"/>
  <c r="X534" i="2"/>
  <c r="AP534" i="2"/>
  <c r="BG534" i="2"/>
  <c r="R535" i="2"/>
  <c r="AI535" i="2"/>
  <c r="AZ535" i="2"/>
  <c r="K536" i="2"/>
  <c r="AB536" i="2"/>
  <c r="AS536" i="2"/>
  <c r="C537" i="2"/>
  <c r="S537" i="2"/>
  <c r="AI537" i="2"/>
  <c r="AY537" i="2"/>
  <c r="I538" i="2"/>
  <c r="Y538" i="2"/>
  <c r="AO538" i="2"/>
  <c r="BE538" i="2"/>
  <c r="O539" i="2"/>
  <c r="AE539" i="2"/>
  <c r="AU539" i="2"/>
  <c r="E540" i="2"/>
  <c r="U540" i="2"/>
  <c r="AK540" i="2"/>
  <c r="BA540" i="2"/>
  <c r="K541" i="2"/>
  <c r="AA541" i="2"/>
  <c r="AQ541" i="2"/>
  <c r="BG541" i="2"/>
  <c r="Q542" i="2"/>
  <c r="AG542" i="2"/>
  <c r="AW542" i="2"/>
  <c r="G543" i="2"/>
  <c r="W543" i="2"/>
  <c r="AM543" i="2"/>
  <c r="BE442" i="2"/>
  <c r="AU461" i="2"/>
  <c r="AT471" i="2"/>
  <c r="AM478" i="2"/>
  <c r="L483" i="2"/>
  <c r="J487" i="2"/>
  <c r="AT490" i="2"/>
  <c r="T494" i="2"/>
  <c r="W497" i="2"/>
  <c r="AW499" i="2"/>
  <c r="C502" i="2"/>
  <c r="O504" i="2"/>
  <c r="AA506" i="2"/>
  <c r="T508" i="2"/>
  <c r="AS509" i="2"/>
  <c r="J511" i="2"/>
  <c r="P512" i="2"/>
  <c r="V513" i="2"/>
  <c r="AA514" i="2"/>
  <c r="P515" i="2"/>
  <c r="D516" i="2"/>
  <c r="AN516" i="2"/>
  <c r="AB517" i="2"/>
  <c r="D518" i="2"/>
  <c r="AU518" i="2"/>
  <c r="W519" i="2"/>
  <c r="BE519" i="2"/>
  <c r="AP520" i="2"/>
  <c r="R521" i="2"/>
  <c r="AZ521" i="2"/>
  <c r="Z522" i="2"/>
  <c r="BF522" i="2"/>
  <c r="AF523" i="2"/>
  <c r="F524" i="2"/>
  <c r="AL524" i="2"/>
  <c r="J525" i="2"/>
  <c r="AL525" i="2"/>
  <c r="BH525" i="2"/>
  <c r="AD526" i="2"/>
  <c r="AZ526" i="2"/>
  <c r="T527" i="2"/>
  <c r="AO527" i="2"/>
  <c r="I528" i="2"/>
  <c r="AD528" i="2"/>
  <c r="BD528" i="2"/>
  <c r="S529" i="2"/>
  <c r="AQ529" i="2"/>
  <c r="F530" i="2"/>
  <c r="Z530" i="2"/>
  <c r="AW530" i="2"/>
  <c r="L531" i="2"/>
  <c r="AF531" i="2"/>
  <c r="BC531" i="2"/>
  <c r="R532" i="2"/>
  <c r="AL532" i="2"/>
  <c r="C533" i="2"/>
  <c r="X533" i="2"/>
  <c r="AQ533" i="2"/>
  <c r="D534" i="2"/>
  <c r="Y534" i="2"/>
  <c r="AQ534" i="2"/>
  <c r="BH534" i="2"/>
  <c r="S535" i="2"/>
  <c r="AJ535" i="2"/>
  <c r="BA535" i="2"/>
  <c r="L536" i="2"/>
  <c r="AC536" i="2"/>
  <c r="AT536" i="2"/>
  <c r="D537" i="2"/>
  <c r="T537" i="2"/>
  <c r="AJ537" i="2"/>
  <c r="AZ537" i="2"/>
  <c r="J538" i="2"/>
  <c r="Z538" i="2"/>
  <c r="AP538" i="2"/>
  <c r="BF538" i="2"/>
  <c r="P539" i="2"/>
  <c r="AF539" i="2"/>
  <c r="AV539" i="2"/>
  <c r="F540" i="2"/>
  <c r="V540" i="2"/>
  <c r="AL540" i="2"/>
  <c r="BB540" i="2"/>
  <c r="L541" i="2"/>
  <c r="AB541" i="2"/>
  <c r="AR541" i="2"/>
  <c r="BH541" i="2"/>
  <c r="R542" i="2"/>
  <c r="AH542" i="2"/>
  <c r="AX542" i="2"/>
  <c r="H543" i="2"/>
  <c r="X543" i="2"/>
  <c r="AN543" i="2"/>
  <c r="BD543" i="2"/>
  <c r="N544" i="2"/>
  <c r="AD544" i="2"/>
  <c r="AT544" i="2"/>
  <c r="BF442" i="2"/>
  <c r="AW461" i="2"/>
  <c r="AV471" i="2"/>
  <c r="AN478" i="2"/>
  <c r="Q483" i="2"/>
  <c r="K487" i="2"/>
  <c r="AU490" i="2"/>
  <c r="U494" i="2"/>
  <c r="X497" i="2"/>
  <c r="AX499" i="2"/>
  <c r="D502" i="2"/>
  <c r="P504" i="2"/>
  <c r="AB506" i="2"/>
  <c r="W508" i="2"/>
  <c r="AT509" i="2"/>
  <c r="V511" i="2"/>
  <c r="AB512" i="2"/>
  <c r="AH513" i="2"/>
  <c r="AB514" i="2"/>
  <c r="Q515" i="2"/>
  <c r="E516" i="2"/>
  <c r="AY516" i="2"/>
  <c r="AC517" i="2"/>
  <c r="N518" i="2"/>
  <c r="AV518" i="2"/>
  <c r="X519" i="2"/>
  <c r="BF519" i="2"/>
  <c r="AQ520" i="2"/>
  <c r="S521" i="2"/>
  <c r="BA521" i="2"/>
  <c r="AA522" i="2"/>
  <c r="BG522" i="2"/>
  <c r="AG523" i="2"/>
  <c r="G524" i="2"/>
  <c r="AM524" i="2"/>
  <c r="K525" i="2"/>
  <c r="AM525" i="2"/>
  <c r="C526" i="2"/>
  <c r="AE526" i="2"/>
  <c r="BC526" i="2"/>
  <c r="U527" i="2"/>
  <c r="AP527" i="2"/>
  <c r="J528" i="2"/>
  <c r="AE528" i="2"/>
  <c r="BE528" i="2"/>
  <c r="T529" i="2"/>
  <c r="AS529" i="2"/>
  <c r="G530" i="2"/>
  <c r="AA530" i="2"/>
  <c r="AY530" i="2"/>
  <c r="M531" i="2"/>
  <c r="AG531" i="2"/>
  <c r="BE531" i="2"/>
  <c r="S532" i="2"/>
  <c r="AM532" i="2"/>
  <c r="E533" i="2"/>
  <c r="Y533" i="2"/>
  <c r="AR533" i="2"/>
  <c r="G534" i="2"/>
  <c r="Z534" i="2"/>
  <c r="AR534" i="2"/>
  <c r="C535" i="2"/>
  <c r="T535" i="2"/>
  <c r="AK535" i="2"/>
  <c r="BB535" i="2"/>
  <c r="M536" i="2"/>
  <c r="AD536" i="2"/>
  <c r="AU536" i="2"/>
  <c r="E537" i="2"/>
  <c r="U537" i="2"/>
  <c r="AK537" i="2"/>
  <c r="BA537" i="2"/>
  <c r="K538" i="2"/>
  <c r="AA538" i="2"/>
  <c r="AQ538" i="2"/>
  <c r="BG538" i="2"/>
  <c r="Q539" i="2"/>
  <c r="AG539" i="2"/>
  <c r="AW539" i="2"/>
  <c r="G540" i="2"/>
  <c r="W540" i="2"/>
  <c r="AM540" i="2"/>
  <c r="BC540" i="2"/>
  <c r="M541" i="2"/>
  <c r="AC541" i="2"/>
  <c r="AS541" i="2"/>
  <c r="C542" i="2"/>
  <c r="S542" i="2"/>
  <c r="AI542" i="2"/>
  <c r="AY542" i="2"/>
  <c r="I543" i="2"/>
  <c r="Y543" i="2"/>
  <c r="AO543" i="2"/>
  <c r="BE543" i="2"/>
  <c r="O544" i="2"/>
  <c r="AE544" i="2"/>
  <c r="AU544" i="2"/>
  <c r="E545" i="2"/>
  <c r="U545" i="2"/>
  <c r="AK545" i="2"/>
  <c r="BA545" i="2"/>
  <c r="K546" i="2"/>
  <c r="AA546" i="2"/>
  <c r="AQ546" i="2"/>
  <c r="BG546" i="2"/>
  <c r="Q547" i="2"/>
  <c r="AG547" i="2"/>
  <c r="AW547" i="2"/>
  <c r="G548" i="2"/>
  <c r="W548" i="2"/>
  <c r="AM548" i="2"/>
  <c r="BC548" i="2"/>
  <c r="M549" i="2"/>
  <c r="AC549" i="2"/>
  <c r="AS549" i="2"/>
  <c r="C550" i="2"/>
  <c r="S550" i="2"/>
  <c r="AI550" i="2"/>
  <c r="AY550" i="2"/>
  <c r="I551" i="2"/>
  <c r="Y551" i="2"/>
  <c r="AO551" i="2"/>
  <c r="AW446" i="2"/>
  <c r="R463" i="2"/>
  <c r="AL472" i="2"/>
  <c r="Q479" i="2"/>
  <c r="AN483" i="2"/>
  <c r="AJ487" i="2"/>
  <c r="L491" i="2"/>
  <c r="AO494" i="2"/>
  <c r="AQ497" i="2"/>
  <c r="G500" i="2"/>
  <c r="S502" i="2"/>
  <c r="AE504" i="2"/>
  <c r="AQ506" i="2"/>
  <c r="X508" i="2"/>
  <c r="BF509" i="2"/>
  <c r="W511" i="2"/>
  <c r="AC512" i="2"/>
  <c r="AI513" i="2"/>
  <c r="AM514" i="2"/>
  <c r="R515" i="2"/>
  <c r="F516" i="2"/>
  <c r="AZ516" i="2"/>
  <c r="AD517" i="2"/>
  <c r="O518" i="2"/>
  <c r="AW518" i="2"/>
  <c r="Y519" i="2"/>
  <c r="J520" i="2"/>
  <c r="AR520" i="2"/>
  <c r="T521" i="2"/>
  <c r="BB521" i="2"/>
  <c r="AB522" i="2"/>
  <c r="BH522" i="2"/>
  <c r="AH523" i="2"/>
  <c r="H524" i="2"/>
  <c r="AN524" i="2"/>
  <c r="L525" i="2"/>
  <c r="AN525" i="2"/>
  <c r="D526" i="2"/>
  <c r="AF526" i="2"/>
  <c r="BG526" i="2"/>
  <c r="V527" i="2"/>
  <c r="AS527" i="2"/>
  <c r="K528" i="2"/>
  <c r="AF528" i="2"/>
  <c r="BF528" i="2"/>
  <c r="U529" i="2"/>
  <c r="AT529" i="2"/>
  <c r="H530" i="2"/>
  <c r="AB530" i="2"/>
  <c r="AZ530" i="2"/>
  <c r="N531" i="2"/>
  <c r="AH531" i="2"/>
  <c r="BF531" i="2"/>
  <c r="T532" i="2"/>
  <c r="AN532" i="2"/>
  <c r="F533" i="2"/>
  <c r="Z533" i="2"/>
  <c r="AS533" i="2"/>
  <c r="H534" i="2"/>
  <c r="AA534" i="2"/>
  <c r="AS534" i="2"/>
  <c r="D535" i="2"/>
  <c r="U535" i="2"/>
  <c r="AL535" i="2"/>
  <c r="BC535" i="2"/>
  <c r="N536" i="2"/>
  <c r="AE536" i="2"/>
  <c r="AV536" i="2"/>
  <c r="F537" i="2"/>
  <c r="V537" i="2"/>
  <c r="AL537" i="2"/>
  <c r="BB537" i="2"/>
  <c r="L538" i="2"/>
  <c r="AB538" i="2"/>
  <c r="AR538" i="2"/>
  <c r="BH538" i="2"/>
  <c r="R539" i="2"/>
  <c r="AH539" i="2"/>
  <c r="AX539" i="2"/>
  <c r="H540" i="2"/>
  <c r="X540" i="2"/>
  <c r="AN540" i="2"/>
  <c r="BD540" i="2"/>
  <c r="N541" i="2"/>
  <c r="AD541" i="2"/>
  <c r="AT541" i="2"/>
  <c r="AJ449" i="2"/>
  <c r="AG464" i="2"/>
  <c r="AC473" i="2"/>
  <c r="BF479" i="2"/>
  <c r="L484" i="2"/>
  <c r="F488" i="2"/>
  <c r="AL491" i="2"/>
  <c r="I495" i="2"/>
  <c r="F498" i="2"/>
  <c r="W500" i="2"/>
  <c r="AI502" i="2"/>
  <c r="AU504" i="2"/>
  <c r="BG506" i="2"/>
  <c r="AM508" i="2"/>
  <c r="D510" i="2"/>
  <c r="Z511" i="2"/>
  <c r="AF512" i="2"/>
  <c r="AL513" i="2"/>
  <c r="AO514" i="2"/>
  <c r="AD515" i="2"/>
  <c r="H516" i="2"/>
  <c r="BB516" i="2"/>
  <c r="AO517" i="2"/>
  <c r="Q518" i="2"/>
  <c r="AY518" i="2"/>
  <c r="AJ519" i="2"/>
  <c r="L520" i="2"/>
  <c r="AT520" i="2"/>
  <c r="V521" i="2"/>
  <c r="F522" i="2"/>
  <c r="AL522" i="2"/>
  <c r="L523" i="2"/>
  <c r="AR523" i="2"/>
  <c r="R524" i="2"/>
  <c r="AW524" i="2"/>
  <c r="N525" i="2"/>
  <c r="AP525" i="2"/>
  <c r="L526" i="2"/>
  <c r="AH526" i="2"/>
  <c r="C527" i="2"/>
  <c r="X527" i="2"/>
  <c r="AX527" i="2"/>
  <c r="M528" i="2"/>
  <c r="AM528" i="2"/>
  <c r="BH528" i="2"/>
  <c r="Y529" i="2"/>
  <c r="AV529" i="2"/>
  <c r="J530" i="2"/>
  <c r="AG530" i="2"/>
  <c r="BB530" i="2"/>
  <c r="P531" i="2"/>
  <c r="AM531" i="2"/>
  <c r="BH531" i="2"/>
  <c r="V532" i="2"/>
  <c r="AS532" i="2"/>
  <c r="H533" i="2"/>
  <c r="AB533" i="2"/>
  <c r="AW533" i="2"/>
  <c r="K534" i="2"/>
  <c r="AC534" i="2"/>
  <c r="AU534" i="2"/>
  <c r="F535" i="2"/>
  <c r="W535" i="2"/>
  <c r="AN535" i="2"/>
  <c r="BE535" i="2"/>
  <c r="P536" i="2"/>
  <c r="AG536" i="2"/>
  <c r="AX536" i="2"/>
  <c r="H537" i="2"/>
  <c r="X537" i="2"/>
  <c r="AN537" i="2"/>
  <c r="BD537" i="2"/>
  <c r="N538" i="2"/>
  <c r="AD538" i="2"/>
  <c r="AT538" i="2"/>
  <c r="D539" i="2"/>
  <c r="T539" i="2"/>
  <c r="AJ539" i="2"/>
  <c r="AZ539" i="2"/>
  <c r="J540" i="2"/>
  <c r="Z540" i="2"/>
  <c r="AP540" i="2"/>
  <c r="BF540" i="2"/>
  <c r="P541" i="2"/>
  <c r="AF541" i="2"/>
  <c r="AX446" i="2"/>
  <c r="AR497" i="2"/>
  <c r="AE512" i="2"/>
  <c r="AX518" i="2"/>
  <c r="AQ523" i="2"/>
  <c r="W527" i="2"/>
  <c r="AE530" i="2"/>
  <c r="AA533" i="2"/>
  <c r="BD535" i="2"/>
  <c r="M538" i="2"/>
  <c r="Y540" i="2"/>
  <c r="G542" i="2"/>
  <c r="M543" i="2"/>
  <c r="L544" i="2"/>
  <c r="AX544" i="2"/>
  <c r="AH545" i="2"/>
  <c r="J546" i="2"/>
  <c r="AS546" i="2"/>
  <c r="U547" i="2"/>
  <c r="E548" i="2"/>
  <c r="AN548" i="2"/>
  <c r="P549" i="2"/>
  <c r="BF549" i="2"/>
  <c r="AH550" i="2"/>
  <c r="K551" i="2"/>
  <c r="AS551" i="2"/>
  <c r="S552" i="2"/>
  <c r="AY552" i="2"/>
  <c r="Y553" i="2"/>
  <c r="BE553" i="2"/>
  <c r="AE554" i="2"/>
  <c r="E555" i="2"/>
  <c r="AK555" i="2"/>
  <c r="K556" i="2"/>
  <c r="AQ556" i="2"/>
  <c r="Q557" i="2"/>
  <c r="AW557" i="2"/>
  <c r="W558" i="2"/>
  <c r="BC558" i="2"/>
  <c r="AP554" i="2"/>
  <c r="AB557" i="2"/>
  <c r="BE551" i="2"/>
  <c r="AW555" i="2"/>
  <c r="AC557" i="2"/>
  <c r="L554" i="2"/>
  <c r="BD556" i="2"/>
  <c r="G550" i="2"/>
  <c r="M554" i="2"/>
  <c r="AE557" i="2"/>
  <c r="AF549" i="2"/>
  <c r="AZ555" i="2"/>
  <c r="AZ550" i="2"/>
  <c r="O554" i="2"/>
  <c r="AM558" i="2"/>
  <c r="AV534" i="2"/>
  <c r="E547" i="2"/>
  <c r="L552" i="2"/>
  <c r="D556" i="2"/>
  <c r="S545" i="2"/>
  <c r="AQ549" i="2"/>
  <c r="Y554" i="2"/>
  <c r="AT552" i="2"/>
  <c r="AR557" i="2"/>
  <c r="G556" i="2"/>
  <c r="AY558" i="2"/>
  <c r="AU532" i="2"/>
  <c r="W545" i="2"/>
  <c r="G551" i="2"/>
  <c r="AN556" i="2"/>
  <c r="AP494" i="2"/>
  <c r="S547" i="2"/>
  <c r="I556" i="2"/>
  <c r="K530" i="2"/>
  <c r="T547" i="2"/>
  <c r="D555" i="2"/>
  <c r="BB558" i="2"/>
  <c r="AM449" i="2"/>
  <c r="H498" i="2"/>
  <c r="AR512" i="2"/>
  <c r="AZ518" i="2"/>
  <c r="AS523" i="2"/>
  <c r="Y527" i="2"/>
  <c r="AI530" i="2"/>
  <c r="AC533" i="2"/>
  <c r="BF535" i="2"/>
  <c r="O538" i="2"/>
  <c r="AA540" i="2"/>
  <c r="T542" i="2"/>
  <c r="Z543" i="2"/>
  <c r="M544" i="2"/>
  <c r="AY544" i="2"/>
  <c r="AI545" i="2"/>
  <c r="L546" i="2"/>
  <c r="AT546" i="2"/>
  <c r="AD547" i="2"/>
  <c r="F548" i="2"/>
  <c r="AO548" i="2"/>
  <c r="Q549" i="2"/>
  <c r="BG549" i="2"/>
  <c r="AJ550" i="2"/>
  <c r="L551" i="2"/>
  <c r="BB551" i="2"/>
  <c r="AB552" i="2"/>
  <c r="BH552" i="2"/>
  <c r="AH553" i="2"/>
  <c r="H554" i="2"/>
  <c r="AN554" i="2"/>
  <c r="N555" i="2"/>
  <c r="AT555" i="2"/>
  <c r="T556" i="2"/>
  <c r="AZ556" i="2"/>
  <c r="Z557" i="2"/>
  <c r="BF557" i="2"/>
  <c r="AF558" i="2"/>
  <c r="P555" i="2"/>
  <c r="V556" i="2"/>
  <c r="AH558" i="2"/>
  <c r="AE552" i="2"/>
  <c r="W556" i="2"/>
  <c r="AR554" i="2"/>
  <c r="AJ558" i="2"/>
  <c r="Z551" i="2"/>
  <c r="BE556" i="2"/>
  <c r="BH551" i="2"/>
  <c r="Z556" i="2"/>
  <c r="Q550" i="2"/>
  <c r="U555" i="2"/>
  <c r="AG544" i="2"/>
  <c r="X554" i="2"/>
  <c r="Y548" i="2"/>
  <c r="AQ557" i="2"/>
  <c r="U553" i="2"/>
  <c r="J543" i="2"/>
  <c r="V553" i="2"/>
  <c r="I540" i="2"/>
  <c r="H551" i="2"/>
  <c r="C544" i="2"/>
  <c r="O549" i="2"/>
  <c r="J556" i="2"/>
  <c r="S463" i="2"/>
  <c r="H500" i="2"/>
  <c r="AK513" i="2"/>
  <c r="Z519" i="2"/>
  <c r="Q524" i="2"/>
  <c r="AW527" i="2"/>
  <c r="BA530" i="2"/>
  <c r="AT533" i="2"/>
  <c r="O536" i="2"/>
  <c r="AC538" i="2"/>
  <c r="AO540" i="2"/>
  <c r="U542" i="2"/>
  <c r="AA543" i="2"/>
  <c r="P544" i="2"/>
  <c r="BH544" i="2"/>
  <c r="AJ545" i="2"/>
  <c r="M546" i="2"/>
  <c r="AU546" i="2"/>
  <c r="AE547" i="2"/>
  <c r="H548" i="2"/>
  <c r="AP548" i="2"/>
  <c r="Z549" i="2"/>
  <c r="BH549" i="2"/>
  <c r="AK550" i="2"/>
  <c r="M551" i="2"/>
  <c r="BC551" i="2"/>
  <c r="AC552" i="2"/>
  <c r="C553" i="2"/>
  <c r="AI553" i="2"/>
  <c r="I554" i="2"/>
  <c r="AO554" i="2"/>
  <c r="O555" i="2"/>
  <c r="AU555" i="2"/>
  <c r="U556" i="2"/>
  <c r="BA556" i="2"/>
  <c r="AA557" i="2"/>
  <c r="BG557" i="2"/>
  <c r="AG558" i="2"/>
  <c r="AJ553" i="2"/>
  <c r="BB556" i="2"/>
  <c r="E553" i="2"/>
  <c r="AQ554" i="2"/>
  <c r="BC556" i="2"/>
  <c r="AI558" i="2"/>
  <c r="R555" i="2"/>
  <c r="AD557" i="2"/>
  <c r="BG551" i="2"/>
  <c r="AM553" i="2"/>
  <c r="Y556" i="2"/>
  <c r="BD548" i="2"/>
  <c r="AN553" i="2"/>
  <c r="AF557" i="2"/>
  <c r="AG549" i="2"/>
  <c r="AO553" i="2"/>
  <c r="AA556" i="2"/>
  <c r="C529" i="2"/>
  <c r="BA550" i="2"/>
  <c r="AV558" i="2"/>
  <c r="N547" i="2"/>
  <c r="AY553" i="2"/>
  <c r="Q558" i="2"/>
  <c r="AL556" i="2"/>
  <c r="AA554" i="2"/>
  <c r="BA539" i="2"/>
  <c r="BE545" i="2"/>
  <c r="L549" i="2"/>
  <c r="BH554" i="2"/>
  <c r="P518" i="2"/>
  <c r="AK548" i="2"/>
  <c r="AU557" i="2"/>
  <c r="AO535" i="2"/>
  <c r="I546" i="2"/>
  <c r="BD553" i="2"/>
  <c r="AI464" i="2"/>
  <c r="X500" i="2"/>
  <c r="AX513" i="2"/>
  <c r="AK519" i="2"/>
  <c r="S524" i="2"/>
  <c r="AY527" i="2"/>
  <c r="BC530" i="2"/>
  <c r="AX533" i="2"/>
  <c r="Q536" i="2"/>
  <c r="AE538" i="2"/>
  <c r="AQ540" i="2"/>
  <c r="V542" i="2"/>
  <c r="AB543" i="2"/>
  <c r="Q544" i="2"/>
  <c r="C545" i="2"/>
  <c r="AL545" i="2"/>
  <c r="N546" i="2"/>
  <c r="BD546" i="2"/>
  <c r="AF547" i="2"/>
  <c r="I548" i="2"/>
  <c r="AQ548" i="2"/>
  <c r="AA549" i="2"/>
  <c r="D550" i="2"/>
  <c r="AL550" i="2"/>
  <c r="V551" i="2"/>
  <c r="BD551" i="2"/>
  <c r="AD552" i="2"/>
  <c r="D553" i="2"/>
  <c r="J554" i="2"/>
  <c r="AV555" i="2"/>
  <c r="BH557" i="2"/>
  <c r="K554" i="2"/>
  <c r="C558" i="2"/>
  <c r="X556" i="2"/>
  <c r="AW550" i="2"/>
  <c r="S555" i="2"/>
  <c r="AX550" i="2"/>
  <c r="AT554" i="2"/>
  <c r="AL558" i="2"/>
  <c r="AT547" i="2"/>
  <c r="I553" i="2"/>
  <c r="G558" i="2"/>
  <c r="AS543" i="2"/>
  <c r="AZ545" i="2"/>
  <c r="BF548" i="2"/>
  <c r="R553" i="2"/>
  <c r="BB543" i="2"/>
  <c r="AL551" i="2"/>
  <c r="K557" i="2"/>
  <c r="AF555" i="2"/>
  <c r="AS557" i="2"/>
  <c r="AI526" i="2"/>
  <c r="R547" i="2"/>
  <c r="AH555" i="2"/>
  <c r="I530" i="2"/>
  <c r="H546" i="2"/>
  <c r="Q552" i="2"/>
  <c r="U558" i="2"/>
  <c r="R518" i="2"/>
  <c r="D548" i="2"/>
  <c r="P557" i="2"/>
  <c r="AM472" i="2"/>
  <c r="T502" i="2"/>
  <c r="AN514" i="2"/>
  <c r="K520" i="2"/>
  <c r="AQ524" i="2"/>
  <c r="L528" i="2"/>
  <c r="O531" i="2"/>
  <c r="I534" i="2"/>
  <c r="AF536" i="2"/>
  <c r="AS538" i="2"/>
  <c r="BE540" i="2"/>
  <c r="W542" i="2"/>
  <c r="AC543" i="2"/>
  <c r="R544" i="2"/>
  <c r="D545" i="2"/>
  <c r="AM545" i="2"/>
  <c r="O546" i="2"/>
  <c r="BE546" i="2"/>
  <c r="AH547" i="2"/>
  <c r="J548" i="2"/>
  <c r="AZ548" i="2"/>
  <c r="AB549" i="2"/>
  <c r="E550" i="2"/>
  <c r="AM550" i="2"/>
  <c r="W551" i="2"/>
  <c r="AK553" i="2"/>
  <c r="Q555" i="2"/>
  <c r="BB548" i="2"/>
  <c r="AK558" i="2"/>
  <c r="H553" i="2"/>
  <c r="BE548" i="2"/>
  <c r="BG556" i="2"/>
  <c r="AZ542" i="2"/>
  <c r="AC546" i="2"/>
  <c r="R550" i="2"/>
  <c r="AD555" i="2"/>
  <c r="AU541" i="2"/>
  <c r="AS552" i="2"/>
  <c r="Z554" i="2"/>
  <c r="P510" i="2"/>
  <c r="P552" i="2"/>
  <c r="BC537" i="2"/>
  <c r="BA547" i="2"/>
  <c r="AC554" i="2"/>
  <c r="J495" i="2"/>
  <c r="AG550" i="2"/>
  <c r="AF473" i="2"/>
  <c r="AJ502" i="2"/>
  <c r="AQ514" i="2"/>
  <c r="M520" i="2"/>
  <c r="AX524" i="2"/>
  <c r="N528" i="2"/>
  <c r="Q531" i="2"/>
  <c r="L534" i="2"/>
  <c r="AI536" i="2"/>
  <c r="AU538" i="2"/>
  <c r="BG540" i="2"/>
  <c r="AJ542" i="2"/>
  <c r="AL543" i="2"/>
  <c r="S544" i="2"/>
  <c r="F545" i="2"/>
  <c r="AN545" i="2"/>
  <c r="X546" i="2"/>
  <c r="BF546" i="2"/>
  <c r="AI547" i="2"/>
  <c r="K548" i="2"/>
  <c r="BA548" i="2"/>
  <c r="AD549" i="2"/>
  <c r="F550" i="2"/>
  <c r="AV550" i="2"/>
  <c r="X551" i="2"/>
  <c r="BF551" i="2"/>
  <c r="AF552" i="2"/>
  <c r="F553" i="2"/>
  <c r="AL553" i="2"/>
  <c r="AX555" i="2"/>
  <c r="D558" i="2"/>
  <c r="G553" i="2"/>
  <c r="AS554" i="2"/>
  <c r="E558" i="2"/>
  <c r="U548" i="2"/>
  <c r="N554" i="2"/>
  <c r="D547" i="2"/>
  <c r="AU554" i="2"/>
  <c r="C532" i="2"/>
  <c r="AC551" i="2"/>
  <c r="P558" i="2"/>
  <c r="AV547" i="2"/>
  <c r="S553" i="2"/>
  <c r="AW558" i="2"/>
  <c r="F556" i="2"/>
  <c r="BG554" i="2"/>
  <c r="AO537" i="2"/>
  <c r="AO546" i="2"/>
  <c r="AU549" i="2"/>
  <c r="AB554" i="2"/>
  <c r="AZ558" i="2"/>
  <c r="K523" i="2"/>
  <c r="X545" i="2"/>
  <c r="W553" i="2"/>
  <c r="BE537" i="2"/>
  <c r="Y545" i="2"/>
  <c r="AD554" i="2"/>
  <c r="T479" i="2"/>
  <c r="AF504" i="2"/>
  <c r="AC515" i="2"/>
  <c r="AS520" i="2"/>
  <c r="M525" i="2"/>
  <c r="AI528" i="2"/>
  <c r="AK531" i="2"/>
  <c r="AB534" i="2"/>
  <c r="AW536" i="2"/>
  <c r="C539" i="2"/>
  <c r="O541" i="2"/>
  <c r="AK542" i="2"/>
  <c r="AP543" i="2"/>
  <c r="AB544" i="2"/>
  <c r="G545" i="2"/>
  <c r="AO545" i="2"/>
  <c r="Y546" i="2"/>
  <c r="BH546" i="2"/>
  <c r="AJ547" i="2"/>
  <c r="T548" i="2"/>
  <c r="AE549" i="2"/>
  <c r="AG552" i="2"/>
  <c r="AY555" i="2"/>
  <c r="AA551" i="2"/>
  <c r="T555" i="2"/>
  <c r="F558" i="2"/>
  <c r="V548" i="2"/>
  <c r="AI552" i="2"/>
  <c r="BA555" i="2"/>
  <c r="I537" i="2"/>
  <c r="AP549" i="2"/>
  <c r="BD554" i="2"/>
  <c r="BA542" i="2"/>
  <c r="BB550" i="2"/>
  <c r="AK556" i="2"/>
  <c r="BF554" i="2"/>
  <c r="M557" i="2"/>
  <c r="AM522" i="2"/>
  <c r="AZ547" i="2"/>
  <c r="H556" i="2"/>
  <c r="BH526" i="2"/>
  <c r="AP546" i="2"/>
  <c r="C555" i="2"/>
  <c r="M523" i="2"/>
  <c r="AR551" i="2"/>
  <c r="BG479" i="2"/>
  <c r="AV504" i="2"/>
  <c r="AE515" i="2"/>
  <c r="AU520" i="2"/>
  <c r="Q525" i="2"/>
  <c r="AN528" i="2"/>
  <c r="AO531" i="2"/>
  <c r="AD534" i="2"/>
  <c r="AY536" i="2"/>
  <c r="E539" i="2"/>
  <c r="Q541" i="2"/>
  <c r="AL542" i="2"/>
  <c r="AQ543" i="2"/>
  <c r="AC544" i="2"/>
  <c r="H545" i="2"/>
  <c r="AX545" i="2"/>
  <c r="Z546" i="2"/>
  <c r="C547" i="2"/>
  <c r="AK547" i="2"/>
  <c r="P550" i="2"/>
  <c r="AH552" i="2"/>
  <c r="BF556" i="2"/>
  <c r="AB551" i="2"/>
  <c r="AG557" i="2"/>
  <c r="U539" i="2"/>
  <c r="X548" i="2"/>
  <c r="AX553" i="2"/>
  <c r="J557" i="2"/>
  <c r="BB545" i="2"/>
  <c r="BG548" i="2"/>
  <c r="M552" i="2"/>
  <c r="AE555" i="2"/>
  <c r="AZ553" i="2"/>
  <c r="AX558" i="2"/>
  <c r="AM556" i="2"/>
  <c r="AP517" i="2"/>
  <c r="AJ548" i="2"/>
  <c r="AT557" i="2"/>
  <c r="AM535" i="2"/>
  <c r="AV549" i="2"/>
  <c r="O557" i="2"/>
  <c r="AL511" i="2"/>
  <c r="J551" i="2"/>
  <c r="AO483" i="2"/>
  <c r="AR506" i="2"/>
  <c r="G516" i="2"/>
  <c r="U521" i="2"/>
  <c r="AO525" i="2"/>
  <c r="BG528" i="2"/>
  <c r="BG531" i="2"/>
  <c r="AT534" i="2"/>
  <c r="G537" i="2"/>
  <c r="S539" i="2"/>
  <c r="AE541" i="2"/>
  <c r="AM542" i="2"/>
  <c r="AR543" i="2"/>
  <c r="AF544" i="2"/>
  <c r="I545" i="2"/>
  <c r="AY545" i="2"/>
  <c r="AB546" i="2"/>
  <c r="C552" i="2"/>
  <c r="R545" i="2"/>
  <c r="AU547" i="2"/>
  <c r="AR552" i="2"/>
  <c r="AJ556" i="2"/>
  <c r="AH544" i="2"/>
  <c r="T550" i="2"/>
  <c r="E556" i="2"/>
  <c r="T553" i="2"/>
  <c r="R558" i="2"/>
  <c r="AG555" i="2"/>
  <c r="AW529" i="2"/>
  <c r="AS544" i="2"/>
  <c r="W550" i="2"/>
  <c r="N557" i="2"/>
  <c r="Y511" i="2"/>
  <c r="AV544" i="2"/>
  <c r="BC553" i="2"/>
  <c r="I533" i="2"/>
  <c r="AW544" i="2"/>
  <c r="R552" i="2"/>
  <c r="V558" i="2"/>
  <c r="M484" i="2"/>
  <c r="BH506" i="2"/>
  <c r="S516" i="2"/>
  <c r="AF521" i="2"/>
  <c r="AQ525" i="2"/>
  <c r="AG541" i="2"/>
  <c r="AP557" i="2"/>
  <c r="BG543" i="2"/>
  <c r="T558" i="2"/>
  <c r="K543" i="2"/>
  <c r="AF550" i="2"/>
  <c r="AO556" i="2"/>
  <c r="D527" i="2"/>
  <c r="AX552" i="2"/>
  <c r="AO487" i="2"/>
  <c r="AJ508" i="2"/>
  <c r="BA516" i="2"/>
  <c r="E522" i="2"/>
  <c r="G526" i="2"/>
  <c r="V529" i="2"/>
  <c r="U532" i="2"/>
  <c r="E535" i="2"/>
  <c r="W537" i="2"/>
  <c r="AI539" i="2"/>
  <c r="AD546" i="2"/>
  <c r="BE554" i="2"/>
  <c r="AM491" i="2"/>
  <c r="BB553" i="2"/>
  <c r="BH543" i="2"/>
  <c r="N549" i="2"/>
  <c r="AI555" i="2"/>
  <c r="F542" i="2"/>
  <c r="AR546" i="2"/>
  <c r="X553" i="2"/>
  <c r="AV557" i="2"/>
  <c r="G488" i="2"/>
  <c r="AN508" i="2"/>
  <c r="BC516" i="2"/>
  <c r="G522" i="2"/>
  <c r="M526" i="2"/>
  <c r="AC529" i="2"/>
  <c r="W532" i="2"/>
  <c r="G535" i="2"/>
  <c r="Y537" i="2"/>
  <c r="AK539" i="2"/>
  <c r="AV541" i="2"/>
  <c r="BB542" i="2"/>
  <c r="BC543" i="2"/>
  <c r="AI544" i="2"/>
  <c r="T545" i="2"/>
  <c r="BC545" i="2"/>
  <c r="AE546" i="2"/>
  <c r="O547" i="2"/>
  <c r="AX547" i="2"/>
  <c r="Z548" i="2"/>
  <c r="J549" i="2"/>
  <c r="AR549" i="2"/>
  <c r="U550" i="2"/>
  <c r="BC550" i="2"/>
  <c r="AM551" i="2"/>
  <c r="N552" i="2"/>
  <c r="L557" i="2"/>
  <c r="X535" i="2"/>
  <c r="AV552" i="2"/>
  <c r="E542" i="2"/>
  <c r="AQ551" i="2"/>
  <c r="BA558" i="2"/>
  <c r="L543" i="2"/>
  <c r="AW549" i="2"/>
  <c r="AP556" i="2"/>
  <c r="Q491" i="2"/>
  <c r="C510" i="2"/>
  <c r="AN517" i="2"/>
  <c r="AK522" i="2"/>
  <c r="AG526" i="2"/>
  <c r="AU529" i="2"/>
  <c r="AQ532" i="2"/>
  <c r="V535" i="2"/>
  <c r="AM537" i="2"/>
  <c r="AY539" i="2"/>
  <c r="AW541" i="2"/>
  <c r="BC542" i="2"/>
  <c r="BF543" i="2"/>
  <c r="AR544" i="2"/>
  <c r="V545" i="2"/>
  <c r="BD545" i="2"/>
  <c r="AN546" i="2"/>
  <c r="P547" i="2"/>
  <c r="AY547" i="2"/>
  <c r="AA548" i="2"/>
  <c r="K549" i="2"/>
  <c r="AT549" i="2"/>
  <c r="V550" i="2"/>
  <c r="F551" i="2"/>
  <c r="AN551" i="2"/>
  <c r="O552" i="2"/>
  <c r="AU552" i="2"/>
  <c r="BA553" i="2"/>
  <c r="S558" i="2"/>
  <c r="D542" i="2"/>
  <c r="AP551" i="2"/>
  <c r="G533" i="2"/>
  <c r="AW552" i="2"/>
  <c r="K540" i="2"/>
  <c r="AL548" i="2"/>
  <c r="AJ555" i="2"/>
  <c r="AH55" i="3"/>
  <c r="AH66" i="3"/>
  <c r="L48" i="3"/>
  <c r="T48" i="3" s="1"/>
  <c r="AH70" i="3"/>
  <c r="AH71" i="3"/>
  <c r="AH73" i="3"/>
  <c r="AH80" i="3"/>
  <c r="B33" i="3"/>
  <c r="B55" i="3"/>
  <c r="B79" i="3"/>
  <c r="AH72" i="3"/>
  <c r="B53" i="3"/>
  <c r="B74" i="3"/>
  <c r="B57" i="3"/>
  <c r="B81" i="3"/>
  <c r="AH74" i="3"/>
  <c r="B54" i="3"/>
  <c r="B56" i="3"/>
  <c r="B80" i="3"/>
  <c r="B58" i="3"/>
  <c r="AH75" i="3"/>
  <c r="B59" i="3"/>
  <c r="AH54" i="3"/>
  <c r="AH76" i="3"/>
  <c r="B64" i="3"/>
  <c r="AH56" i="3"/>
  <c r="AH81" i="3"/>
  <c r="B75" i="3"/>
  <c r="B65" i="3"/>
  <c r="AH57" i="3"/>
  <c r="B66" i="3"/>
  <c r="AH58" i="3"/>
  <c r="B69" i="3"/>
  <c r="AH59" i="3"/>
  <c r="B63" i="3"/>
  <c r="B70" i="3"/>
  <c r="AH60" i="3"/>
  <c r="B71" i="3"/>
  <c r="AH64" i="3"/>
  <c r="B72" i="3"/>
  <c r="AH65" i="3"/>
  <c r="B73" i="3"/>
  <c r="B44" i="3"/>
  <c r="B28" i="3"/>
  <c r="B43" i="3"/>
  <c r="B27" i="3"/>
  <c r="B42" i="3"/>
  <c r="B26" i="3"/>
  <c r="B38" i="3"/>
  <c r="B22" i="3"/>
  <c r="B37" i="3"/>
  <c r="B21" i="3"/>
  <c r="B36" i="3"/>
  <c r="B20" i="3"/>
  <c r="B35" i="3"/>
  <c r="B34" i="3"/>
  <c r="B18" i="3"/>
  <c r="B31" i="3"/>
  <c r="B19" i="3"/>
  <c r="B23" i="3"/>
  <c r="B24" i="3"/>
  <c r="B29" i="3"/>
  <c r="B25" i="3"/>
  <c r="B30" i="3"/>
  <c r="B32" i="3"/>
  <c r="AA40" i="2"/>
  <c r="AB40" i="2"/>
  <c r="B39" i="3"/>
  <c r="B41" i="3"/>
  <c r="B40" i="3"/>
  <c r="B45" i="3"/>
  <c r="B46" i="3"/>
  <c r="B60" i="3"/>
  <c r="B76" i="3"/>
  <c r="AH61" i="3"/>
  <c r="AH77" i="3"/>
  <c r="B61" i="3"/>
  <c r="B77" i="3"/>
  <c r="AH62" i="3"/>
  <c r="AH78" i="3"/>
  <c r="B62" i="3"/>
  <c r="B78" i="3"/>
  <c r="AH63" i="3"/>
  <c r="AH79" i="3"/>
  <c r="AH67" i="3"/>
  <c r="B67" i="3"/>
  <c r="AH52" i="3"/>
  <c r="AH68" i="3"/>
  <c r="B52" i="3"/>
  <c r="AH53" i="3"/>
  <c r="W30" i="2"/>
  <c r="W31" i="2"/>
  <c r="M40" i="2"/>
  <c r="L40" i="2"/>
  <c r="U40" i="2"/>
  <c r="V40" i="2"/>
  <c r="Z40" i="2"/>
  <c r="E40" i="2"/>
  <c r="L36" i="2"/>
  <c r="M36" i="2"/>
  <c r="W23" i="2"/>
  <c r="L37" i="2"/>
  <c r="L41" i="2"/>
  <c r="W24" i="2"/>
  <c r="M37" i="2"/>
  <c r="L38" i="2"/>
  <c r="M38" i="2"/>
  <c r="L39" i="2"/>
  <c r="W40" i="2"/>
  <c r="X40" i="2"/>
  <c r="Y40" i="2"/>
  <c r="AP15" i="2" a="1"/>
  <c r="AP14" i="2" a="1"/>
  <c r="AP13" i="2" a="1"/>
  <c r="AP16" i="2" a="1"/>
  <c r="AP14" i="2" l="1"/>
  <c r="AP16" i="2"/>
  <c r="AP13" i="2"/>
  <c r="AP15" i="2"/>
  <c r="C51" i="3" a="1"/>
  <c r="W51" i="3" s="1"/>
  <c r="AI51" i="3" a="1"/>
  <c r="AO51" i="3" s="1"/>
  <c r="BJ51" i="3" l="1"/>
  <c r="S51" i="3"/>
  <c r="U51" i="3"/>
  <c r="BK51" i="3"/>
  <c r="N51" i="3"/>
  <c r="V51" i="3"/>
  <c r="AC51" i="3"/>
  <c r="BE51" i="3"/>
  <c r="G51" i="3"/>
  <c r="AU51" i="3"/>
  <c r="C51" i="3"/>
  <c r="BF51" i="3"/>
  <c r="I51" i="3"/>
  <c r="AB51" i="3"/>
  <c r="AJ51" i="3"/>
  <c r="AS51" i="3"/>
  <c r="X51" i="3"/>
  <c r="BG51" i="3"/>
  <c r="J51" i="3"/>
  <c r="BD51" i="3"/>
  <c r="Y51" i="3"/>
  <c r="AR51" i="3"/>
  <c r="BB51" i="3"/>
  <c r="BH51" i="3"/>
  <c r="Z51" i="3"/>
  <c r="AP51" i="3"/>
  <c r="H51" i="3"/>
  <c r="AQ51" i="3"/>
  <c r="BC51" i="3"/>
  <c r="AW51" i="3"/>
  <c r="K51" i="3"/>
  <c r="AI51" i="3"/>
  <c r="BI51" i="3"/>
  <c r="R51" i="3"/>
  <c r="AE51" i="3"/>
  <c r="AL51" i="3"/>
  <c r="AV51" i="3"/>
  <c r="AD51" i="3"/>
  <c r="AA51" i="3"/>
  <c r="AM51" i="3"/>
  <c r="BL51" i="3"/>
  <c r="L51" i="3"/>
  <c r="O51" i="3"/>
  <c r="AT51" i="3"/>
  <c r="AX51" i="3"/>
  <c r="E51" i="3"/>
  <c r="P51" i="3"/>
  <c r="AK51" i="3"/>
  <c r="F51" i="3"/>
  <c r="AF51" i="3"/>
  <c r="BA51" i="3"/>
  <c r="D51" i="3"/>
  <c r="Q51" i="3"/>
  <c r="AY51" i="3"/>
  <c r="AN51" i="3"/>
  <c r="T51" i="3"/>
  <c r="AZ51" i="3"/>
  <c r="M51" i="3"/>
  <c r="BH37" i="2" a="1"/>
  <c r="BG37" i="2" a="1"/>
  <c r="BH37" i="2" l="1"/>
  <c r="BH38" i="2"/>
  <c r="BH39" i="2"/>
  <c r="BH40" i="2"/>
  <c r="BG37" i="2"/>
  <c r="BG38" i="2"/>
  <c r="BG39" i="2"/>
  <c r="BG40" i="2"/>
  <c r="Q5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<sst xmlns="http://schemas.openxmlformats.org/spreadsheetml/2006/main" count="1073" uniqueCount="568">
  <si>
    <r>
      <rPr>
        <b/>
        <sz val="14"/>
        <color theme="1"/>
        <rFont val="Calibri"/>
        <family val="2"/>
        <scheme val="minor"/>
      </rPr>
      <t>Calculation Sheet</t>
    </r>
    <r>
      <rPr>
        <sz val="14"/>
        <color theme="1"/>
        <rFont val="Calibri"/>
        <family val="2"/>
        <scheme val="minor"/>
      </rPr>
      <t xml:space="preserve"> - ADEPT Deposition Simulation</t>
    </r>
  </si>
  <si>
    <t>General Info for Deposition Simulation Sheet</t>
  </si>
  <si>
    <t>Res</t>
  </si>
  <si>
    <t>T</t>
  </si>
  <si>
    <t>P</t>
  </si>
  <si>
    <t>MPa^0.5</t>
  </si>
  <si>
    <t>mol%</t>
  </si>
  <si>
    <t>specType</t>
  </si>
  <si>
    <t>I/O</t>
  </si>
  <si>
    <t>prop_string</t>
  </si>
  <si>
    <t>;</t>
  </si>
  <si>
    <t>phase amt</t>
  </si>
  <si>
    <t>density</t>
  </si>
  <si>
    <t>solubility parameter</t>
  </si>
  <si>
    <t>viscosity</t>
  </si>
  <si>
    <t>Ceq</t>
  </si>
  <si>
    <t>Temp</t>
  </si>
  <si>
    <t>phase_T</t>
  </si>
  <si>
    <t>phase_V</t>
  </si>
  <si>
    <t>phase_L1</t>
  </si>
  <si>
    <t>phase_L2</t>
  </si>
  <si>
    <t>dens_V</t>
  </si>
  <si>
    <t>dens_L1</t>
  </si>
  <si>
    <t>dens_L2</t>
  </si>
  <si>
    <t>dens_Asp</t>
  </si>
  <si>
    <t>SP_V</t>
  </si>
  <si>
    <t>SP_L1</t>
  </si>
  <si>
    <t>SP_L2</t>
  </si>
  <si>
    <t>SP_Asp</t>
  </si>
  <si>
    <t>visco_V</t>
  </si>
  <si>
    <t>visco_L1</t>
  </si>
  <si>
    <t>visco_L2</t>
  </si>
  <si>
    <t>°F</t>
  </si>
  <si>
    <t>N</t>
  </si>
  <si>
    <t>Symbol</t>
  </si>
  <si>
    <t>Class</t>
  </si>
  <si>
    <t>MW</t>
  </si>
  <si>
    <t>asphaltene</t>
  </si>
  <si>
    <t>g/mol</t>
  </si>
  <si>
    <t>s</t>
  </si>
  <si>
    <t>a0</t>
  </si>
  <si>
    <t>kg/s</t>
  </si>
  <si>
    <t>a1</t>
  </si>
  <si>
    <t>L</t>
  </si>
  <si>
    <t>m</t>
  </si>
  <si>
    <t>ID</t>
  </si>
  <si>
    <t>b1</t>
  </si>
  <si>
    <t>μ_L1</t>
  </si>
  <si>
    <t>cP</t>
  </si>
  <si>
    <t>kP model</t>
  </si>
  <si>
    <t>ρ_L1</t>
  </si>
  <si>
    <t>g/cc</t>
  </si>
  <si>
    <t>c0</t>
  </si>
  <si>
    <t>ρ_L2</t>
  </si>
  <si>
    <t>c1</t>
  </si>
  <si>
    <t>ρ_Asp</t>
  </si>
  <si>
    <t>d0</t>
  </si>
  <si>
    <t>yAsp_L2</t>
  </si>
  <si>
    <t>d1</t>
  </si>
  <si>
    <t>g/g</t>
  </si>
  <si>
    <t>Asp solubility (gAsp[L1] / gAsp)</t>
  </si>
  <si>
    <t>kAg model</t>
  </si>
  <si>
    <t>F</t>
  </si>
  <si>
    <t>kgAsp/m3</t>
  </si>
  <si>
    <t>Asp conc (kgAsp / m3 oil)</t>
  </si>
  <si>
    <t>Ca[0]</t>
  </si>
  <si>
    <t>psig</t>
  </si>
  <si>
    <t>kD scaling</t>
  </si>
  <si>
    <t>kᴾ</t>
  </si>
  <si>
    <t>1/s</t>
  </si>
  <si>
    <t>days</t>
  </si>
  <si>
    <t>Kᴬᵍ</t>
  </si>
  <si>
    <t>kᴰ</t>
  </si>
  <si>
    <t>ft</t>
  </si>
  <si>
    <t>Pa</t>
  </si>
  <si>
    <t>in</t>
  </si>
  <si>
    <t>n</t>
  </si>
  <si>
    <t>massflow rate (kg/s)</t>
  </si>
  <si>
    <t>kg/m3</t>
  </si>
  <si>
    <t>Pa.s</t>
  </si>
  <si>
    <t>rho_mix</t>
  </si>
  <si>
    <t>mixing rule (dens)</t>
  </si>
  <si>
    <t>mu_mix</t>
  </si>
  <si>
    <t>mixing rule (visco)</t>
  </si>
  <si>
    <t>ADEPT_Input</t>
  </si>
  <si>
    <t>u_mix</t>
  </si>
  <si>
    <t>mixing rule (velocity)</t>
  </si>
  <si>
    <t>ADEPT Parameters</t>
  </si>
  <si>
    <t>default</t>
  </si>
  <si>
    <t>Σ Amt</t>
  </si>
  <si>
    <t>production data</t>
  </si>
  <si>
    <t>t_sim</t>
  </si>
  <si>
    <t>sim time (s)</t>
  </si>
  <si>
    <t>mFlow</t>
  </si>
  <si>
    <t>Σ Asp</t>
  </si>
  <si>
    <t>wtf</t>
  </si>
  <si>
    <t>gAsp/g</t>
  </si>
  <si>
    <t>pipe length (m)</t>
  </si>
  <si>
    <t>Asp_Well</t>
  </si>
  <si>
    <t>R</t>
  </si>
  <si>
    <t>pipe radius (m)</t>
  </si>
  <si>
    <t>Run Time</t>
  </si>
  <si>
    <t>run time (days)</t>
  </si>
  <si>
    <t>fluid properties</t>
  </si>
  <si>
    <t>Ti</t>
  </si>
  <si>
    <t>K</t>
  </si>
  <si>
    <t>Temp, init (K)</t>
  </si>
  <si>
    <t>Flow Rate</t>
  </si>
  <si>
    <t>STB/day</t>
  </si>
  <si>
    <t>oil production rate (STB/day)</t>
  </si>
  <si>
    <t>Pi</t>
  </si>
  <si>
    <t>bar</t>
  </si>
  <si>
    <t>Pressure, init (bar)</t>
  </si>
  <si>
    <t>Pipe Length</t>
  </si>
  <si>
    <t>pipe length (ft)</t>
  </si>
  <si>
    <t>Tf</t>
  </si>
  <si>
    <t>Temp, final (K)</t>
  </si>
  <si>
    <t>Pipe ID</t>
  </si>
  <si>
    <t>pipe ID (in)</t>
  </si>
  <si>
    <t>Pf</t>
  </si>
  <si>
    <t>Pressure, final (bar)</t>
  </si>
  <si>
    <t>Initial Deposit</t>
  </si>
  <si>
    <t>empty</t>
  </si>
  <si>
    <t>{empty, Asp, L2, Asp &amp; L2}</t>
  </si>
  <si>
    <t>Asphaltene Precipitation &amp; Deposition - Asp</t>
  </si>
  <si>
    <t>density (g/cc -&gt; kg/m3)</t>
  </si>
  <si>
    <t>*reads from "Default" if "UI" is empty</t>
  </si>
  <si>
    <t>Asp_ADEPT</t>
  </si>
  <si>
    <t>UI</t>
  </si>
  <si>
    <t>Default</t>
  </si>
  <si>
    <t>Fct Input</t>
  </si>
  <si>
    <r>
      <rPr>
        <sz val="11"/>
        <rFont val="Calibri"/>
        <family val="2"/>
      </rPr>
      <t>δ</t>
    </r>
    <r>
      <rPr>
        <sz val="11"/>
        <rFont val="Calibri"/>
        <family val="2"/>
        <scheme val="minor"/>
      </rPr>
      <t>_L1</t>
    </r>
  </si>
  <si>
    <t>solubility parameter (MPa^0.5)</t>
  </si>
  <si>
    <t>Precipitation kinetic parameter (1/s)</t>
  </si>
  <si>
    <t>δ_L2</t>
  </si>
  <si>
    <t>Aggregation kinetic parameter (1/s)</t>
  </si>
  <si>
    <t>δ_Asp</t>
  </si>
  <si>
    <t>Routines on Depo sheet</t>
  </si>
  <si>
    <t>*Inputs from UI</t>
  </si>
  <si>
    <t>Deposition kinetic parameter (1/s)</t>
  </si>
  <si>
    <t>viscosity (cP -&gt; Pa.s)</t>
  </si>
  <si>
    <r>
      <rPr>
        <b/>
        <sz val="11"/>
        <color theme="1"/>
        <rFont val="Calibri"/>
        <family val="2"/>
        <scheme val="minor"/>
      </rPr>
      <t>FP_Asp_zPTx</t>
    </r>
    <r>
      <rPr>
        <sz val="11"/>
        <color theme="1"/>
        <rFont val="Calibri"/>
        <family val="2"/>
        <scheme val="minor"/>
      </rPr>
      <t>: generate PT-profile from BH to WH or using custom profile</t>
    </r>
  </si>
  <si>
    <t>Asp_TP</t>
  </si>
  <si>
    <t>kᴾ/kᴬᵍ scaling</t>
  </si>
  <si>
    <t>scaled</t>
  </si>
  <si>
    <t>{constant or scaled}</t>
  </si>
  <si>
    <t>μ_L2</t>
  </si>
  <si>
    <r>
      <rPr>
        <b/>
        <sz val="11"/>
        <color theme="1"/>
        <rFont val="Calibri"/>
        <family val="2"/>
        <scheme val="minor"/>
      </rPr>
      <t>FP_Asp_Ceq</t>
    </r>
    <r>
      <rPr>
        <sz val="11"/>
        <color theme="1"/>
        <rFont val="Calibri"/>
        <family val="2"/>
        <scheme val="minor"/>
      </rPr>
      <t>: calculate phase properties (Ceq, ρ, SP, μ) along PT-profile</t>
    </r>
  </si>
  <si>
    <t>BH Temp</t>
  </si>
  <si>
    <t>bottomhole</t>
  </si>
  <si>
    <t>μ_Asp</t>
  </si>
  <si>
    <r>
      <rPr>
        <b/>
        <sz val="11"/>
        <color theme="1"/>
        <rFont val="Calibri"/>
        <family val="2"/>
        <scheme val="minor"/>
      </rPr>
      <t>FP_Asp_DepoRate</t>
    </r>
    <r>
      <rPr>
        <sz val="11"/>
        <color theme="1"/>
        <rFont val="Calibri"/>
        <family val="2"/>
        <scheme val="minor"/>
      </rPr>
      <t>: calculate ADEPT rates (kP, Kag, kD) along PT-profile</t>
    </r>
  </si>
  <si>
    <t>BH Pressure</t>
  </si>
  <si>
    <t>Asp_ADEPT_SR</t>
  </si>
  <si>
    <t>yAsp_L1</t>
  </si>
  <si>
    <t>asph compo (gAsp[k]/g[k])</t>
  </si>
  <si>
    <r>
      <rPr>
        <b/>
        <sz val="11"/>
        <color theme="1"/>
        <rFont val="Calibri"/>
        <family val="2"/>
        <scheme val="minor"/>
      </rPr>
      <t>FP_Asp_DepoModel</t>
    </r>
    <r>
      <rPr>
        <sz val="11"/>
        <color theme="1"/>
        <rFont val="Calibri"/>
        <family val="2"/>
        <scheme val="minor"/>
      </rPr>
      <t>: calculate deposition thickness along PT-profile</t>
    </r>
  </si>
  <si>
    <t>WH Temp</t>
  </si>
  <si>
    <t>wellhead</t>
  </si>
  <si>
    <t>τ₀</t>
  </si>
  <si>
    <t>shear stress (Pa) at the wall</t>
  </si>
  <si>
    <t>WH Pressure</t>
  </si>
  <si>
    <t>kˢᴿ</t>
  </si>
  <si>
    <t>-</t>
  </si>
  <si>
    <t>alpha (-), set =0 to turn off shear removal</t>
  </si>
  <si>
    <t>thermo_props</t>
  </si>
  <si>
    <t>LUT</t>
  </si>
  <si>
    <t>{"LUT"=lookup table, "constant"=`ADEPT_Input` range}</t>
  </si>
  <si>
    <t xml:space="preserve">PT-profile </t>
  </si>
  <si>
    <t>linear</t>
  </si>
  <si>
    <t>linear or custom?</t>
  </si>
  <si>
    <t>n (-)</t>
  </si>
  <si>
    <t>ADEPT parameters</t>
  </si>
  <si>
    <t>rate_props</t>
  </si>
  <si>
    <t>{"LUT"=lookup table, "constant"=`Asp_ADEPT` range, "default"=``}</t>
  </si>
  <si>
    <t>kP/kAg scaling</t>
  </si>
  <si>
    <t>{"scaled"=`Asp_kAgCoeff` range, "constant"=`Asp_ADEPT` range}</t>
  </si>
  <si>
    <t>{1 = wellbore field data, 2 = packed bed data, 3 = capillary experiment data}; if 2,3 the kD is scaled to wellbore</t>
  </si>
  <si>
    <t>kᴾ,Kᴬᵍ,kᴰ</t>
  </si>
  <si>
    <t>ADEPT kinetic parameter (1/s), [Ppt, Agg, Dep]</t>
  </si>
  <si>
    <r>
      <t xml:space="preserve">* needed for calculation: </t>
    </r>
    <r>
      <rPr>
        <b/>
        <sz val="11"/>
        <color theme="1"/>
        <rFont val="Calibri"/>
        <family val="2"/>
        <scheme val="minor"/>
      </rPr>
      <t>Asp_zPTx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Asp_Thermo</t>
    </r>
  </si>
  <si>
    <t>Pipe Profile</t>
  </si>
  <si>
    <t>kP_param</t>
  </si>
  <si>
    <t>STP</t>
  </si>
  <si>
    <t>Asp_Depo_Summary_dP</t>
  </si>
  <si>
    <t>Asp_DepoModel_dP(m,L,ID,BHP,depth,del,FluidProps)</t>
  </si>
  <si>
    <t>Req'd Inputs Check</t>
  </si>
  <si>
    <t>Error?</t>
  </si>
  <si>
    <t>ErrMsg</t>
  </si>
  <si>
    <t>BHT</t>
  </si>
  <si>
    <t>kAg_coeffs</t>
  </si>
  <si>
    <t>kP_model</t>
  </si>
  <si>
    <t>T-SP</t>
  </si>
  <si>
    <t>kP scaling {"T-SP","T","NRB"}</t>
  </si>
  <si>
    <t>Pressure</t>
  </si>
  <si>
    <t>Asp</t>
  </si>
  <si>
    <t>L2</t>
  </si>
  <si>
    <t>PT_Trace</t>
  </si>
  <si>
    <t>BHP</t>
  </si>
  <si>
    <t>Ppt+Agg model coeffs</t>
  </si>
  <si>
    <t>a2</t>
  </si>
  <si>
    <t>kAg_param</t>
  </si>
  <si>
    <t>atm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</si>
  <si>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Pf</t>
    </r>
  </si>
  <si>
    <t>dPf, friction pressure drop</t>
  </si>
  <si>
    <t>ΔPf</t>
  </si>
  <si>
    <t>P descend?</t>
  </si>
  <si>
    <t>WHT</t>
  </si>
  <si>
    <t>Asp_kAgCoeff</t>
  </si>
  <si>
    <t>IL</t>
  </si>
  <si>
    <t>kAg scaling {"IL","NRB"}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</si>
  <si>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Pg</t>
    </r>
  </si>
  <si>
    <t>dPg, gravity (hydrostatic) pressure drop</t>
  </si>
  <si>
    <t>ΔPg</t>
  </si>
  <si>
    <t>Well_Data</t>
  </si>
  <si>
    <t>WHP</t>
  </si>
  <si>
    <t>SR_param</t>
  </si>
  <si>
    <t>SR [tau0: critical shear stress at wall (Pa), k: multiplier, n: exponent]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</si>
  <si>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P</t>
    </r>
  </si>
  <si>
    <t>dP, total pressure drop (dPf + dPg)</t>
  </si>
  <si>
    <t>ΔP</t>
  </si>
  <si>
    <t>Asp_ErrMsg</t>
  </si>
  <si>
    <t>SR_model</t>
  </si>
  <si>
    <t>* calculate total mass flow from Q(stb/d), GOR, and ρ(STP)</t>
  </si>
  <si>
    <t>flowing status</t>
  </si>
  <si>
    <t>{"flowing", "shutdown", or "plugged"}</t>
  </si>
  <si>
    <t>flowing</t>
  </si>
  <si>
    <t>volume</t>
  </si>
  <si>
    <t>TP;VL</t>
  </si>
  <si>
    <t>FP_TXF(specType,T,X,ni,sht_P,prop_string)</t>
  </si>
  <si>
    <t>nSteps</t>
  </si>
  <si>
    <t>GOR</t>
  </si>
  <si>
    <t>phase mass</t>
  </si>
  <si>
    <t>Asp_Depo_Summary_Sep</t>
  </si>
  <si>
    <t>sum</t>
  </si>
  <si>
    <t>GORwt</t>
  </si>
  <si>
    <t>mass_V</t>
  </si>
  <si>
    <t>mass_L</t>
  </si>
  <si>
    <t>mass_T</t>
  </si>
  <si>
    <t>Depo_Solver</t>
  </si>
  <si>
    <t>SolverType</t>
  </si>
  <si>
    <t>IE</t>
  </si>
  <si>
    <t>Solver {IE=implicit Eulur, EE=explicit Eulur}</t>
  </si>
  <si>
    <t>wt%</t>
  </si>
  <si>
    <t>scf/stb</t>
  </si>
  <si>
    <t>gG/gL</t>
  </si>
  <si>
    <t>Steady State?</t>
  </si>
  <si>
    <t>{0 = transient, 1 = steady-state}</t>
  </si>
  <si>
    <t>BH</t>
  </si>
  <si>
    <t>gas-oil ratio (scf/stb) at separator T,P</t>
  </si>
  <si>
    <t>nTimeCuts</t>
  </si>
  <si>
    <t>WH</t>
  </si>
  <si>
    <r>
      <rPr>
        <sz val="11"/>
        <rFont val="Cambria"/>
        <family val="1"/>
      </rPr>
      <t>ρ</t>
    </r>
    <r>
      <rPr>
        <sz val="11"/>
        <rFont val="Calibri"/>
        <family val="2"/>
      </rPr>
      <t xml:space="preserve"> Liq</t>
    </r>
  </si>
  <si>
    <t>density (g/cc) of liquid at separator T,P</t>
  </si>
  <si>
    <t>ρ Liq</t>
  </si>
  <si>
    <t>mass Liq</t>
  </si>
  <si>
    <t>liquid mass flow rate (kg/s)</t>
  </si>
  <si>
    <t>*total mass flow in pipe (converts STB -&gt; kg)</t>
  </si>
  <si>
    <t>mass Gas</t>
  </si>
  <si>
    <t>gas mass flow rate (kg/s)</t>
  </si>
  <si>
    <r>
      <rPr>
        <sz val="11"/>
        <rFont val="Calibri"/>
        <family val="2"/>
      </rPr>
      <t xml:space="preserve">Σ </t>
    </r>
    <r>
      <rPr>
        <sz val="11"/>
        <rFont val="Calibri"/>
        <family val="2"/>
        <scheme val="minor"/>
      </rPr>
      <t>mass</t>
    </r>
  </si>
  <si>
    <t>total mass flow rate (kg/s)</t>
  </si>
  <si>
    <t>Σ mass</t>
  </si>
  <si>
    <t>* properties correspond to separator T, P (assumed 60 °F, 0 psig)</t>
  </si>
  <si>
    <t>C(t,z)</t>
  </si>
  <si>
    <t>Cag(t,z)</t>
  </si>
  <si>
    <t>A</t>
  </si>
  <si>
    <t>B</t>
  </si>
  <si>
    <t>C</t>
  </si>
  <si>
    <t>D</t>
  </si>
  <si>
    <t>E</t>
  </si>
  <si>
    <t>G</t>
  </si>
  <si>
    <t>H</t>
  </si>
  <si>
    <t>I</t>
  </si>
  <si>
    <t>J</t>
  </si>
  <si>
    <t>M</t>
  </si>
  <si>
    <t>O</t>
  </si>
  <si>
    <t>Q</t>
  </si>
  <si>
    <t>S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</si>
  <si>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</si>
  <si>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</si>
  <si>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</si>
  <si>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</si>
  <si>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</si>
  <si>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</si>
  <si>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</si>
  <si>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</si>
  <si>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</si>
  <si>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mass Asp deposited</t>
  </si>
  <si>
    <t>kg</t>
  </si>
  <si>
    <t>FP_Asp_DepoModel</t>
  </si>
  <si>
    <t>Cut</t>
  </si>
  <si>
    <t>Time Cut Summary (TCS)</t>
  </si>
  <si>
    <t>Asp_zPTx</t>
  </si>
  <si>
    <t>Asp_fracBlock</t>
  </si>
  <si>
    <t>Asp_FluidProps</t>
  </si>
  <si>
    <t>Asp_Rate</t>
  </si>
  <si>
    <t>Asp_DepoModel</t>
  </si>
  <si>
    <t>Asp_fracBlock_Out</t>
  </si>
  <si>
    <t>Asp Solubility (gAsp_L1/gAsp_T)</t>
  </si>
  <si>
    <t>Asp Composition (y=wtf)</t>
  </si>
  <si>
    <t>Phase Amounts (β=wt%)</t>
  </si>
  <si>
    <t>Density (ρ=g/cc)</t>
  </si>
  <si>
    <t>Solubility Parameter (δ=MPa^0.5)</t>
  </si>
  <si>
    <t>Driving Force</t>
  </si>
  <si>
    <t>Deposit Thickness</t>
  </si>
  <si>
    <t>Fraction Blocked</t>
  </si>
  <si>
    <t>Flux</t>
  </si>
  <si>
    <t>Mass</t>
  </si>
  <si>
    <t>Asp Depo Model Inputs</t>
  </si>
  <si>
    <t>Fraction Blocked (initial)</t>
  </si>
  <si>
    <t>Viscosity (μ=cP)</t>
  </si>
  <si>
    <t>Deposition rate constants (1/s)</t>
  </si>
  <si>
    <t>Depth</t>
  </si>
  <si>
    <t>ρ Oil</t>
  </si>
  <si>
    <t>μ Oil</t>
  </si>
  <si>
    <t>L1</t>
  </si>
  <si>
    <t>Cf-Ceq</t>
  </si>
  <si>
    <t>δᴬˢᵖ</t>
  </si>
  <si>
    <t>δᴰᴹ</t>
  </si>
  <si>
    <t>Bᴬˢᵖ</t>
  </si>
  <si>
    <t>Bᴰᴹ</t>
  </si>
  <si>
    <t>φᴬˢᵖ</t>
  </si>
  <si>
    <t>mᴬˢᵖ</t>
  </si>
  <si>
    <t>Time</t>
  </si>
  <si>
    <t>ΔPf/dt</t>
  </si>
  <si>
    <t>Vᴬˢᵖ</t>
  </si>
  <si>
    <t>Vᴰᴹ</t>
  </si>
  <si>
    <t>z</t>
  </si>
  <si>
    <t>Asp_DepoInputs</t>
  </si>
  <si>
    <t>gAsp_L1/gAsp</t>
  </si>
  <si>
    <t>wtfrac</t>
  </si>
  <si>
    <t>g/m2/d</t>
  </si>
  <si>
    <t>psi</t>
  </si>
  <si>
    <t>psi/d</t>
  </si>
  <si>
    <t>mass deposit (wtf Asp)</t>
  </si>
  <si>
    <t>deposit vol (volf)</t>
  </si>
  <si>
    <t>[-]</t>
  </si>
  <si>
    <t>MPa½</t>
  </si>
  <si>
    <t>0.022,0.002192,0.03</t>
  </si>
  <si>
    <t>0.360826555152274,41.1242235495591,0,0</t>
  </si>
  <si>
    <t>1.87085201371982E-03,0,0,0</t>
  </si>
  <si>
    <t>5,0.6,0.16</t>
  </si>
  <si>
    <t>FP Version</t>
  </si>
  <si>
    <t>Calculation Settings</t>
  </si>
  <si>
    <t>EOS</t>
  </si>
  <si>
    <t>PR-78</t>
  </si>
  <si>
    <t xml:space="preserve"> </t>
  </si>
  <si>
    <t>PhaseType</t>
  </si>
  <si>
    <t>VLL</t>
  </si>
  <si>
    <t>Units</t>
  </si>
  <si>
    <t>StabilityType</t>
  </si>
  <si>
    <t>haugen</t>
  </si>
  <si>
    <t>Prop</t>
  </si>
  <si>
    <t>Volume</t>
  </si>
  <si>
    <t>Density</t>
  </si>
  <si>
    <t>Amt</t>
  </si>
  <si>
    <t>Compo</t>
  </si>
  <si>
    <t>Tc</t>
  </si>
  <si>
    <t>Pc</t>
  </si>
  <si>
    <t>Vc</t>
  </si>
  <si>
    <t>SAFTsigma</t>
  </si>
  <si>
    <t>Visco</t>
  </si>
  <si>
    <t>ParamEst</t>
  </si>
  <si>
    <t>ASV</t>
  </si>
  <si>
    <t>IN</t>
  </si>
  <si>
    <t>cc/mol</t>
  </si>
  <si>
    <t>Ang</t>
  </si>
  <si>
    <t>ViscoModel</t>
  </si>
  <si>
    <t>PR-FT</t>
  </si>
  <si>
    <t>OUT</t>
  </si>
  <si>
    <t>Fluid</t>
  </si>
  <si>
    <t>PC003 - PR78 kij(T) - Default BIP - Final.fpxl</t>
  </si>
  <si>
    <t>STD</t>
  </si>
  <si>
    <t>cc</t>
  </si>
  <si>
    <t>mol</t>
  </si>
  <si>
    <t>Thermodynamic Model Parameters</t>
  </si>
  <si>
    <t>Component Thermodynamic &amp; Viscosity Model Parameters</t>
  </si>
  <si>
    <t>*convert composition from mass to mole or vice versa</t>
  </si>
  <si>
    <t>Component Parameters</t>
  </si>
  <si>
    <t>General Properties [STP = 25 C, 1 bar]</t>
  </si>
  <si>
    <t>Critical Properties</t>
  </si>
  <si>
    <t>Volume Shift Parameters</t>
  </si>
  <si>
    <t>RKS-ρ Parameters</t>
  </si>
  <si>
    <t>PR-ρ Parameters</t>
  </si>
  <si>
    <t>PC-SAFT Parameters</t>
  </si>
  <si>
    <t>CPA_RKS Parameters</t>
  </si>
  <si>
    <t>CPA_PR Parameters</t>
  </si>
  <si>
    <t>CPC-RK Parameters</t>
  </si>
  <si>
    <t>CPCA_RKS Parameters</t>
  </si>
  <si>
    <t>CPCA_PR Parameters</t>
  </si>
  <si>
    <t>Cubic_FT</t>
  </si>
  <si>
    <t>Gen_FT</t>
  </si>
  <si>
    <t>SSP Parameters</t>
  </si>
  <si>
    <t>DIPPR Solid Density [kmol/m^3]</t>
  </si>
  <si>
    <t>DIPPR Liquid Density [kmol/m^3]</t>
  </si>
  <si>
    <t>DIPPR Vapor Pressure [Pa]</t>
  </si>
  <si>
    <t>DIPPR Heat of Vaporization [J/kmol]</t>
  </si>
  <si>
    <t>DIPPR Solid Heat Capacity [J/kmol.K]</t>
  </si>
  <si>
    <t>DIPPR Liquid Heat Capacity [J/kmol.K]</t>
  </si>
  <si>
    <t>DIPPR Ideal Gas Heat Capacity [J/kmol.K]</t>
  </si>
  <si>
    <t>DIPPR Second Virial Coefficient [m^3/kmol]</t>
  </si>
  <si>
    <t>DIPPR Liquid Viscosity [kg/m.s]</t>
  </si>
  <si>
    <t>DIPPR Vapor Viscosity [kg/m.s]</t>
  </si>
  <si>
    <t>DIPPR Liquid Thermal Conductivity [J/m.s.K]</t>
  </si>
  <si>
    <t>DIPPR Vapor Thermal Conductivity [J/m.s.K]</t>
  </si>
  <si>
    <t>DIPPR Surface Tension [kg/s^2]</t>
  </si>
  <si>
    <t>EOS-DGT Influence Parameter</t>
  </si>
  <si>
    <t>Comp</t>
  </si>
  <si>
    <t>STL</t>
  </si>
  <si>
    <t>STG</t>
  </si>
  <si>
    <t>C1</t>
  </si>
  <si>
    <t>DB</t>
  </si>
  <si>
    <t>DIPPR</t>
  </si>
  <si>
    <t>Arom</t>
  </si>
  <si>
    <t>dens_STP</t>
  </si>
  <si>
    <t>Vliq</t>
  </si>
  <si>
    <t>solParam</t>
  </si>
  <si>
    <t>Tmelt</t>
  </si>
  <si>
    <t>Tboil</t>
  </si>
  <si>
    <t>Ttr</t>
  </si>
  <si>
    <t>Ptr</t>
  </si>
  <si>
    <t>igHF</t>
  </si>
  <si>
    <t>igGF</t>
  </si>
  <si>
    <t>igS</t>
  </si>
  <si>
    <t>Zc</t>
  </si>
  <si>
    <t>omega</t>
  </si>
  <si>
    <t>RKS_c0</t>
  </si>
  <si>
    <t>RKS_c1</t>
  </si>
  <si>
    <t>RKS19_c0</t>
  </si>
  <si>
    <t>RKS19_c1</t>
  </si>
  <si>
    <t>PR76_c0</t>
  </si>
  <si>
    <t>PR76_c1</t>
  </si>
  <si>
    <t>PR78_c0</t>
  </si>
  <si>
    <t>PR78_c1</t>
  </si>
  <si>
    <t>PR19_c0</t>
  </si>
  <si>
    <t>PR19_c1</t>
  </si>
  <si>
    <t>RKS_Tc</t>
  </si>
  <si>
    <t>RKS_Pc</t>
  </si>
  <si>
    <t>RKS_kap</t>
  </si>
  <si>
    <t>PR_Tc</t>
  </si>
  <si>
    <t>PR_Pc</t>
  </si>
  <si>
    <t>PR_kap</t>
  </si>
  <si>
    <t>SAFT_m</t>
  </si>
  <si>
    <t>SAFT_sigma</t>
  </si>
  <si>
    <t>SAFT_eps</t>
  </si>
  <si>
    <t>SAFT_AssocKap</t>
  </si>
  <si>
    <t>SAFT_AssocEps</t>
  </si>
  <si>
    <t>SAFT_AssocScheme</t>
  </si>
  <si>
    <t>CPA_a0</t>
  </si>
  <si>
    <t>CPA_b</t>
  </si>
  <si>
    <t>CPA_kap</t>
  </si>
  <si>
    <t>CPA_AssocKap</t>
  </si>
  <si>
    <t>CPA_AssocEps</t>
  </si>
  <si>
    <t>CPA_AssocScheme</t>
  </si>
  <si>
    <t>CPC_m</t>
  </si>
  <si>
    <t>CPC_Tc</t>
  </si>
  <si>
    <t>CPC_Pc</t>
  </si>
  <si>
    <t>CPC_m_mon</t>
  </si>
  <si>
    <t>CPCA_m</t>
  </si>
  <si>
    <t>CPCA_a0</t>
  </si>
  <si>
    <t>CPCA_b</t>
  </si>
  <si>
    <t>CPCA_kap</t>
  </si>
  <si>
    <t>CPCA_AssocKap</t>
  </si>
  <si>
    <t>CPCA_AssocEps</t>
  </si>
  <si>
    <t>CPCA_AssocScheme</t>
  </si>
  <si>
    <t>FT_ETAc</t>
  </si>
  <si>
    <t>FT_KcT</t>
  </si>
  <si>
    <t>FT_c0</t>
  </si>
  <si>
    <t>FT_c1</t>
  </si>
  <si>
    <t>FT_ETAr</t>
  </si>
  <si>
    <t>FT_ETAa</t>
  </si>
  <si>
    <t>γ (ActCoeff)</t>
  </si>
  <si>
    <t>Tmin</t>
  </si>
  <si>
    <t>Tmax</t>
  </si>
  <si>
    <t>Eq #</t>
  </si>
  <si>
    <t>IP_RKS</t>
  </si>
  <si>
    <t>IP_PR76</t>
  </si>
  <si>
    <t>IP_PR78</t>
  </si>
  <si>
    <t>IP_SAFT</t>
  </si>
  <si>
    <t>Name</t>
  </si>
  <si>
    <t>Index</t>
  </si>
  <si>
    <t>kJ/kmol</t>
  </si>
  <si>
    <t>kJ/kmol.K</t>
  </si>
  <si>
    <t>cc/mol.K</t>
  </si>
  <si>
    <t>Å</t>
  </si>
  <si>
    <t>bar.(L/mol)^2</t>
  </si>
  <si>
    <t>L/mol</t>
  </si>
  <si>
    <t>bar.(L/mol)</t>
  </si>
  <si>
    <t>μP</t>
  </si>
  <si>
    <t>nitrogen</t>
  </si>
  <si>
    <t>N2</t>
  </si>
  <si>
    <t>non-HC gas</t>
  </si>
  <si>
    <t>carbon dioxide</t>
  </si>
  <si>
    <t>CO2</t>
  </si>
  <si>
    <t>hydrogen sulfide</t>
  </si>
  <si>
    <t>H2S</t>
  </si>
  <si>
    <t>methane</t>
  </si>
  <si>
    <t>HC</t>
  </si>
  <si>
    <t>ethane</t>
  </si>
  <si>
    <t>C2</t>
  </si>
  <si>
    <t>propane</t>
  </si>
  <si>
    <t>C3</t>
  </si>
  <si>
    <t>h1a</t>
  </si>
  <si>
    <t>heavy gas</t>
  </si>
  <si>
    <t>HG</t>
  </si>
  <si>
    <t>h3a</t>
  </si>
  <si>
    <t>Sat</t>
  </si>
  <si>
    <t>maltene</t>
  </si>
  <si>
    <t>h5a</t>
  </si>
  <si>
    <t>Asph1</t>
  </si>
  <si>
    <t>Asph2</t>
  </si>
  <si>
    <t>nComp_Max</t>
  </si>
  <si>
    <t xml:space="preserve">Σ (EOS) </t>
  </si>
  <si>
    <t xml:space="preserve">Σ (comp) </t>
  </si>
  <si>
    <t xml:space="preserve">Σ (EOS+BIP) </t>
  </si>
  <si>
    <t>BIP Set</t>
  </si>
  <si>
    <t>BIP [-]</t>
  </si>
  <si>
    <t>BIP_T [1/K]</t>
  </si>
  <si>
    <t xml:space="preserve">Σ (BIP) </t>
  </si>
  <si>
    <t xml:space="preserve">Σ (BIP_T) </t>
  </si>
  <si>
    <t>Algorithm Settings for Phase Equilibrium Calculations</t>
  </si>
  <si>
    <t>Algo_Settings</t>
  </si>
  <si>
    <t>configuration</t>
  </si>
  <si>
    <t>Release</t>
  </si>
  <si>
    <r>
      <rPr>
        <b/>
        <sz val="11"/>
        <color theme="1"/>
        <rFont val="Calibri"/>
        <family val="2"/>
        <scheme val="minor"/>
      </rPr>
      <t>Release</t>
    </r>
    <r>
      <rPr>
        <sz val="11"/>
        <color theme="1"/>
        <rFont val="Calibri"/>
        <family val="2"/>
        <scheme val="minor"/>
      </rPr>
      <t xml:space="preserve"> = warnings/notifications off,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= store vars for validation, </t>
    </r>
    <r>
      <rPr>
        <b/>
        <sz val="11"/>
        <color theme="1"/>
        <rFont val="Calibri"/>
        <family val="2"/>
        <scheme val="minor"/>
      </rPr>
      <t>Test</t>
    </r>
    <r>
      <rPr>
        <sz val="11"/>
        <color theme="1"/>
        <rFont val="Calibri"/>
        <family val="2"/>
        <scheme val="minor"/>
      </rPr>
      <t xml:space="preserve"> = output vars to sheet for validation</t>
    </r>
  </si>
  <si>
    <t>fugacity derivatives</t>
  </si>
  <si>
    <t>analytic</t>
  </si>
  <si>
    <t>tp_Stability_2order</t>
  </si>
  <si>
    <t>NR-alpha</t>
  </si>
  <si>
    <t xml:space="preserve">Stability: {NR-alpha, NR-Y} </t>
  </si>
  <si>
    <t>tp_Stability_tol</t>
  </si>
  <si>
    <t>tol</t>
  </si>
  <si>
    <t>tp_Stability_iterMax</t>
  </si>
  <si>
    <t>iterMax</t>
  </si>
  <si>
    <t>tp_Stability_tol_SSI</t>
  </si>
  <si>
    <t>tol, SSI</t>
  </si>
  <si>
    <t>tp_Stability_iterMax_SSI</t>
  </si>
  <si>
    <t>iterMax, SSI</t>
  </si>
  <si>
    <t>tp_PhaseSplit_2order</t>
  </si>
  <si>
    <t>NR-n</t>
  </si>
  <si>
    <t xml:space="preserve">PhaseSplit: {NR-lnK, NR-n} </t>
  </si>
  <si>
    <t>tp_PhaseSplit_tol</t>
  </si>
  <si>
    <t>tp_PhaseSplit_iterMax</t>
  </si>
  <si>
    <t>tp_PhaseSplit_tol_SSI</t>
  </si>
  <si>
    <t>tp_PhaseSplit_iterMax_SSI</t>
  </si>
  <si>
    <t>tp_FixedPhase_2order</t>
  </si>
  <si>
    <t>NR-lnK-beta</t>
  </si>
  <si>
    <t xml:space="preserve">FixedPhase: {NR-lnK-beta} </t>
  </si>
  <si>
    <t>tp_FixedPhase_tol</t>
  </si>
  <si>
    <t>tp_FixedPhase_iterMax</t>
  </si>
  <si>
    <t>tp_FixedPhase_tol_SSI</t>
  </si>
  <si>
    <t>tp_FixedPhase_iterMax_SSI</t>
  </si>
  <si>
    <t>Calculations</t>
  </si>
  <si>
    <t>phase_V,phase_L1,phase_L2,dens_V,dens_L1,dens_L2,dens_Asp,SP_V,SP_L1,SP_L2,SP_Asp,visco_V,visco_L1,visco_L2,GOR,GORwt</t>
  </si>
  <si>
    <t>IF(ON_Dep="ON",Asph_DepoModel(ADEPT_Input,Asp_DepoInputs),"")</t>
  </si>
  <si>
    <t>Cf</t>
  </si>
  <si>
    <t>ON</t>
  </si>
  <si>
    <t>dt_arr</t>
  </si>
  <si>
    <t>Da_P</t>
  </si>
  <si>
    <t>Da_Ag</t>
  </si>
  <si>
    <t>Da_D</t>
  </si>
  <si>
    <t xml:space="preserve">Damkohler </t>
  </si>
  <si>
    <t>dz</t>
  </si>
  <si>
    <t>Uz</t>
  </si>
  <si>
    <t>m/s</t>
  </si>
  <si>
    <t>velocity</t>
  </si>
  <si>
    <t>2.45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</si>
</sst>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;\-0.000;0\ "/>
    <numFmt numFmtId="165" formatCode="0.0000"/>
    <numFmt numFmtId="166" formatCode="0.00000"/>
    <numFmt numFmtId="167" formatCode="0.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0070C0"/>
      <name val="Calibri"/>
      <family val="2"/>
      <scheme val="minor"/>
    </font>
    <font>
      <sz val="11"/>
      <color theme="0"/>
      <name val="Calibri"/>
      <family val="1"/>
      <scheme val="minor"/>
    </font>
    <font>
      <sz val="11"/>
      <color theme="1"/>
      <name val="Calibri"/>
      <family val="2"/>
    </font>
    <font>
      <sz val="11"/>
      <color indexed="12"/>
      <name val="Calibri"/>
      <family val="2"/>
      <scheme val="minor"/>
    </font>
    <font>
      <sz val="11"/>
      <name val="Calibri"/>
      <family val="2"/>
    </font>
    <font>
      <sz val="10"/>
      <name val="Calibri"/>
      <family val="2"/>
      <scheme val="minor"/>
    </font>
    <font>
      <sz val="11"/>
      <name val="Calibri"/>
      <family val="1"/>
    </font>
    <font>
      <sz val="11"/>
      <name val="Cambria"/>
      <family val="1"/>
    </font>
    <font>
      <b/>
      <sz val="11"/>
      <color theme="1"/>
      <name val="Calibri"/>
      <family val="2"/>
    </font>
    <font>
      <sz val="11"/>
      <color theme="1"/>
      <name val="Calibri"/>
      <family val="1"/>
      <charset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ADBA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theme="0" tint="-0.249977111117893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499984740745262"/>
      </bottom>
      <diagonal/>
    </border>
    <border>
      <left/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indexed="64"/>
      </bottom>
      <diagonal/>
    </border>
    <border>
      <left/>
      <right style="thin">
        <color theme="0" tint="-0.249977111117893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medium">
        <color indexed="64"/>
      </bottom>
      <diagonal/>
    </border>
    <border>
      <left style="thin">
        <color indexed="64"/>
      </left>
      <right/>
      <top style="thin">
        <color theme="0" tint="-0.249977111117893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</borders>
  <cellStyleXfs count="4">
    <xf numFmtId="0" fontId="0" fillId="0" borderId="0"/>
    <xf numFmtId="0" fontId="11" fillId="0" borderId="0"/>
    <xf numFmtId="0" fontId="1" fillId="0" borderId="0"/>
    <xf numFmtId="0" fontId="9" fillId="0" borderId="0"/>
  </cellStyleXfs>
  <cellXfs count="595">
    <xf numFmtId="0" fontId="0" fillId="0" borderId="0" xfId="0"/>
    <xf numFmtId="0" fontId="6" fillId="0" borderId="0" xfId="0" applyFont="1"/>
    <xf numFmtId="0" fontId="2" fillId="2" borderId="0" xfId="0" applyFont="1" applyFill="1"/>
    <xf numFmtId="0" fontId="0" fillId="2" borderId="0" xfId="0" applyFill="1"/>
    <xf numFmtId="0" fontId="4" fillId="3" borderId="1" xfId="0" applyFont="1" applyFill="1" applyBorder="1"/>
    <xf numFmtId="0" fontId="0" fillId="4" borderId="0" xfId="0" applyFill="1"/>
    <xf numFmtId="0" fontId="4" fillId="0" borderId="0" xfId="0" applyFont="1"/>
    <xf numFmtId="0" fontId="4" fillId="5" borderId="0" xfId="0" applyFont="1" applyFill="1"/>
    <xf numFmtId="0" fontId="0" fillId="5" borderId="0" xfId="0" applyFill="1"/>
    <xf numFmtId="0" fontId="8" fillId="6" borderId="0" xfId="0" applyFont="1" applyFill="1"/>
    <xf numFmtId="0" fontId="4" fillId="7" borderId="1" xfId="0" applyFont="1" applyFill="1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 vertical="center"/>
    </xf>
    <xf numFmtId="0" fontId="3" fillId="0" borderId="0" xfId="0" applyFont="1"/>
    <xf numFmtId="0" fontId="0" fillId="7" borderId="2" xfId="0" applyFill="1" applyBorder="1" applyAlignment="1">
      <alignment horizontal="center"/>
    </xf>
    <xf numFmtId="0" fontId="0" fillId="17" borderId="19" xfId="0" applyFill="1" applyBorder="1"/>
    <xf numFmtId="0" fontId="0" fillId="18" borderId="17" xfId="0" applyFill="1" applyBorder="1"/>
    <xf numFmtId="0" fontId="0" fillId="18" borderId="20" xfId="0" applyFill="1" applyBorder="1"/>
    <xf numFmtId="0" fontId="0" fillId="18" borderId="18" xfId="0" applyFill="1" applyBorder="1"/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0" fillId="17" borderId="36" xfId="0" applyFill="1" applyBorder="1"/>
    <xf numFmtId="0" fontId="0" fillId="18" borderId="34" xfId="0" applyFill="1" applyBorder="1"/>
    <xf numFmtId="0" fontId="0" fillId="18" borderId="37" xfId="0" applyFill="1" applyBorder="1"/>
    <xf numFmtId="0" fontId="0" fillId="18" borderId="35" xfId="0" applyFill="1" applyBorder="1"/>
    <xf numFmtId="0" fontId="10" fillId="7" borderId="42" xfId="1" applyFont="1" applyFill="1" applyBorder="1" applyAlignment="1">
      <alignment horizontal="left"/>
    </xf>
    <xf numFmtId="0" fontId="0" fillId="7" borderId="14" xfId="0" applyFill="1" applyBorder="1"/>
    <xf numFmtId="0" fontId="3" fillId="0" borderId="0" xfId="1" applyFont="1" applyAlignment="1">
      <alignment horizontal="left"/>
    </xf>
    <xf numFmtId="0" fontId="10" fillId="13" borderId="14" xfId="1" applyFont="1" applyFill="1" applyBorder="1" applyAlignment="1">
      <alignment horizontal="right"/>
    </xf>
    <xf numFmtId="0" fontId="15" fillId="0" borderId="0" xfId="1" applyFont="1" applyAlignment="1">
      <alignment horizontal="left"/>
    </xf>
    <xf numFmtId="0" fontId="10" fillId="7" borderId="43" xfId="1" applyFont="1" applyFill="1" applyBorder="1" applyAlignment="1">
      <alignment horizontal="left"/>
    </xf>
    <xf numFmtId="0" fontId="0" fillId="7" borderId="44" xfId="0" applyFill="1" applyBorder="1"/>
    <xf numFmtId="0" fontId="10" fillId="19" borderId="44" xfId="1" applyFont="1" applyFill="1" applyBorder="1" applyAlignment="1">
      <alignment horizontal="right"/>
    </xf>
    <xf numFmtId="0" fontId="0" fillId="7" borderId="44" xfId="0" applyFill="1" applyBorder="1" applyAlignment="1">
      <alignment horizontal="left"/>
    </xf>
    <xf numFmtId="0" fontId="10" fillId="13" borderId="44" xfId="1" applyFont="1" applyFill="1" applyBorder="1" applyAlignment="1">
      <alignment horizontal="right"/>
    </xf>
    <xf numFmtId="0" fontId="10" fillId="7" borderId="13" xfId="1" applyFont="1" applyFill="1" applyBorder="1" applyAlignment="1">
      <alignment horizontal="left"/>
    </xf>
    <xf numFmtId="0" fontId="0" fillId="7" borderId="12" xfId="0" applyFill="1" applyBorder="1"/>
    <xf numFmtId="0" fontId="10" fillId="19" borderId="12" xfId="1" applyFont="1" applyFill="1" applyBorder="1" applyAlignment="1">
      <alignment horizontal="right"/>
    </xf>
    <xf numFmtId="0" fontId="10" fillId="7" borderId="45" xfId="1" applyFont="1" applyFill="1" applyBorder="1" applyAlignment="1">
      <alignment horizontal="left"/>
    </xf>
    <xf numFmtId="0" fontId="0" fillId="7" borderId="40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10" fillId="12" borderId="12" xfId="1" applyFont="1" applyFill="1" applyBorder="1" applyAlignment="1">
      <alignment horizontal="right"/>
    </xf>
    <xf numFmtId="0" fontId="0" fillId="7" borderId="47" xfId="0" applyFill="1" applyBorder="1"/>
    <xf numFmtId="0" fontId="0" fillId="7" borderId="2" xfId="0" applyFill="1" applyBorder="1"/>
    <xf numFmtId="0" fontId="17" fillId="0" borderId="0" xfId="1" applyFont="1" applyAlignment="1">
      <alignment horizontal="left"/>
    </xf>
    <xf numFmtId="0" fontId="10" fillId="7" borderId="49" xfId="1" applyFont="1" applyFill="1" applyBorder="1" applyAlignment="1">
      <alignment horizontal="left"/>
    </xf>
    <xf numFmtId="0" fontId="0" fillId="7" borderId="22" xfId="0" applyFill="1" applyBorder="1" applyAlignment="1">
      <alignment horizontal="left"/>
    </xf>
    <xf numFmtId="0" fontId="10" fillId="13" borderId="22" xfId="1" applyFont="1" applyFill="1" applyBorder="1" applyAlignment="1">
      <alignment horizontal="right"/>
    </xf>
    <xf numFmtId="0" fontId="10" fillId="13" borderId="12" xfId="1" applyFont="1" applyFill="1" applyBorder="1" applyAlignment="1">
      <alignment horizontal="right"/>
    </xf>
    <xf numFmtId="0" fontId="10" fillId="10" borderId="12" xfId="1" applyFont="1" applyFill="1" applyBorder="1" applyAlignment="1">
      <alignment horizontal="right"/>
    </xf>
    <xf numFmtId="0" fontId="4" fillId="22" borderId="15" xfId="0" applyFont="1" applyFill="1" applyBorder="1"/>
    <xf numFmtId="0" fontId="4" fillId="22" borderId="6" xfId="0" applyFont="1" applyFill="1" applyBorder="1"/>
    <xf numFmtId="0" fontId="4" fillId="22" borderId="2" xfId="0" applyFont="1" applyFill="1" applyBorder="1"/>
    <xf numFmtId="0" fontId="4" fillId="11" borderId="0" xfId="0" applyFont="1" applyFill="1" applyAlignment="1">
      <alignment horizontal="right"/>
    </xf>
    <xf numFmtId="0" fontId="4" fillId="7" borderId="15" xfId="0" applyFont="1" applyFill="1" applyBorder="1"/>
    <xf numFmtId="0" fontId="0" fillId="7" borderId="6" xfId="0" applyFill="1" applyBorder="1"/>
    <xf numFmtId="0" fontId="0" fillId="23" borderId="1" xfId="0" applyFill="1" applyBorder="1"/>
    <xf numFmtId="0" fontId="0" fillId="12" borderId="0" xfId="2" applyFont="1" applyFill="1" applyAlignment="1" applyProtection="1">
      <alignment horizontal="left"/>
      <protection hidden="1"/>
    </xf>
    <xf numFmtId="0" fontId="12" fillId="0" borderId="0" xfId="0" applyFont="1"/>
    <xf numFmtId="0" fontId="10" fillId="7" borderId="7" xfId="1" applyFont="1" applyFill="1" applyBorder="1" applyAlignment="1">
      <alignment horizontal="left"/>
    </xf>
    <xf numFmtId="0" fontId="0" fillId="7" borderId="8" xfId="0" applyFill="1" applyBorder="1"/>
    <xf numFmtId="0" fontId="10" fillId="12" borderId="9" xfId="1" applyFont="1" applyFill="1" applyBorder="1" applyAlignment="1">
      <alignment horizontal="right"/>
    </xf>
    <xf numFmtId="0" fontId="10" fillId="7" borderId="50" xfId="1" applyFont="1" applyFill="1" applyBorder="1" applyAlignment="1">
      <alignment horizontal="left"/>
    </xf>
    <xf numFmtId="0" fontId="0" fillId="7" borderId="39" xfId="0" applyFill="1" applyBorder="1"/>
    <xf numFmtId="0" fontId="10" fillId="12" borderId="33" xfId="1" applyFont="1" applyFill="1" applyBorder="1" applyAlignment="1">
      <alignment horizontal="right"/>
    </xf>
    <xf numFmtId="1" fontId="10" fillId="12" borderId="33" xfId="1" applyNumberFormat="1" applyFont="1" applyFill="1" applyBorder="1" applyAlignment="1">
      <alignment horizontal="right"/>
    </xf>
    <xf numFmtId="0" fontId="10" fillId="7" borderId="1" xfId="1" applyFont="1" applyFill="1" applyBorder="1" applyAlignment="1">
      <alignment horizontal="left"/>
    </xf>
    <xf numFmtId="0" fontId="10" fillId="10" borderId="12" xfId="1" applyFont="1" applyFill="1" applyBorder="1" applyAlignment="1">
      <alignment horizontal="center"/>
    </xf>
    <xf numFmtId="0" fontId="10" fillId="13" borderId="9" xfId="1" applyFont="1" applyFill="1" applyBorder="1" applyAlignment="1">
      <alignment horizontal="right"/>
    </xf>
    <xf numFmtId="0" fontId="0" fillId="7" borderId="8" xfId="0" applyFill="1" applyBorder="1" applyAlignment="1">
      <alignment horizontal="left"/>
    </xf>
    <xf numFmtId="0" fontId="10" fillId="12" borderId="38" xfId="1" applyFont="1" applyFill="1" applyBorder="1" applyAlignment="1">
      <alignment horizontal="right"/>
    </xf>
    <xf numFmtId="0" fontId="10" fillId="7" borderId="0" xfId="1" applyFont="1" applyFill="1" applyAlignment="1">
      <alignment horizontal="left"/>
    </xf>
    <xf numFmtId="0" fontId="0" fillId="22" borderId="15" xfId="0" applyFill="1" applyBorder="1" applyAlignment="1">
      <alignment horizontal="center"/>
    </xf>
    <xf numFmtId="0" fontId="0" fillId="22" borderId="1" xfId="0" applyFill="1" applyBorder="1"/>
    <xf numFmtId="0" fontId="0" fillId="7" borderId="51" xfId="0" applyFill="1" applyBorder="1"/>
    <xf numFmtId="0" fontId="10" fillId="12" borderId="21" xfId="1" applyFont="1" applyFill="1" applyBorder="1" applyAlignment="1">
      <alignment horizontal="center"/>
    </xf>
    <xf numFmtId="0" fontId="10" fillId="7" borderId="49" xfId="1" applyFont="1" applyFill="1" applyBorder="1" applyAlignment="1">
      <alignment horizontal="center"/>
    </xf>
    <xf numFmtId="0" fontId="10" fillId="21" borderId="21" xfId="1" applyFont="1" applyFill="1" applyBorder="1" applyAlignment="1">
      <alignment horizontal="center"/>
    </xf>
    <xf numFmtId="0" fontId="10" fillId="21" borderId="48" xfId="1" applyFont="1" applyFill="1" applyBorder="1" applyAlignment="1">
      <alignment horizontal="center"/>
    </xf>
    <xf numFmtId="0" fontId="10" fillId="21" borderId="10" xfId="1" applyFont="1" applyFill="1" applyBorder="1" applyAlignment="1">
      <alignment horizontal="center"/>
    </xf>
    <xf numFmtId="0" fontId="0" fillId="7" borderId="0" xfId="0" applyFill="1"/>
    <xf numFmtId="0" fontId="10" fillId="12" borderId="48" xfId="1" applyFont="1" applyFill="1" applyBorder="1" applyAlignment="1">
      <alignment horizontal="center"/>
    </xf>
    <xf numFmtId="0" fontId="10" fillId="7" borderId="43" xfId="1" applyFont="1" applyFill="1" applyBorder="1" applyAlignment="1">
      <alignment horizontal="center"/>
    </xf>
    <xf numFmtId="0" fontId="0" fillId="7" borderId="11" xfId="0" applyFill="1" applyBorder="1"/>
    <xf numFmtId="0" fontId="10" fillId="12" borderId="10" xfId="1" applyFont="1" applyFill="1" applyBorder="1" applyAlignment="1">
      <alignment horizontal="center"/>
    </xf>
    <xf numFmtId="0" fontId="10" fillId="7" borderId="13" xfId="1" applyFont="1" applyFill="1" applyBorder="1" applyAlignment="1">
      <alignment horizontal="center"/>
    </xf>
    <xf numFmtId="0" fontId="0" fillId="7" borderId="13" xfId="0" applyFill="1" applyBorder="1" applyAlignment="1">
      <alignment horizontal="left" vertical="center"/>
    </xf>
    <xf numFmtId="0" fontId="0" fillId="10" borderId="10" xfId="0" applyFill="1" applyBorder="1"/>
    <xf numFmtId="0" fontId="0" fillId="7" borderId="7" xfId="0" applyFill="1" applyBorder="1" applyAlignment="1">
      <alignment horizontal="left" vertical="center"/>
    </xf>
    <xf numFmtId="0" fontId="0" fillId="12" borderId="9" xfId="0" applyFill="1" applyBorder="1"/>
    <xf numFmtId="0" fontId="0" fillId="12" borderId="12" xfId="0" applyFill="1" applyBorder="1"/>
    <xf numFmtId="0" fontId="10" fillId="13" borderId="8" xfId="1" applyFont="1" applyFill="1" applyBorder="1" applyAlignment="1">
      <alignment horizontal="right"/>
    </xf>
    <xf numFmtId="0" fontId="10" fillId="23" borderId="8" xfId="1" applyFont="1" applyFill="1" applyBorder="1" applyAlignment="1">
      <alignment horizontal="center"/>
    </xf>
    <xf numFmtId="0" fontId="0" fillId="5" borderId="15" xfId="0" applyFill="1" applyBorder="1" applyAlignment="1">
      <alignment horizontal="left" vertical="center"/>
    </xf>
    <xf numFmtId="0" fontId="0" fillId="12" borderId="1" xfId="0" applyFill="1" applyBorder="1"/>
    <xf numFmtId="0" fontId="10" fillId="23" borderId="12" xfId="1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4" fillId="5" borderId="42" xfId="0" applyFont="1" applyFill="1" applyBorder="1"/>
    <xf numFmtId="0" fontId="0" fillId="5" borderId="52" xfId="0" applyFill="1" applyBorder="1"/>
    <xf numFmtId="0" fontId="4" fillId="5" borderId="14" xfId="0" applyFont="1" applyFill="1" applyBorder="1"/>
    <xf numFmtId="0" fontId="10" fillId="13" borderId="8" xfId="1" applyFont="1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4" fillId="5" borderId="15" xfId="0" applyFont="1" applyFill="1" applyBorder="1"/>
    <xf numFmtId="0" fontId="0" fillId="5" borderId="6" xfId="0" applyFill="1" applyBorder="1"/>
    <xf numFmtId="0" fontId="0" fillId="5" borderId="2" xfId="0" applyFill="1" applyBorder="1"/>
    <xf numFmtId="0" fontId="0" fillId="19" borderId="9" xfId="0" applyFill="1" applyBorder="1"/>
    <xf numFmtId="0" fontId="0" fillId="7" borderId="53" xfId="0" applyFill="1" applyBorder="1"/>
    <xf numFmtId="0" fontId="0" fillId="19" borderId="54" xfId="0" applyFill="1" applyBorder="1"/>
    <xf numFmtId="0" fontId="0" fillId="7" borderId="40" xfId="0" applyFill="1" applyBorder="1"/>
    <xf numFmtId="0" fontId="0" fillId="19" borderId="38" xfId="0" applyFill="1" applyBorder="1"/>
    <xf numFmtId="0" fontId="0" fillId="19" borderId="12" xfId="0" applyFill="1" applyBorder="1"/>
    <xf numFmtId="0" fontId="0" fillId="9" borderId="2" xfId="0" applyFill="1" applyBorder="1" applyAlignment="1">
      <alignment horizontal="center"/>
    </xf>
    <xf numFmtId="0" fontId="10" fillId="19" borderId="12" xfId="1" applyFont="1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5" borderId="49" xfId="0" applyFill="1" applyBorder="1"/>
    <xf numFmtId="0" fontId="0" fillId="5" borderId="22" xfId="0" applyFill="1" applyBorder="1"/>
    <xf numFmtId="0" fontId="0" fillId="10" borderId="44" xfId="0" applyFill="1" applyBorder="1"/>
    <xf numFmtId="0" fontId="0" fillId="7" borderId="55" xfId="0" applyFill="1" applyBorder="1" applyAlignment="1">
      <alignment horizontal="left" vertical="center"/>
    </xf>
    <xf numFmtId="0" fontId="0" fillId="7" borderId="16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7" xfId="0" applyFill="1" applyBorder="1"/>
    <xf numFmtId="0" fontId="0" fillId="24" borderId="9" xfId="0" applyFill="1" applyBorder="1"/>
    <xf numFmtId="0" fontId="0" fillId="24" borderId="33" xfId="0" applyFill="1" applyBorder="1"/>
    <xf numFmtId="0" fontId="0" fillId="24" borderId="12" xfId="0" applyFill="1" applyBorder="1"/>
    <xf numFmtId="0" fontId="5" fillId="25" borderId="2" xfId="0" applyFont="1" applyFill="1" applyBorder="1" applyAlignment="1">
      <alignment horizontal="center"/>
    </xf>
    <xf numFmtId="0" fontId="0" fillId="13" borderId="8" xfId="0" applyFill="1" applyBorder="1"/>
    <xf numFmtId="0" fontId="0" fillId="5" borderId="43" xfId="0" applyFill="1" applyBorder="1"/>
    <xf numFmtId="0" fontId="0" fillId="5" borderId="44" xfId="0" applyFill="1" applyBorder="1"/>
    <xf numFmtId="0" fontId="0" fillId="7" borderId="45" xfId="0" applyFill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12" borderId="58" xfId="0" applyFill="1" applyBorder="1" applyAlignment="1">
      <alignment horizontal="center" vertical="center"/>
    </xf>
    <xf numFmtId="0" fontId="0" fillId="12" borderId="59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7" borderId="50" xfId="0" applyFill="1" applyBorder="1"/>
    <xf numFmtId="0" fontId="0" fillId="13" borderId="39" xfId="0" applyFill="1" applyBorder="1"/>
    <xf numFmtId="0" fontId="0" fillId="5" borderId="13" xfId="0" applyFill="1" applyBorder="1"/>
    <xf numFmtId="0" fontId="0" fillId="5" borderId="12" xfId="0" applyFill="1" applyBorder="1"/>
    <xf numFmtId="0" fontId="0" fillId="10" borderId="12" xfId="0" applyFill="1" applyBorder="1"/>
    <xf numFmtId="0" fontId="0" fillId="5" borderId="13" xfId="0" applyFill="1" applyBorder="1" applyAlignment="1">
      <alignment horizontal="left" vertical="center"/>
    </xf>
    <xf numFmtId="0" fontId="0" fillId="5" borderId="12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13" xfId="0" applyFill="1" applyBorder="1"/>
    <xf numFmtId="0" fontId="0" fillId="13" borderId="12" xfId="0" applyFill="1" applyBorder="1"/>
    <xf numFmtId="0" fontId="0" fillId="5" borderId="15" xfId="0" applyFill="1" applyBorder="1"/>
    <xf numFmtId="0" fontId="0" fillId="20" borderId="2" xfId="0" applyFill="1" applyBorder="1" applyAlignment="1">
      <alignment horizontal="left"/>
    </xf>
    <xf numFmtId="0" fontId="0" fillId="19" borderId="8" xfId="0" applyFill="1" applyBorder="1"/>
    <xf numFmtId="0" fontId="0" fillId="21" borderId="58" xfId="0" applyFill="1" applyBorder="1" applyAlignment="1">
      <alignment horizontal="center" vertical="center"/>
    </xf>
    <xf numFmtId="0" fontId="0" fillId="21" borderId="59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60" xfId="0" applyFill="1" applyBorder="1" applyAlignment="1">
      <alignment horizontal="center" vertical="center"/>
    </xf>
    <xf numFmtId="0" fontId="0" fillId="21" borderId="0" xfId="0" applyFill="1"/>
    <xf numFmtId="0" fontId="0" fillId="7" borderId="15" xfId="0" applyFill="1" applyBorder="1"/>
    <xf numFmtId="0" fontId="0" fillId="13" borderId="2" xfId="0" applyFill="1" applyBorder="1"/>
    <xf numFmtId="0" fontId="0" fillId="7" borderId="43" xfId="0" applyFill="1" applyBorder="1" applyAlignment="1">
      <alignment horizontal="left" vertical="center"/>
    </xf>
    <xf numFmtId="0" fontId="0" fillId="19" borderId="44" xfId="0" applyFill="1" applyBorder="1"/>
    <xf numFmtId="0" fontId="10" fillId="10" borderId="8" xfId="1" applyFont="1" applyFill="1" applyBorder="1" applyAlignment="1">
      <alignment horizontal="right"/>
    </xf>
    <xf numFmtId="0" fontId="0" fillId="7" borderId="1" xfId="0" applyFill="1" applyBorder="1"/>
    <xf numFmtId="0" fontId="0" fillId="16" borderId="2" xfId="0" applyFill="1" applyBorder="1"/>
    <xf numFmtId="0" fontId="0" fillId="7" borderId="15" xfId="0" applyFill="1" applyBorder="1" applyAlignment="1">
      <alignment horizontal="left" vertical="center"/>
    </xf>
    <xf numFmtId="0" fontId="0" fillId="7" borderId="39" xfId="0" applyFill="1" applyBorder="1" applyAlignment="1">
      <alignment horizontal="left"/>
    </xf>
    <xf numFmtId="0" fontId="10" fillId="10" borderId="39" xfId="1" applyFont="1" applyFill="1" applyBorder="1" applyAlignment="1">
      <alignment horizontal="right"/>
    </xf>
    <xf numFmtId="0" fontId="0" fillId="7" borderId="51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10" fillId="12" borderId="8" xfId="1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43" xfId="0" applyFill="1" applyBorder="1" applyAlignment="1">
      <alignment horizontal="center"/>
    </xf>
    <xf numFmtId="0" fontId="0" fillId="7" borderId="4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10" fillId="12" borderId="39" xfId="1" applyFont="1" applyFill="1" applyBorder="1" applyAlignment="1">
      <alignment horizontal="center"/>
    </xf>
    <xf numFmtId="0" fontId="0" fillId="11" borderId="9" xfId="0" applyFill="1" applyBorder="1"/>
    <xf numFmtId="0" fontId="0" fillId="19" borderId="7" xfId="2" applyFont="1" applyFill="1" applyBorder="1" applyAlignment="1" applyProtection="1">
      <alignment horizontal="center"/>
      <protection hidden="1"/>
    </xf>
    <xf numFmtId="0" fontId="0" fillId="19" borderId="8" xfId="2" applyFont="1" applyFill="1" applyBorder="1" applyAlignment="1" applyProtection="1">
      <alignment horizontal="center"/>
      <protection hidden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0" fillId="12" borderId="12" xfId="1" applyFont="1" applyFill="1" applyBorder="1" applyAlignment="1">
      <alignment horizontal="center"/>
    </xf>
    <xf numFmtId="0" fontId="0" fillId="11" borderId="33" xfId="0" applyFill="1" applyBorder="1"/>
    <xf numFmtId="0" fontId="0" fillId="19" borderId="50" xfId="2" applyFont="1" applyFill="1" applyBorder="1" applyAlignment="1" applyProtection="1">
      <alignment horizontal="center"/>
      <protection hidden="1"/>
    </xf>
    <xf numFmtId="0" fontId="0" fillId="19" borderId="39" xfId="2" applyFont="1" applyFill="1" applyBorder="1" applyAlignment="1" applyProtection="1">
      <alignment horizontal="center"/>
      <protection hidden="1"/>
    </xf>
    <xf numFmtId="0" fontId="0" fillId="0" borderId="45" xfId="0" applyBorder="1"/>
    <xf numFmtId="0" fontId="0" fillId="0" borderId="40" xfId="0" applyBorder="1"/>
    <xf numFmtId="0" fontId="0" fillId="0" borderId="38" xfId="0" applyBorder="1"/>
    <xf numFmtId="0" fontId="18" fillId="7" borderId="43" xfId="1" applyFont="1" applyFill="1" applyBorder="1" applyAlignment="1">
      <alignment horizontal="left"/>
    </xf>
    <xf numFmtId="0" fontId="0" fillId="26" borderId="45" xfId="0" applyFill="1" applyBorder="1"/>
    <xf numFmtId="0" fontId="0" fillId="26" borderId="40" xfId="0" applyFill="1" applyBorder="1"/>
    <xf numFmtId="0" fontId="0" fillId="23" borderId="38" xfId="0" applyFill="1" applyBorder="1"/>
    <xf numFmtId="0" fontId="0" fillId="0" borderId="0" xfId="0" applyAlignment="1">
      <alignment horizontal="right"/>
    </xf>
    <xf numFmtId="0" fontId="10" fillId="0" borderId="0" xfId="1" applyFont="1" applyAlignment="1">
      <alignment horizontal="left"/>
    </xf>
    <xf numFmtId="0" fontId="10" fillId="5" borderId="0" xfId="1" applyFont="1" applyFill="1" applyAlignment="1">
      <alignment horizontal="left"/>
    </xf>
    <xf numFmtId="0" fontId="15" fillId="5" borderId="0" xfId="1" applyFont="1" applyFill="1" applyAlignment="1">
      <alignment horizontal="left"/>
    </xf>
    <xf numFmtId="0" fontId="0" fillId="5" borderId="0" xfId="0" applyFill="1" applyAlignment="1">
      <alignment horizontal="left"/>
    </xf>
    <xf numFmtId="2" fontId="10" fillId="5" borderId="0" xfId="1" applyNumberFormat="1" applyFont="1" applyFill="1" applyAlignment="1">
      <alignment horizontal="right"/>
    </xf>
    <xf numFmtId="0" fontId="0" fillId="20" borderId="1" xfId="0" applyFill="1" applyBorder="1"/>
    <xf numFmtId="0" fontId="0" fillId="10" borderId="6" xfId="0" applyFill="1" applyBorder="1"/>
    <xf numFmtId="0" fontId="0" fillId="10" borderId="2" xfId="0" applyFill="1" applyBorder="1"/>
    <xf numFmtId="0" fontId="4" fillId="10" borderId="15" xfId="0" applyFont="1" applyFill="1" applyBorder="1"/>
    <xf numFmtId="0" fontId="0" fillId="6" borderId="15" xfId="0" applyFill="1" applyBorder="1"/>
    <xf numFmtId="0" fontId="0" fillId="6" borderId="6" xfId="0" applyFill="1" applyBorder="1"/>
    <xf numFmtId="0" fontId="0" fillId="6" borderId="2" xfId="0" applyFill="1" applyBorder="1"/>
    <xf numFmtId="0" fontId="0" fillId="7" borderId="43" xfId="0" applyFill="1" applyBorder="1"/>
    <xf numFmtId="0" fontId="0" fillId="7" borderId="15" xfId="0" applyFill="1" applyBorder="1" applyAlignment="1">
      <alignment vertical="center"/>
    </xf>
    <xf numFmtId="0" fontId="0" fillId="7" borderId="49" xfId="0" applyFill="1" applyBorder="1"/>
    <xf numFmtId="0" fontId="0" fillId="7" borderId="10" xfId="0" applyFill="1" applyBorder="1"/>
    <xf numFmtId="0" fontId="0" fillId="5" borderId="51" xfId="0" applyFill="1" applyBorder="1" applyAlignment="1">
      <alignment horizontal="right"/>
    </xf>
    <xf numFmtId="0" fontId="0" fillId="7" borderId="2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62" xfId="0" applyFill="1" applyBorder="1" applyAlignment="1">
      <alignment horizontal="center" vertical="center"/>
    </xf>
    <xf numFmtId="0" fontId="0" fillId="7" borderId="44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6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21" fillId="7" borderId="63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8" fillId="6" borderId="0" xfId="0" applyFont="1" applyFill="1" applyAlignment="1">
      <alignment horizontal="right"/>
    </xf>
    <xf numFmtId="0" fontId="0" fillId="7" borderId="49" xfId="0" applyFill="1" applyBorder="1" applyAlignment="1">
      <alignment horizontal="center" vertical="center"/>
    </xf>
    <xf numFmtId="0" fontId="0" fillId="7" borderId="51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67" xfId="0" applyFill="1" applyBorder="1" applyAlignment="1">
      <alignment horizontal="center" vertical="center"/>
    </xf>
    <xf numFmtId="0" fontId="0" fillId="7" borderId="68" xfId="0" applyFill="1" applyBorder="1" applyAlignment="1">
      <alignment horizontal="center" vertical="center"/>
    </xf>
    <xf numFmtId="0" fontId="0" fillId="7" borderId="68" xfId="0" applyFill="1" applyBorder="1" applyAlignment="1">
      <alignment horizontal="left" vertical="center"/>
    </xf>
    <xf numFmtId="0" fontId="0" fillId="7" borderId="47" xfId="0" applyFill="1" applyBorder="1" applyAlignment="1">
      <alignment horizontal="center" vertical="center"/>
    </xf>
    <xf numFmtId="0" fontId="0" fillId="19" borderId="72" xfId="0" applyFill="1" applyBorder="1"/>
    <xf numFmtId="0" fontId="0" fillId="19" borderId="69" xfId="0" applyFill="1" applyBorder="1"/>
    <xf numFmtId="0" fontId="0" fillId="19" borderId="70" xfId="0" applyFill="1" applyBorder="1"/>
    <xf numFmtId="0" fontId="0" fillId="19" borderId="71" xfId="0" applyFill="1" applyBorder="1"/>
    <xf numFmtId="0" fontId="0" fillId="19" borderId="23" xfId="0" applyFill="1" applyBorder="1"/>
    <xf numFmtId="0" fontId="0" fillId="19" borderId="27" xfId="0" applyFill="1" applyBorder="1"/>
    <xf numFmtId="0" fontId="0" fillId="19" borderId="28" xfId="0" applyFill="1" applyBorder="1"/>
    <xf numFmtId="0" fontId="0" fillId="19" borderId="29" xfId="0" applyFill="1" applyBorder="1"/>
    <xf numFmtId="0" fontId="0" fillId="19" borderId="73" xfId="0" applyFill="1" applyBorder="1"/>
    <xf numFmtId="0" fontId="0" fillId="19" borderId="74" xfId="0" applyFill="1" applyBorder="1"/>
    <xf numFmtId="0" fontId="0" fillId="19" borderId="75" xfId="0" applyFill="1" applyBorder="1"/>
    <xf numFmtId="0" fontId="0" fillId="19" borderId="76" xfId="0" applyFill="1" applyBorder="1"/>
    <xf numFmtId="0" fontId="0" fillId="18" borderId="72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13" borderId="71" xfId="0" applyFill="1" applyBorder="1"/>
    <xf numFmtId="0" fontId="0" fillId="18" borderId="23" xfId="0" applyFill="1" applyBorder="1"/>
    <xf numFmtId="0" fontId="0" fillId="13" borderId="27" xfId="0" applyFill="1" applyBorder="1"/>
    <xf numFmtId="0" fontId="0" fillId="13" borderId="28" xfId="0" applyFill="1" applyBorder="1"/>
    <xf numFmtId="0" fontId="0" fillId="13" borderId="29" xfId="0" applyFill="1" applyBorder="1"/>
    <xf numFmtId="0" fontId="0" fillId="19" borderId="30" xfId="0" applyFill="1" applyBorder="1"/>
    <xf numFmtId="0" fontId="0" fillId="19" borderId="31" xfId="0" applyFill="1" applyBorder="1"/>
    <xf numFmtId="0" fontId="0" fillId="19" borderId="32" xfId="0" applyFill="1" applyBorder="1"/>
    <xf numFmtId="0" fontId="0" fillId="19" borderId="24" xfId="0" applyFill="1" applyBorder="1"/>
    <xf numFmtId="0" fontId="0" fillId="19" borderId="25" xfId="0" applyFill="1" applyBorder="1"/>
    <xf numFmtId="0" fontId="0" fillId="19" borderId="26" xfId="0" applyFill="1" applyBorder="1"/>
    <xf numFmtId="0" fontId="0" fillId="18" borderId="73" xfId="0" applyFill="1" applyBorder="1"/>
    <xf numFmtId="0" fontId="0" fillId="13" borderId="65" xfId="0" applyFill="1" applyBorder="1"/>
    <xf numFmtId="0" fontId="0" fillId="13" borderId="66" xfId="0" applyFill="1" applyBorder="1"/>
    <xf numFmtId="0" fontId="0" fillId="13" borderId="47" xfId="0" applyFill="1" applyBorder="1"/>
    <xf numFmtId="0" fontId="0" fillId="16" borderId="77" xfId="0" applyFill="1" applyBorder="1"/>
    <xf numFmtId="0" fontId="0" fillId="16" borderId="78" xfId="0" applyFill="1" applyBorder="1"/>
    <xf numFmtId="0" fontId="0" fillId="16" borderId="79" xfId="0" applyFill="1" applyBorder="1"/>
    <xf numFmtId="0" fontId="0" fillId="13" borderId="80" xfId="0" applyFill="1" applyBorder="1"/>
    <xf numFmtId="0" fontId="0" fillId="13" borderId="79" xfId="0" applyFill="1" applyBorder="1"/>
    <xf numFmtId="0" fontId="0" fillId="16" borderId="81" xfId="0" applyFill="1" applyBorder="1"/>
    <xf numFmtId="0" fontId="0" fillId="27" borderId="77" xfId="0" applyFill="1" applyBorder="1"/>
    <xf numFmtId="0" fontId="0" fillId="27" borderId="79" xfId="0" applyFill="1" applyBorder="1"/>
    <xf numFmtId="0" fontId="0" fillId="27" borderId="78" xfId="0" applyFill="1" applyBorder="1"/>
    <xf numFmtId="0" fontId="0" fillId="19" borderId="80" xfId="0" applyFill="1" applyBorder="1"/>
    <xf numFmtId="0" fontId="0" fillId="19" borderId="79" xfId="0" applyFill="1" applyBorder="1"/>
    <xf numFmtId="0" fontId="0" fillId="19" borderId="81" xfId="0" applyFill="1" applyBorder="1"/>
    <xf numFmtId="0" fontId="0" fillId="18" borderId="81" xfId="0" applyFill="1" applyBorder="1"/>
    <xf numFmtId="0" fontId="0" fillId="16" borderId="50" xfId="0" applyFill="1" applyBorder="1"/>
    <xf numFmtId="0" fontId="0" fillId="16" borderId="82" xfId="0" applyFill="1" applyBorder="1"/>
    <xf numFmtId="0" fontId="0" fillId="16" borderId="39" xfId="0" applyFill="1" applyBorder="1"/>
    <xf numFmtId="0" fontId="0" fillId="13" borderId="83" xfId="0" applyFill="1" applyBorder="1"/>
    <xf numFmtId="0" fontId="0" fillId="16" borderId="33" xfId="0" applyFill="1" applyBorder="1"/>
    <xf numFmtId="0" fontId="0" fillId="27" borderId="82" xfId="0" applyFill="1" applyBorder="1"/>
    <xf numFmtId="0" fontId="0" fillId="27" borderId="39" xfId="0" applyFill="1" applyBorder="1"/>
    <xf numFmtId="0" fontId="0" fillId="27" borderId="50" xfId="0" applyFill="1" applyBorder="1"/>
    <xf numFmtId="0" fontId="0" fillId="19" borderId="83" xfId="0" applyFill="1" applyBorder="1"/>
    <xf numFmtId="0" fontId="0" fillId="19" borderId="39" xfId="0" applyFill="1" applyBorder="1"/>
    <xf numFmtId="0" fontId="0" fillId="19" borderId="33" xfId="0" applyFill="1" applyBorder="1"/>
    <xf numFmtId="0" fontId="0" fillId="18" borderId="33" xfId="0" applyFill="1" applyBorder="1"/>
    <xf numFmtId="11" fontId="0" fillId="16" borderId="50" xfId="0" applyNumberFormat="1" applyFill="1" applyBorder="1"/>
    <xf numFmtId="11" fontId="0" fillId="27" borderId="39" xfId="0" applyNumberFormat="1" applyFill="1" applyBorder="1"/>
    <xf numFmtId="0" fontId="0" fillId="16" borderId="46" xfId="0" applyFill="1" applyBorder="1"/>
    <xf numFmtId="0" fontId="0" fillId="16" borderId="68" xfId="0" applyFill="1" applyBorder="1"/>
    <xf numFmtId="0" fontId="0" fillId="16" borderId="47" xfId="0" applyFill="1" applyBorder="1"/>
    <xf numFmtId="0" fontId="0" fillId="13" borderId="74" xfId="0" applyFill="1" applyBorder="1"/>
    <xf numFmtId="0" fontId="0" fillId="13" borderId="76" xfId="0" applyFill="1" applyBorder="1"/>
    <xf numFmtId="0" fontId="0" fillId="16" borderId="67" xfId="0" applyFill="1" applyBorder="1"/>
    <xf numFmtId="0" fontId="0" fillId="27" borderId="46" xfId="0" applyFill="1" applyBorder="1"/>
    <xf numFmtId="0" fontId="0" fillId="27" borderId="47" xfId="0" applyFill="1" applyBorder="1"/>
    <xf numFmtId="0" fontId="0" fillId="27" borderId="68" xfId="0" applyFill="1" applyBorder="1"/>
    <xf numFmtId="0" fontId="0" fillId="13" borderId="0" xfId="0" applyFill="1"/>
    <xf numFmtId="0" fontId="4" fillId="13" borderId="0" xfId="0" applyFont="1" applyFill="1"/>
    <xf numFmtId="0" fontId="0" fillId="5" borderId="5" xfId="0" applyFill="1" applyBorder="1"/>
    <xf numFmtId="0" fontId="0" fillId="16" borderId="4" xfId="0" applyFill="1" applyBorder="1"/>
    <xf numFmtId="0" fontId="0" fillId="5" borderId="9" xfId="0" applyFill="1" applyBorder="1"/>
    <xf numFmtId="0" fontId="0" fillId="27" borderId="9" xfId="0" applyFill="1" applyBorder="1"/>
    <xf numFmtId="0" fontId="0" fillId="13" borderId="0" xfId="0" applyFill="1" applyAlignment="1">
      <alignment horizontal="center"/>
    </xf>
    <xf numFmtId="0" fontId="0" fillId="5" borderId="33" xfId="0" applyFill="1" applyBorder="1"/>
    <xf numFmtId="0" fontId="0" fillId="27" borderId="33" xfId="0" applyFill="1" applyBorder="1"/>
    <xf numFmtId="0" fontId="0" fillId="7" borderId="84" xfId="0" applyFill="1" applyBorder="1" applyAlignment="1">
      <alignment horizontal="center" vertical="center"/>
    </xf>
    <xf numFmtId="0" fontId="0" fillId="7" borderId="85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5" borderId="48" xfId="0" applyFill="1" applyBorder="1"/>
    <xf numFmtId="0" fontId="0" fillId="27" borderId="86" xfId="0" applyFill="1" applyBorder="1" applyAlignment="1">
      <alignment horizontal="center" vertical="center"/>
    </xf>
    <xf numFmtId="0" fontId="0" fillId="27" borderId="87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7" borderId="88" xfId="0" applyFill="1" applyBorder="1" applyAlignment="1">
      <alignment horizontal="center" vertical="center"/>
    </xf>
    <xf numFmtId="0" fontId="0" fillId="27" borderId="89" xfId="0" applyFill="1" applyBorder="1" applyAlignment="1">
      <alignment horizontal="center" vertical="center"/>
    </xf>
    <xf numFmtId="0" fontId="0" fillId="27" borderId="39" xfId="0" applyFill="1" applyBorder="1" applyAlignment="1">
      <alignment horizontal="center" vertical="center"/>
    </xf>
    <xf numFmtId="0" fontId="0" fillId="7" borderId="90" xfId="0" applyFill="1" applyBorder="1"/>
    <xf numFmtId="0" fontId="0" fillId="8" borderId="90" xfId="0" applyFill="1" applyBorder="1"/>
    <xf numFmtId="0" fontId="0" fillId="5" borderId="67" xfId="0" applyFill="1" applyBorder="1"/>
    <xf numFmtId="0" fontId="0" fillId="7" borderId="91" xfId="0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/>
    </xf>
    <xf numFmtId="0" fontId="5" fillId="2" borderId="0" xfId="0" applyFont="1" applyFill="1"/>
    <xf numFmtId="0" fontId="4" fillId="22" borderId="0" xfId="0" applyFont="1" applyFill="1"/>
    <xf numFmtId="0" fontId="0" fillId="22" borderId="0" xfId="0" applyFill="1"/>
    <xf numFmtId="0" fontId="0" fillId="13" borderId="0" xfId="0" applyFill="1" applyAlignment="1">
      <alignment horizontal="left"/>
    </xf>
    <xf numFmtId="0" fontId="4" fillId="7" borderId="6" xfId="0" applyFont="1" applyFill="1" applyBorder="1"/>
    <xf numFmtId="0" fontId="4" fillId="7" borderId="2" xfId="0" applyFont="1" applyFill="1" applyBorder="1"/>
    <xf numFmtId="0" fontId="4" fillId="13" borderId="0" xfId="0" applyFont="1" applyFill="1" applyAlignment="1">
      <alignment horizontal="center" vertical="center"/>
    </xf>
    <xf numFmtId="0" fontId="4" fillId="7" borderId="93" xfId="0" applyFont="1" applyFill="1" applyBorder="1" applyAlignment="1">
      <alignment horizontal="center" vertical="center"/>
    </xf>
    <xf numFmtId="0" fontId="4" fillId="7" borderId="51" xfId="0" applyFont="1" applyFill="1" applyBorder="1" applyAlignment="1">
      <alignment horizontal="center" vertical="center"/>
    </xf>
    <xf numFmtId="0" fontId="4" fillId="7" borderId="94" xfId="0" applyFont="1" applyFill="1" applyBorder="1" applyAlignment="1">
      <alignment horizontal="center" vertical="center"/>
    </xf>
    <xf numFmtId="0" fontId="20" fillId="7" borderId="51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4" fillId="7" borderId="49" xfId="0" applyFont="1" applyFill="1" applyBorder="1" applyAlignment="1">
      <alignment horizontal="center" vertical="center"/>
    </xf>
    <xf numFmtId="0" fontId="4" fillId="7" borderId="67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4" fillId="7" borderId="68" xfId="0" applyFont="1" applyFill="1" applyBorder="1" applyAlignment="1">
      <alignment horizontal="center" vertical="center"/>
    </xf>
    <xf numFmtId="0" fontId="4" fillId="7" borderId="91" xfId="0" applyFont="1" applyFill="1" applyBorder="1" applyAlignment="1">
      <alignment horizontal="center" vertical="center"/>
    </xf>
    <xf numFmtId="0" fontId="4" fillId="7" borderId="47" xfId="0" applyFont="1" applyFill="1" applyBorder="1" applyAlignment="1">
      <alignment horizontal="center" vertical="center"/>
    </xf>
    <xf numFmtId="0" fontId="0" fillId="7" borderId="92" xfId="0" applyFill="1" applyBorder="1" applyAlignment="1">
      <alignment horizontal="center" vertical="center" wrapText="1"/>
    </xf>
    <xf numFmtId="0" fontId="9" fillId="5" borderId="48" xfId="0" applyFont="1" applyFill="1" applyBorder="1" applyAlignment="1">
      <alignment horizontal="center"/>
    </xf>
    <xf numFmtId="0" fontId="9" fillId="5" borderId="95" xfId="3" applyFill="1" applyBorder="1" applyAlignment="1">
      <alignment horizontal="center"/>
    </xf>
    <xf numFmtId="0" fontId="9" fillId="5" borderId="33" xfId="3" applyFill="1" applyBorder="1" applyAlignment="1">
      <alignment horizontal="center"/>
    </xf>
    <xf numFmtId="0" fontId="9" fillId="5" borderId="67" xfId="0" applyFont="1" applyFill="1" applyBorder="1" applyAlignment="1">
      <alignment horizontal="center"/>
    </xf>
    <xf numFmtId="164" fontId="9" fillId="16" borderId="9" xfId="0" applyNumberFormat="1" applyFont="1" applyFill="1" applyBorder="1" applyAlignment="1" applyProtection="1">
      <alignment horizontal="center" vertical="center"/>
      <protection locked="0"/>
    </xf>
    <xf numFmtId="164" fontId="9" fillId="13" borderId="96" xfId="0" applyNumberFormat="1" applyFont="1" applyFill="1" applyBorder="1" applyAlignment="1" applyProtection="1">
      <alignment horizontal="center" vertical="center"/>
      <protection locked="0"/>
    </xf>
    <xf numFmtId="164" fontId="9" fillId="13" borderId="97" xfId="0" applyNumberFormat="1" applyFont="1" applyFill="1" applyBorder="1" applyAlignment="1" applyProtection="1">
      <alignment horizontal="center" vertical="center"/>
      <protection locked="0"/>
    </xf>
    <xf numFmtId="164" fontId="9" fillId="15" borderId="98" xfId="0" applyNumberFormat="1" applyFont="1" applyFill="1" applyBorder="1" applyAlignment="1" applyProtection="1">
      <alignment horizontal="center" vertical="center"/>
      <protection locked="0"/>
    </xf>
    <xf numFmtId="164" fontId="9" fillId="15" borderId="99" xfId="0" applyNumberFormat="1" applyFont="1" applyFill="1" applyBorder="1" applyAlignment="1" applyProtection="1">
      <alignment horizontal="center" vertical="center"/>
      <protection locked="0"/>
    </xf>
    <xf numFmtId="164" fontId="9" fillId="15" borderId="8" xfId="0" applyNumberFormat="1" applyFont="1" applyFill="1" applyBorder="1" applyAlignment="1" applyProtection="1">
      <alignment horizontal="center" vertical="center"/>
      <protection locked="0"/>
    </xf>
    <xf numFmtId="0" fontId="9" fillId="13" borderId="48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86" xfId="0" applyFont="1" applyFill="1" applyBorder="1" applyAlignment="1">
      <alignment horizontal="center"/>
    </xf>
    <xf numFmtId="0" fontId="9" fillId="13" borderId="44" xfId="0" applyFont="1" applyFill="1" applyBorder="1" applyAlignment="1">
      <alignment horizontal="center"/>
    </xf>
    <xf numFmtId="0" fontId="9" fillId="16" borderId="86" xfId="0" applyFont="1" applyFill="1" applyBorder="1"/>
    <xf numFmtId="0" fontId="9" fillId="16" borderId="87" xfId="0" applyFont="1" applyFill="1" applyBorder="1"/>
    <xf numFmtId="11" fontId="9" fillId="16" borderId="87" xfId="0" applyNumberFormat="1" applyFont="1" applyFill="1" applyBorder="1"/>
    <xf numFmtId="0" fontId="9" fillId="16" borderId="0" xfId="0" applyFont="1" applyFill="1"/>
    <xf numFmtId="0" fontId="9" fillId="12" borderId="86" xfId="0" applyFont="1" applyFill="1" applyBorder="1"/>
    <xf numFmtId="0" fontId="9" fillId="12" borderId="87" xfId="0" applyFont="1" applyFill="1" applyBorder="1"/>
    <xf numFmtId="0" fontId="9" fillId="12" borderId="44" xfId="0" applyFont="1" applyFill="1" applyBorder="1"/>
    <xf numFmtId="0" fontId="9" fillId="28" borderId="86" xfId="0" applyFont="1" applyFill="1" applyBorder="1"/>
    <xf numFmtId="0" fontId="9" fillId="28" borderId="87" xfId="0" applyFont="1" applyFill="1" applyBorder="1"/>
    <xf numFmtId="0" fontId="9" fillId="28" borderId="0" xfId="0" applyFont="1" applyFill="1"/>
    <xf numFmtId="0" fontId="9" fillId="18" borderId="86" xfId="0" applyFont="1" applyFill="1" applyBorder="1"/>
    <xf numFmtId="0" fontId="9" fillId="18" borderId="87" xfId="0" applyFont="1" applyFill="1" applyBorder="1"/>
    <xf numFmtId="0" fontId="9" fillId="18" borderId="0" xfId="0" applyFont="1" applyFill="1"/>
    <xf numFmtId="0" fontId="9" fillId="20" borderId="86" xfId="0" applyFont="1" applyFill="1" applyBorder="1"/>
    <xf numFmtId="0" fontId="9" fillId="20" borderId="87" xfId="0" applyFont="1" applyFill="1" applyBorder="1" applyAlignment="1">
      <alignment wrapText="1"/>
    </xf>
    <xf numFmtId="0" fontId="9" fillId="20" borderId="87" xfId="0" applyFont="1" applyFill="1" applyBorder="1"/>
    <xf numFmtId="0" fontId="9" fillId="20" borderId="44" xfId="0" applyFont="1" applyFill="1" applyBorder="1"/>
    <xf numFmtId="0" fontId="9" fillId="29" borderId="100" xfId="0" applyFont="1" applyFill="1" applyBorder="1"/>
    <xf numFmtId="0" fontId="9" fillId="29" borderId="101" xfId="0" applyFont="1" applyFill="1" applyBorder="1"/>
    <xf numFmtId="0" fontId="9" fillId="29" borderId="44" xfId="0" applyFont="1" applyFill="1" applyBorder="1"/>
    <xf numFmtId="0" fontId="9" fillId="29" borderId="0" xfId="0" applyFont="1" applyFill="1"/>
    <xf numFmtId="0" fontId="9" fillId="9" borderId="86" xfId="0" applyFont="1" applyFill="1" applyBorder="1"/>
    <xf numFmtId="0" fontId="9" fillId="9" borderId="87" xfId="0" applyFont="1" applyFill="1" applyBorder="1"/>
    <xf numFmtId="0" fontId="9" fillId="9" borderId="44" xfId="0" applyFont="1" applyFill="1" applyBorder="1"/>
    <xf numFmtId="0" fontId="9" fillId="16" borderId="44" xfId="0" applyFont="1" applyFill="1" applyBorder="1"/>
    <xf numFmtId="0" fontId="9" fillId="30" borderId="48" xfId="0" applyFont="1" applyFill="1" applyBorder="1"/>
    <xf numFmtId="0" fontId="9" fillId="13" borderId="43" xfId="0" applyFont="1" applyFill="1" applyBorder="1"/>
    <xf numFmtId="0" fontId="9" fillId="13" borderId="0" xfId="0" applyFont="1" applyFill="1"/>
    <xf numFmtId="0" fontId="9" fillId="13" borderId="44" xfId="0" applyFont="1" applyFill="1" applyBorder="1"/>
    <xf numFmtId="11" fontId="9" fillId="13" borderId="0" xfId="0" applyNumberFormat="1" applyFont="1" applyFill="1"/>
    <xf numFmtId="11" fontId="9" fillId="13" borderId="43" xfId="0" applyNumberFormat="1" applyFont="1" applyFill="1" applyBorder="1"/>
    <xf numFmtId="164" fontId="9" fillId="16" borderId="33" xfId="0" applyNumberFormat="1" applyFont="1" applyFill="1" applyBorder="1" applyAlignment="1" applyProtection="1">
      <alignment horizontal="center" vertical="center"/>
      <protection locked="0"/>
    </xf>
    <xf numFmtId="164" fontId="9" fillId="13" borderId="102" xfId="0" applyNumberFormat="1" applyFont="1" applyFill="1" applyBorder="1" applyAlignment="1" applyProtection="1">
      <alignment horizontal="center" vertical="center"/>
      <protection locked="0"/>
    </xf>
    <xf numFmtId="164" fontId="9" fillId="13" borderId="82" xfId="0" applyNumberFormat="1" applyFont="1" applyFill="1" applyBorder="1" applyAlignment="1" applyProtection="1">
      <alignment horizontal="center" vertical="center"/>
      <protection locked="0"/>
    </xf>
    <xf numFmtId="164" fontId="9" fillId="15" borderId="88" xfId="0" applyNumberFormat="1" applyFont="1" applyFill="1" applyBorder="1" applyAlignment="1" applyProtection="1">
      <alignment horizontal="center" vertical="center"/>
      <protection locked="0"/>
    </xf>
    <xf numFmtId="164" fontId="9" fillId="15" borderId="89" xfId="0" applyNumberFormat="1" applyFont="1" applyFill="1" applyBorder="1" applyAlignment="1" applyProtection="1">
      <alignment horizontal="center" vertical="center"/>
      <protection locked="0"/>
    </xf>
    <xf numFmtId="164" fontId="9" fillId="15" borderId="39" xfId="0" applyNumberFormat="1" applyFont="1" applyFill="1" applyBorder="1" applyAlignment="1" applyProtection="1">
      <alignment horizontal="center" vertical="center"/>
      <protection locked="0"/>
    </xf>
    <xf numFmtId="0" fontId="9" fillId="13" borderId="95" xfId="0" applyFont="1" applyFill="1" applyBorder="1" applyAlignment="1">
      <alignment horizontal="center"/>
    </xf>
    <xf numFmtId="0" fontId="9" fillId="13" borderId="103" xfId="3" applyFill="1" applyBorder="1" applyAlignment="1">
      <alignment horizontal="center"/>
    </xf>
    <xf numFmtId="0" fontId="9" fillId="13" borderId="104" xfId="3" applyFill="1" applyBorder="1" applyAlignment="1">
      <alignment horizontal="center"/>
    </xf>
    <xf numFmtId="0" fontId="9" fillId="13" borderId="105" xfId="3" applyFill="1" applyBorder="1" applyAlignment="1">
      <alignment horizontal="center"/>
    </xf>
    <xf numFmtId="0" fontId="9" fillId="16" borderId="104" xfId="3" applyFill="1" applyBorder="1"/>
    <xf numFmtId="0" fontId="9" fillId="16" borderId="106" xfId="3" applyFill="1" applyBorder="1"/>
    <xf numFmtId="11" fontId="9" fillId="16" borderId="106" xfId="3" applyNumberFormat="1" applyFill="1" applyBorder="1"/>
    <xf numFmtId="0" fontId="9" fillId="16" borderId="103" xfId="3" applyFill="1" applyBorder="1"/>
    <xf numFmtId="0" fontId="9" fillId="12" borderId="104" xfId="3" applyFill="1" applyBorder="1"/>
    <xf numFmtId="0" fontId="9" fillId="12" borderId="106" xfId="3" applyFill="1" applyBorder="1"/>
    <xf numFmtId="0" fontId="9" fillId="12" borderId="105" xfId="3" applyFill="1" applyBorder="1"/>
    <xf numFmtId="0" fontId="9" fillId="28" borderId="104" xfId="3" applyFill="1" applyBorder="1"/>
    <xf numFmtId="0" fontId="9" fillId="28" borderId="106" xfId="3" applyFill="1" applyBorder="1"/>
    <xf numFmtId="0" fontId="9" fillId="28" borderId="103" xfId="3" applyFill="1" applyBorder="1"/>
    <xf numFmtId="0" fontId="9" fillId="18" borderId="104" xfId="3" applyFill="1" applyBorder="1"/>
    <xf numFmtId="0" fontId="9" fillId="18" borderId="106" xfId="3" applyFill="1" applyBorder="1"/>
    <xf numFmtId="0" fontId="9" fillId="18" borderId="103" xfId="3" applyFill="1" applyBorder="1"/>
    <xf numFmtId="165" fontId="9" fillId="20" borderId="104" xfId="3" applyNumberFormat="1" applyFill="1" applyBorder="1"/>
    <xf numFmtId="165" fontId="9" fillId="20" borderId="106" xfId="3" applyNumberFormat="1" applyFill="1" applyBorder="1"/>
    <xf numFmtId="2" fontId="9" fillId="20" borderId="106" xfId="3" applyNumberFormat="1" applyFill="1" applyBorder="1"/>
    <xf numFmtId="0" fontId="9" fillId="20" borderId="106" xfId="0" applyFont="1" applyFill="1" applyBorder="1"/>
    <xf numFmtId="0" fontId="9" fillId="20" borderId="105" xfId="0" applyFont="1" applyFill="1" applyBorder="1"/>
    <xf numFmtId="0" fontId="9" fillId="29" borderId="104" xfId="0" applyFont="1" applyFill="1" applyBorder="1"/>
    <xf numFmtId="0" fontId="9" fillId="29" borderId="106" xfId="0" applyFont="1" applyFill="1" applyBorder="1"/>
    <xf numFmtId="0" fontId="9" fillId="29" borderId="105" xfId="0" applyFont="1" applyFill="1" applyBorder="1"/>
    <xf numFmtId="0" fontId="9" fillId="29" borderId="103" xfId="0" applyFont="1" applyFill="1" applyBorder="1"/>
    <xf numFmtId="0" fontId="9" fillId="9" borderId="104" xfId="0" applyFont="1" applyFill="1" applyBorder="1"/>
    <xf numFmtId="0" fontId="9" fillId="9" borderId="106" xfId="0" applyFont="1" applyFill="1" applyBorder="1"/>
    <xf numFmtId="0" fontId="9" fillId="9" borderId="105" xfId="0" applyFont="1" applyFill="1" applyBorder="1"/>
    <xf numFmtId="0" fontId="9" fillId="16" borderId="104" xfId="0" applyFont="1" applyFill="1" applyBorder="1"/>
    <xf numFmtId="0" fontId="9" fillId="16" borderId="106" xfId="0" applyFont="1" applyFill="1" applyBorder="1"/>
    <xf numFmtId="0" fontId="9" fillId="16" borderId="105" xfId="0" applyFont="1" applyFill="1" applyBorder="1"/>
    <xf numFmtId="0" fontId="9" fillId="30" borderId="95" xfId="3" applyFill="1" applyBorder="1"/>
    <xf numFmtId="0" fontId="9" fillId="13" borderId="107" xfId="0" applyFont="1" applyFill="1" applyBorder="1"/>
    <xf numFmtId="0" fontId="9" fillId="13" borderId="103" xfId="0" applyFont="1" applyFill="1" applyBorder="1"/>
    <xf numFmtId="0" fontId="9" fillId="13" borderId="105" xfId="0" applyFont="1" applyFill="1" applyBorder="1"/>
    <xf numFmtId="11" fontId="9" fillId="13" borderId="103" xfId="0" applyNumberFormat="1" applyFont="1" applyFill="1" applyBorder="1"/>
    <xf numFmtId="11" fontId="9" fillId="13" borderId="107" xfId="0" applyNumberFormat="1" applyFont="1" applyFill="1" applyBorder="1"/>
    <xf numFmtId="165" fontId="9" fillId="20" borderId="104" xfId="0" applyNumberFormat="1" applyFont="1" applyFill="1" applyBorder="1"/>
    <xf numFmtId="165" fontId="9" fillId="20" borderId="106" xfId="0" applyNumberFormat="1" applyFont="1" applyFill="1" applyBorder="1"/>
    <xf numFmtId="2" fontId="9" fillId="20" borderId="106" xfId="0" applyNumberFormat="1" applyFont="1" applyFill="1" applyBorder="1"/>
    <xf numFmtId="0" fontId="9" fillId="13" borderId="33" xfId="0" applyFont="1" applyFill="1" applyBorder="1" applyAlignment="1">
      <alignment horizontal="center"/>
    </xf>
    <xf numFmtId="0" fontId="9" fillId="13" borderId="82" xfId="3" applyFill="1" applyBorder="1" applyAlignment="1">
      <alignment horizontal="center"/>
    </xf>
    <xf numFmtId="0" fontId="9" fillId="13" borderId="88" xfId="3" applyFill="1" applyBorder="1" applyAlignment="1">
      <alignment horizontal="center"/>
    </xf>
    <xf numFmtId="0" fontId="9" fillId="16" borderId="88" xfId="3" applyFill="1" applyBorder="1"/>
    <xf numFmtId="0" fontId="9" fillId="16" borderId="89" xfId="3" applyFill="1" applyBorder="1"/>
    <xf numFmtId="0" fontId="9" fillId="16" borderId="82" xfId="3" applyFill="1" applyBorder="1"/>
    <xf numFmtId="0" fontId="9" fillId="12" borderId="88" xfId="0" applyFont="1" applyFill="1" applyBorder="1"/>
    <xf numFmtId="0" fontId="9" fillId="12" borderId="89" xfId="0" applyFont="1" applyFill="1" applyBorder="1"/>
    <xf numFmtId="0" fontId="9" fillId="12" borderId="89" xfId="3" applyFill="1" applyBorder="1"/>
    <xf numFmtId="0" fontId="9" fillId="12" borderId="39" xfId="0" applyFont="1" applyFill="1" applyBorder="1"/>
    <xf numFmtId="0" fontId="9" fillId="28" borderId="88" xfId="0" applyFont="1" applyFill="1" applyBorder="1"/>
    <xf numFmtId="0" fontId="9" fillId="28" borderId="89" xfId="0" applyFont="1" applyFill="1" applyBorder="1"/>
    <xf numFmtId="0" fontId="9" fillId="28" borderId="82" xfId="0" applyFont="1" applyFill="1" applyBorder="1"/>
    <xf numFmtId="0" fontId="9" fillId="18" borderId="88" xfId="0" applyFont="1" applyFill="1" applyBorder="1"/>
    <xf numFmtId="0" fontId="9" fillId="18" borderId="89" xfId="0" applyFont="1" applyFill="1" applyBorder="1"/>
    <xf numFmtId="0" fontId="9" fillId="18" borderId="82" xfId="0" applyFont="1" applyFill="1" applyBorder="1"/>
    <xf numFmtId="165" fontId="9" fillId="20" borderId="88" xfId="0" applyNumberFormat="1" applyFont="1" applyFill="1" applyBorder="1" applyAlignment="1">
      <alignment horizontal="right"/>
    </xf>
    <xf numFmtId="165" fontId="9" fillId="20" borderId="89" xfId="0" applyNumberFormat="1" applyFont="1" applyFill="1" applyBorder="1" applyAlignment="1">
      <alignment horizontal="right"/>
    </xf>
    <xf numFmtId="2" fontId="9" fillId="20" borderId="89" xfId="0" applyNumberFormat="1" applyFont="1" applyFill="1" applyBorder="1" applyAlignment="1">
      <alignment horizontal="right"/>
    </xf>
    <xf numFmtId="0" fontId="9" fillId="20" borderId="89" xfId="0" applyFont="1" applyFill="1" applyBorder="1"/>
    <xf numFmtId="0" fontId="9" fillId="20" borderId="39" xfId="0" applyFont="1" applyFill="1" applyBorder="1"/>
    <xf numFmtId="0" fontId="9" fillId="29" borderId="88" xfId="0" applyFont="1" applyFill="1" applyBorder="1"/>
    <xf numFmtId="0" fontId="9" fillId="29" borderId="89" xfId="0" applyFont="1" applyFill="1" applyBorder="1"/>
    <xf numFmtId="0" fontId="9" fillId="29" borderId="39" xfId="0" applyFont="1" applyFill="1" applyBorder="1"/>
    <xf numFmtId="0" fontId="9" fillId="29" borderId="82" xfId="0" applyFont="1" applyFill="1" applyBorder="1"/>
    <xf numFmtId="0" fontId="9" fillId="9" borderId="88" xfId="0" applyFont="1" applyFill="1" applyBorder="1"/>
    <xf numFmtId="0" fontId="9" fillId="9" borderId="89" xfId="0" applyFont="1" applyFill="1" applyBorder="1"/>
    <xf numFmtId="0" fontId="9" fillId="9" borderId="39" xfId="0" applyFont="1" applyFill="1" applyBorder="1"/>
    <xf numFmtId="0" fontId="9" fillId="16" borderId="88" xfId="0" applyFont="1" applyFill="1" applyBorder="1"/>
    <xf numFmtId="0" fontId="9" fillId="16" borderId="89" xfId="0" applyFont="1" applyFill="1" applyBorder="1"/>
    <xf numFmtId="0" fontId="9" fillId="16" borderId="39" xfId="0" applyFont="1" applyFill="1" applyBorder="1"/>
    <xf numFmtId="0" fontId="9" fillId="30" borderId="33" xfId="0" applyFont="1" applyFill="1" applyBorder="1"/>
    <xf numFmtId="0" fontId="9" fillId="13" borderId="50" xfId="0" applyFont="1" applyFill="1" applyBorder="1"/>
    <xf numFmtId="0" fontId="9" fillId="13" borderId="82" xfId="0" applyFont="1" applyFill="1" applyBorder="1"/>
    <xf numFmtId="0" fontId="9" fillId="13" borderId="39" xfId="0" applyFont="1" applyFill="1" applyBorder="1"/>
    <xf numFmtId="11" fontId="9" fillId="13" borderId="82" xfId="0" applyNumberFormat="1" applyFont="1" applyFill="1" applyBorder="1"/>
    <xf numFmtId="11" fontId="9" fillId="13" borderId="50" xfId="0" applyNumberFormat="1" applyFont="1" applyFill="1" applyBorder="1"/>
    <xf numFmtId="11" fontId="9" fillId="16" borderId="89" xfId="3" applyNumberFormat="1" applyFill="1" applyBorder="1"/>
    <xf numFmtId="165" fontId="9" fillId="20" borderId="88" xfId="3" applyNumberFormat="1" applyFill="1" applyBorder="1"/>
    <xf numFmtId="165" fontId="9" fillId="20" borderId="89" xfId="3" applyNumberFormat="1" applyFill="1" applyBorder="1"/>
    <xf numFmtId="2" fontId="9" fillId="20" borderId="89" xfId="3" applyNumberFormat="1" applyFill="1" applyBorder="1"/>
    <xf numFmtId="0" fontId="9" fillId="12" borderId="88" xfId="3" applyFill="1" applyBorder="1"/>
    <xf numFmtId="0" fontId="9" fillId="12" borderId="39" xfId="3" applyFill="1" applyBorder="1"/>
    <xf numFmtId="0" fontId="9" fillId="28" borderId="88" xfId="3" applyFill="1" applyBorder="1"/>
    <xf numFmtId="0" fontId="9" fillId="28" borderId="89" xfId="3" applyFill="1" applyBorder="1"/>
    <xf numFmtId="0" fontId="9" fillId="28" borderId="82" xfId="3" applyFill="1" applyBorder="1"/>
    <xf numFmtId="0" fontId="9" fillId="18" borderId="88" xfId="3" applyFill="1" applyBorder="1"/>
    <xf numFmtId="0" fontId="9" fillId="18" borderId="89" xfId="3" applyFill="1" applyBorder="1"/>
    <xf numFmtId="0" fontId="9" fillId="18" borderId="82" xfId="3" applyFill="1" applyBorder="1"/>
    <xf numFmtId="0" fontId="9" fillId="30" borderId="33" xfId="3" applyFill="1" applyBorder="1"/>
    <xf numFmtId="0" fontId="9" fillId="13" borderId="39" xfId="3" applyFill="1" applyBorder="1" applyAlignment="1">
      <alignment horizontal="center"/>
    </xf>
    <xf numFmtId="0" fontId="9" fillId="13" borderId="82" xfId="0" applyFont="1" applyFill="1" applyBorder="1" applyAlignment="1">
      <alignment horizontal="center"/>
    </xf>
    <xf numFmtId="0" fontId="9" fillId="13" borderId="88" xfId="0" applyFont="1" applyFill="1" applyBorder="1" applyAlignment="1">
      <alignment horizontal="center"/>
    </xf>
    <xf numFmtId="0" fontId="9" fillId="16" borderId="82" xfId="0" applyFont="1" applyFill="1" applyBorder="1"/>
    <xf numFmtId="165" fontId="9" fillId="20" borderId="88" xfId="0" applyNumberFormat="1" applyFont="1" applyFill="1" applyBorder="1"/>
    <xf numFmtId="165" fontId="9" fillId="20" borderId="89" xfId="0" applyNumberFormat="1" applyFont="1" applyFill="1" applyBorder="1"/>
    <xf numFmtId="2" fontId="9" fillId="20" borderId="89" xfId="0" applyNumberFormat="1" applyFont="1" applyFill="1" applyBorder="1"/>
    <xf numFmtId="166" fontId="9" fillId="20" borderId="89" xfId="0" applyNumberFormat="1" applyFont="1" applyFill="1" applyBorder="1"/>
    <xf numFmtId="167" fontId="9" fillId="20" borderId="89" xfId="0" applyNumberFormat="1" applyFont="1" applyFill="1" applyBorder="1"/>
    <xf numFmtId="167" fontId="9" fillId="20" borderId="39" xfId="0" applyNumberFormat="1" applyFont="1" applyFill="1" applyBorder="1"/>
    <xf numFmtId="167" fontId="9" fillId="29" borderId="88" xfId="0" applyNumberFormat="1" applyFont="1" applyFill="1" applyBorder="1"/>
    <xf numFmtId="167" fontId="9" fillId="29" borderId="89" xfId="0" applyNumberFormat="1" applyFont="1" applyFill="1" applyBorder="1"/>
    <xf numFmtId="167" fontId="9" fillId="29" borderId="39" xfId="0" applyNumberFormat="1" applyFont="1" applyFill="1" applyBorder="1"/>
    <xf numFmtId="167" fontId="9" fillId="29" borderId="82" xfId="0" applyNumberFormat="1" applyFont="1" applyFill="1" applyBorder="1"/>
    <xf numFmtId="167" fontId="9" fillId="9" borderId="88" xfId="0" applyNumberFormat="1" applyFont="1" applyFill="1" applyBorder="1"/>
    <xf numFmtId="167" fontId="9" fillId="9" borderId="89" xfId="0" applyNumberFormat="1" applyFont="1" applyFill="1" applyBorder="1"/>
    <xf numFmtId="167" fontId="9" fillId="9" borderId="39" xfId="0" applyNumberFormat="1" applyFont="1" applyFill="1" applyBorder="1"/>
    <xf numFmtId="167" fontId="9" fillId="16" borderId="88" xfId="0" applyNumberFormat="1" applyFont="1" applyFill="1" applyBorder="1"/>
    <xf numFmtId="167" fontId="9" fillId="16" borderId="89" xfId="0" applyNumberFormat="1" applyFont="1" applyFill="1" applyBorder="1"/>
    <xf numFmtId="167" fontId="9" fillId="16" borderId="39" xfId="0" applyNumberFormat="1" applyFont="1" applyFill="1" applyBorder="1"/>
    <xf numFmtId="167" fontId="9" fillId="13" borderId="50" xfId="0" applyNumberFormat="1" applyFont="1" applyFill="1" applyBorder="1"/>
    <xf numFmtId="167" fontId="9" fillId="13" borderId="82" xfId="0" applyNumberFormat="1" applyFont="1" applyFill="1" applyBorder="1"/>
    <xf numFmtId="167" fontId="9" fillId="13" borderId="39" xfId="0" applyNumberFormat="1" applyFont="1" applyFill="1" applyBorder="1"/>
    <xf numFmtId="164" fontId="9" fillId="16" borderId="67" xfId="0" applyNumberFormat="1" applyFont="1" applyFill="1" applyBorder="1" applyAlignment="1" applyProtection="1">
      <alignment horizontal="center" vertical="center"/>
      <protection locked="0"/>
    </xf>
    <xf numFmtId="164" fontId="9" fillId="13" borderId="108" xfId="0" applyNumberFormat="1" applyFont="1" applyFill="1" applyBorder="1" applyAlignment="1" applyProtection="1">
      <alignment horizontal="center" vertical="center"/>
      <protection locked="0"/>
    </xf>
    <xf numFmtId="164" fontId="9" fillId="13" borderId="68" xfId="0" applyNumberFormat="1" applyFont="1" applyFill="1" applyBorder="1" applyAlignment="1" applyProtection="1">
      <alignment horizontal="center" vertical="center"/>
      <protection locked="0"/>
    </xf>
    <xf numFmtId="164" fontId="9" fillId="15" borderId="91" xfId="0" applyNumberFormat="1" applyFont="1" applyFill="1" applyBorder="1" applyAlignment="1" applyProtection="1">
      <alignment horizontal="center" vertical="center"/>
      <protection locked="0"/>
    </xf>
    <xf numFmtId="164" fontId="9" fillId="15" borderId="92" xfId="0" applyNumberFormat="1" applyFont="1" applyFill="1" applyBorder="1" applyAlignment="1" applyProtection="1">
      <alignment horizontal="center" vertical="center"/>
      <protection locked="0"/>
    </xf>
    <xf numFmtId="164" fontId="9" fillId="15" borderId="47" xfId="0" applyNumberFormat="1" applyFont="1" applyFill="1" applyBorder="1" applyAlignment="1" applyProtection="1">
      <alignment horizontal="center" vertical="center"/>
      <protection locked="0"/>
    </xf>
    <xf numFmtId="0" fontId="9" fillId="13" borderId="67" xfId="0" applyFont="1" applyFill="1" applyBorder="1" applyAlignment="1">
      <alignment horizontal="center"/>
    </xf>
    <xf numFmtId="0" fontId="9" fillId="13" borderId="68" xfId="0" applyFont="1" applyFill="1" applyBorder="1" applyAlignment="1">
      <alignment horizontal="center"/>
    </xf>
    <xf numFmtId="0" fontId="9" fillId="13" borderId="91" xfId="0" applyFont="1" applyFill="1" applyBorder="1" applyAlignment="1">
      <alignment horizontal="center"/>
    </xf>
    <xf numFmtId="0" fontId="9" fillId="13" borderId="47" xfId="0" applyFont="1" applyFill="1" applyBorder="1" applyAlignment="1">
      <alignment horizontal="center"/>
    </xf>
    <xf numFmtId="0" fontId="9" fillId="16" borderId="91" xfId="0" applyFont="1" applyFill="1" applyBorder="1"/>
    <xf numFmtId="0" fontId="9" fillId="16" borderId="92" xfId="0" applyFont="1" applyFill="1" applyBorder="1"/>
    <xf numFmtId="0" fontId="9" fillId="16" borderId="68" xfId="0" applyFont="1" applyFill="1" applyBorder="1"/>
    <xf numFmtId="0" fontId="9" fillId="12" borderId="91" xfId="0" applyFont="1" applyFill="1" applyBorder="1"/>
    <xf numFmtId="0" fontId="9" fillId="12" borderId="92" xfId="0" applyFont="1" applyFill="1" applyBorder="1"/>
    <xf numFmtId="0" fontId="9" fillId="12" borderId="47" xfId="0" applyFont="1" applyFill="1" applyBorder="1"/>
    <xf numFmtId="0" fontId="9" fillId="28" borderId="91" xfId="0" applyFont="1" applyFill="1" applyBorder="1"/>
    <xf numFmtId="0" fontId="9" fillId="28" borderId="92" xfId="0" applyFont="1" applyFill="1" applyBorder="1"/>
    <xf numFmtId="0" fontId="9" fillId="28" borderId="68" xfId="0" applyFont="1" applyFill="1" applyBorder="1"/>
    <xf numFmtId="0" fontId="9" fillId="18" borderId="91" xfId="0" applyFont="1" applyFill="1" applyBorder="1"/>
    <xf numFmtId="0" fontId="9" fillId="18" borderId="92" xfId="0" applyFont="1" applyFill="1" applyBorder="1"/>
    <xf numFmtId="0" fontId="9" fillId="18" borderId="68" xfId="0" applyFont="1" applyFill="1" applyBorder="1"/>
    <xf numFmtId="165" fontId="9" fillId="20" borderId="91" xfId="0" applyNumberFormat="1" applyFont="1" applyFill="1" applyBorder="1"/>
    <xf numFmtId="165" fontId="9" fillId="20" borderId="92" xfId="0" applyNumberFormat="1" applyFont="1" applyFill="1" applyBorder="1"/>
    <xf numFmtId="2" fontId="9" fillId="20" borderId="92" xfId="0" applyNumberFormat="1" applyFont="1" applyFill="1" applyBorder="1"/>
    <xf numFmtId="166" fontId="9" fillId="20" borderId="92" xfId="0" applyNumberFormat="1" applyFont="1" applyFill="1" applyBorder="1"/>
    <xf numFmtId="167" fontId="9" fillId="20" borderId="92" xfId="0" applyNumberFormat="1" applyFont="1" applyFill="1" applyBorder="1"/>
    <xf numFmtId="167" fontId="9" fillId="20" borderId="47" xfId="0" applyNumberFormat="1" applyFont="1" applyFill="1" applyBorder="1"/>
    <xf numFmtId="167" fontId="9" fillId="29" borderId="91" xfId="0" applyNumberFormat="1" applyFont="1" applyFill="1" applyBorder="1"/>
    <xf numFmtId="167" fontId="9" fillId="29" borderId="92" xfId="0" applyNumberFormat="1" applyFont="1" applyFill="1" applyBorder="1"/>
    <xf numFmtId="167" fontId="9" fillId="29" borderId="47" xfId="0" applyNumberFormat="1" applyFont="1" applyFill="1" applyBorder="1"/>
    <xf numFmtId="167" fontId="9" fillId="29" borderId="68" xfId="0" applyNumberFormat="1" applyFont="1" applyFill="1" applyBorder="1"/>
    <xf numFmtId="167" fontId="9" fillId="9" borderId="91" xfId="0" applyNumberFormat="1" applyFont="1" applyFill="1" applyBorder="1"/>
    <xf numFmtId="167" fontId="9" fillId="9" borderId="92" xfId="0" applyNumberFormat="1" applyFont="1" applyFill="1" applyBorder="1"/>
    <xf numFmtId="167" fontId="9" fillId="9" borderId="47" xfId="0" applyNumberFormat="1" applyFont="1" applyFill="1" applyBorder="1"/>
    <xf numFmtId="167" fontId="9" fillId="16" borderId="91" xfId="0" applyNumberFormat="1" applyFont="1" applyFill="1" applyBorder="1"/>
    <xf numFmtId="167" fontId="9" fillId="16" borderId="92" xfId="0" applyNumberFormat="1" applyFont="1" applyFill="1" applyBorder="1"/>
    <xf numFmtId="167" fontId="9" fillId="16" borderId="47" xfId="0" applyNumberFormat="1" applyFont="1" applyFill="1" applyBorder="1"/>
    <xf numFmtId="0" fontId="9" fillId="16" borderId="47" xfId="0" applyFont="1" applyFill="1" applyBorder="1"/>
    <xf numFmtId="0" fontId="9" fillId="30" borderId="67" xfId="0" applyFont="1" applyFill="1" applyBorder="1"/>
    <xf numFmtId="167" fontId="9" fillId="13" borderId="46" xfId="0" applyNumberFormat="1" applyFont="1" applyFill="1" applyBorder="1"/>
    <xf numFmtId="167" fontId="9" fillId="13" borderId="68" xfId="0" applyNumberFormat="1" applyFont="1" applyFill="1" applyBorder="1"/>
    <xf numFmtId="0" fontId="9" fillId="13" borderId="68" xfId="0" applyFont="1" applyFill="1" applyBorder="1"/>
    <xf numFmtId="167" fontId="9" fillId="13" borderId="47" xfId="0" applyNumberFormat="1" applyFont="1" applyFill="1" applyBorder="1"/>
    <xf numFmtId="0" fontId="4" fillId="5" borderId="5" xfId="0" applyFont="1" applyFill="1" applyBorder="1" applyProtection="1">
      <protection hidden="1"/>
    </xf>
    <xf numFmtId="0" fontId="0" fillId="11" borderId="4" xfId="0" applyFill="1" applyBorder="1" applyAlignment="1" applyProtection="1">
      <alignment horizontal="center"/>
      <protection hidden="1"/>
    </xf>
    <xf numFmtId="164" fontId="0" fillId="11" borderId="4" xfId="0" applyNumberFormat="1" applyFill="1" applyBorder="1" applyAlignment="1" applyProtection="1">
      <alignment horizontal="center"/>
      <protection hidden="1"/>
    </xf>
    <xf numFmtId="0" fontId="0" fillId="7" borderId="41" xfId="0" applyFill="1" applyBorder="1"/>
    <xf numFmtId="0" fontId="0" fillId="20" borderId="67" xfId="0" applyFill="1" applyBorder="1"/>
    <xf numFmtId="0" fontId="4" fillId="5" borderId="1" xfId="0" applyFont="1" applyFill="1" applyBorder="1" applyProtection="1">
      <protection hidden="1"/>
    </xf>
    <xf numFmtId="0" fontId="0" fillId="31" borderId="2" xfId="0" applyFill="1" applyBorder="1"/>
    <xf numFmtId="0" fontId="0" fillId="7" borderId="5" xfId="0" applyFill="1" applyBorder="1"/>
    <xf numFmtId="0" fontId="0" fillId="5" borderId="84" xfId="0" applyFill="1" applyBorder="1" applyAlignment="1">
      <alignment horizontal="center" vertical="center"/>
    </xf>
    <xf numFmtId="0" fontId="0" fillId="5" borderId="8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7" borderId="98" xfId="0" applyFill="1" applyBorder="1"/>
    <xf numFmtId="0" fontId="0" fillId="7" borderId="99" xfId="0" applyFill="1" applyBorder="1"/>
    <xf numFmtId="11" fontId="0" fillId="16" borderId="88" xfId="0" applyNumberFormat="1" applyFill="1" applyBorder="1"/>
    <xf numFmtId="0" fontId="0" fillId="7" borderId="89" xfId="0" applyFill="1" applyBorder="1"/>
    <xf numFmtId="0" fontId="0" fillId="16" borderId="88" xfId="0" applyFill="1" applyBorder="1"/>
    <xf numFmtId="0" fontId="0" fillId="16" borderId="89" xfId="0" applyFill="1" applyBorder="1"/>
    <xf numFmtId="11" fontId="0" fillId="16" borderId="89" xfId="0" applyNumberFormat="1" applyFill="1" applyBorder="1"/>
    <xf numFmtId="0" fontId="0" fillId="16" borderId="91" xfId="0" applyFill="1" applyBorder="1"/>
    <xf numFmtId="0" fontId="0" fillId="16" borderId="92" xfId="0" applyFill="1" applyBorder="1"/>
    <xf numFmtId="0" fontId="8" fillId="18" borderId="0" xfId="0" applyFont="1" applyFill="1"/>
    <xf numFmtId="0" fontId="0" fillId="22" borderId="3" xfId="0" applyFill="1" applyBorder="1"/>
    <xf numFmtId="0" fontId="0" fillId="22" borderId="4" xfId="0" applyFill="1" applyBorder="1"/>
    <xf numFmtId="0" fontId="0" fillId="4" borderId="5" xfId="0" applyFill="1" applyBorder="1"/>
    <xf numFmtId="0" fontId="0" fillId="22" borderId="43" xfId="0" applyFill="1" applyBorder="1"/>
    <xf numFmtId="0" fontId="0" fillId="22" borderId="44" xfId="0" applyFill="1" applyBorder="1"/>
    <xf numFmtId="0" fontId="0" fillId="4" borderId="48" xfId="0" applyFill="1" applyBorder="1"/>
    <xf numFmtId="0" fontId="0" fillId="9" borderId="9" xfId="0" applyFill="1" applyBorder="1"/>
    <xf numFmtId="11" fontId="0" fillId="27" borderId="33" xfId="0" applyNumberFormat="1" applyFill="1" applyBorder="1"/>
    <xf numFmtId="0" fontId="0" fillId="7" borderId="109" xfId="0" applyFill="1" applyBorder="1"/>
    <xf numFmtId="0" fontId="0" fillId="7" borderId="110" xfId="0" applyFill="1" applyBorder="1"/>
    <xf numFmtId="0" fontId="0" fillId="27" borderId="111" xfId="0" applyFill="1" applyBorder="1"/>
    <xf numFmtId="0" fontId="0" fillId="7" borderId="45" xfId="0" applyFill="1" applyBorder="1"/>
    <xf numFmtId="0" fontId="0" fillId="9" borderId="38" xfId="0" applyFill="1" applyBorder="1"/>
    <xf numFmtId="0" fontId="5" fillId="2" borderId="2" xfId="0" applyFont="1" applyFill="1" applyBorder="1" applyAlignment="1">
      <alignment horizontal="center"/>
    </xf>
    <xf numFmtId="0" fontId="0" fillId="19" borderId="112" xfId="0" applyFill="1" applyBorder="1"/>
    <xf numFmtId="0" fontId="0" fillId="19" borderId="113" xfId="0" applyFill="1" applyBorder="1"/>
    <xf numFmtId="0" fontId="0" fillId="19" borderId="114" xfId="0" applyFill="1" applyBorder="1"/>
    <xf numFmtId="0" fontId="0" fillId="10" borderId="11" xfId="0" applyFill="1" applyBorder="1"/>
  </cellXfs>
  <cellStyles count="4">
    <cellStyle name="Normal" xfId="0" builtinId="0"/>
    <cellStyle name="Normal 11" xfId="2" xr:uid="{5DD4D3AA-B043-4F5F-8913-137B3132FFDE}"/>
    <cellStyle name="Normal 2" xfId="1" xr:uid="{0471F9E2-615D-4A47-97EA-F2EE65447DE5}"/>
    <cellStyle name="Normal 2 3" xfId="3" xr:uid="{421B0A93-4F21-44FB-B991-F42D2A15E139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Frac Blocked v.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FPc_Depo!$H$57</c:f>
              <c:strCache>
                <c:ptCount val="1"/>
                <c:pt idx="0">
                  <c:v>Bᴬˢᵖ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FPc_Depo!$BL$59:$BL$558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FPc_Depo!$H$59:$H$558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2.601484196223658E-4</c:v>
                </c:pt>
                <c:pt idx="92">
                  <c:v>1.8543728488115364E-3</c:v>
                </c:pt>
                <c:pt idx="93">
                  <c:v>4.2732262740792617E-3</c:v>
                </c:pt>
                <c:pt idx="94">
                  <c:v>7.1938706559560714E-3</c:v>
                </c:pt>
                <c:pt idx="95">
                  <c:v>1.041196284526801E-2</c:v>
                </c:pt>
                <c:pt idx="96">
                  <c:v>1.3797905219206499E-2</c:v>
                </c:pt>
                <c:pt idx="97">
                  <c:v>1.7269138566880345E-2</c:v>
                </c:pt>
                <c:pt idx="98">
                  <c:v>2.0772698624898087E-2</c:v>
                </c:pt>
                <c:pt idx="99">
                  <c:v>2.4274268220047263E-2</c:v>
                </c:pt>
                <c:pt idx="100">
                  <c:v>2.7751315385879872E-2</c:v>
                </c:pt>
                <c:pt idx="101">
                  <c:v>3.1188794574078998E-2</c:v>
                </c:pt>
                <c:pt idx="102">
                  <c:v>3.4576450562921912E-2</c:v>
                </c:pt>
                <c:pt idx="103">
                  <c:v>3.7907127195993838E-2</c:v>
                </c:pt>
                <c:pt idx="104">
                  <c:v>4.1175703931684918E-2</c:v>
                </c:pt>
                <c:pt idx="105">
                  <c:v>4.4378425566034031E-2</c:v>
                </c:pt>
                <c:pt idx="106">
                  <c:v>4.7512478186935971E-2</c:v>
                </c:pt>
                <c:pt idx="107">
                  <c:v>5.057571940959707E-2</c:v>
                </c:pt>
                <c:pt idx="108">
                  <c:v>5.3566505319019742E-2</c:v>
                </c:pt>
                <c:pt idx="109">
                  <c:v>5.6483578049754235E-2</c:v>
                </c:pt>
                <c:pt idx="110">
                  <c:v>5.9325991395744779E-2</c:v>
                </c:pt>
                <c:pt idx="111">
                  <c:v>6.2093060277110389E-2</c:v>
                </c:pt>
                <c:pt idx="112">
                  <c:v>6.4784325181245508E-2</c:v>
                </c:pt>
                <c:pt idx="113">
                  <c:v>6.7399526016867509E-2</c:v>
                </c:pt>
                <c:pt idx="114">
                  <c:v>6.9938581904131492E-2</c:v>
                </c:pt>
                <c:pt idx="115">
                  <c:v>7.2401574734180504E-2</c:v>
                </c:pt>
                <c:pt idx="116">
                  <c:v>7.4788735154918254E-2</c:v>
                </c:pt>
                <c:pt idx="117">
                  <c:v>7.7100430155112046E-2</c:v>
                </c:pt>
                <c:pt idx="118">
                  <c:v>7.9337151742095255E-2</c:v>
                </c:pt>
                <c:pt idx="119">
                  <c:v>8.1499506410093597E-2</c:v>
                </c:pt>
                <c:pt idx="120">
                  <c:v>8.3588205220285983E-2</c:v>
                </c:pt>
                <c:pt idx="121">
                  <c:v>8.5604054390714598E-2</c:v>
                </c:pt>
                <c:pt idx="122">
                  <c:v>8.7547946339691263E-2</c:v>
                </c:pt>
                <c:pt idx="123">
                  <c:v>8.9420851153534167E-2</c:v>
                </c:pt>
                <c:pt idx="124">
                  <c:v>9.1223808464899969E-2</c:v>
                </c:pt>
                <c:pt idx="125">
                  <c:v>9.2957919735176364E-2</c:v>
                </c:pt>
                <c:pt idx="126">
                  <c:v>9.4624340938291335E-2</c:v>
                </c:pt>
                <c:pt idx="127">
                  <c:v>9.6224275644648485E-2</c:v>
                </c:pt>
                <c:pt idx="128">
                  <c:v>9.7758968501276938E-2</c:v>
                </c:pt>
                <c:pt idx="129">
                  <c:v>9.9229699105628344E-2</c:v>
                </c:pt>
                <c:pt idx="130">
                  <c:v>0.1006377762658253</c:v>
                </c:pt>
                <c:pt idx="131">
                  <c:v>0.10198453264076866</c:v>
                </c:pt>
                <c:pt idx="132">
                  <c:v>0.1032713197504786</c:v>
                </c:pt>
                <c:pt idx="133">
                  <c:v>0.10449950334498607</c:v>
                </c:pt>
                <c:pt idx="134">
                  <c:v>0.10567045912136575</c:v>
                </c:pt>
                <c:pt idx="135">
                  <c:v>0.10678556877389736</c:v>
                </c:pt>
                <c:pt idx="136">
                  <c:v>0.10784621636446631</c:v>
                </c:pt>
                <c:pt idx="137">
                  <c:v>0.1088537849983911</c:v>
                </c:pt>
                <c:pt idx="138">
                  <c:v>0.10980965379027079</c:v>
                </c:pt>
                <c:pt idx="139">
                  <c:v>0.11071519510565411</c:v>
                </c:pt>
                <c:pt idx="140">
                  <c:v>0.11157177206230511</c:v>
                </c:pt>
                <c:pt idx="141">
                  <c:v>0.11238073627656478</c:v>
                </c:pt>
                <c:pt idx="142">
                  <c:v>0.11314342583992493</c:v>
                </c:pt>
                <c:pt idx="143">
                  <c:v>0.11386116351115548</c:v>
                </c:pt>
                <c:pt idx="144">
                  <c:v>0.11453525510993831</c:v>
                </c:pt>
                <c:pt idx="145">
                  <c:v>0.11516698809823164</c:v>
                </c:pt>
                <c:pt idx="146">
                  <c:v>0.11575763033660004</c:v>
                </c:pt>
                <c:pt idx="147">
                  <c:v>0.11630842900221296</c:v>
                </c:pt>
                <c:pt idx="148">
                  <c:v>0.11682060965711223</c:v>
                </c:pt>
                <c:pt idx="149">
                  <c:v>0.11729537545503915</c:v>
                </c:pt>
                <c:pt idx="150">
                  <c:v>0.1177339064759419</c:v>
                </c:pt>
                <c:pt idx="151">
                  <c:v>0.11813735917793941</c:v>
                </c:pt>
                <c:pt idx="152">
                  <c:v>0.11850686595717316</c:v>
                </c:pt>
                <c:pt idx="153">
                  <c:v>0.11884353480629163</c:v>
                </c:pt>
                <c:pt idx="154">
                  <c:v>0.11914844906310089</c:v>
                </c:pt>
                <c:pt idx="155">
                  <c:v>0.11942266724139522</c:v>
                </c:pt>
                <c:pt idx="156">
                  <c:v>0.11966722293646406</c:v>
                </c:pt>
                <c:pt idx="157">
                  <c:v>0.11988312479850873</c:v>
                </c:pt>
                <c:pt idx="158">
                  <c:v>0.12007135656703817</c:v>
                </c:pt>
                <c:pt idx="159">
                  <c:v>0.1202328771608293</c:v>
                </c:pt>
                <c:pt idx="160">
                  <c:v>0.12036862081745996</c:v>
                </c:pt>
                <c:pt idx="161">
                  <c:v>0.12047949727711345</c:v>
                </c:pt>
                <c:pt idx="162">
                  <c:v>0.12056639200854972</c:v>
                </c:pt>
                <c:pt idx="163">
                  <c:v>0.12063016645977287</c:v>
                </c:pt>
                <c:pt idx="164">
                  <c:v>0.12067165836078429</c:v>
                </c:pt>
                <c:pt idx="165">
                  <c:v>0.12069168203394498</c:v>
                </c:pt>
                <c:pt idx="166">
                  <c:v>0.12069102873773738</c:v>
                </c:pt>
                <c:pt idx="167">
                  <c:v>0.12067046702460182</c:v>
                </c:pt>
                <c:pt idx="168">
                  <c:v>0.12063074313001035</c:v>
                </c:pt>
                <c:pt idx="169">
                  <c:v>0.12057258136377584</c:v>
                </c:pt>
                <c:pt idx="170">
                  <c:v>0.12049668471535978</c:v>
                </c:pt>
                <c:pt idx="171">
                  <c:v>0.12040373432061967</c:v>
                </c:pt>
                <c:pt idx="172">
                  <c:v>0.12029439168627484</c:v>
                </c:pt>
                <c:pt idx="173">
                  <c:v>0.1201692975494271</c:v>
                </c:pt>
                <c:pt idx="174">
                  <c:v>0.12002907285236358</c:v>
                </c:pt>
                <c:pt idx="175">
                  <c:v>0.11987431924829951</c:v>
                </c:pt>
                <c:pt idx="176">
                  <c:v>0.1197056194862776</c:v>
                </c:pt>
                <c:pt idx="177">
                  <c:v>0.11952353785879102</c:v>
                </c:pt>
                <c:pt idx="178">
                  <c:v>0.11932862064847374</c:v>
                </c:pt>
                <c:pt idx="179">
                  <c:v>0.11912139657383737</c:v>
                </c:pt>
                <c:pt idx="180">
                  <c:v>0.11890237724008314</c:v>
                </c:pt>
                <c:pt idx="181">
                  <c:v>0.11867205755073441</c:v>
                </c:pt>
                <c:pt idx="182">
                  <c:v>0.11843091618505396</c:v>
                </c:pt>
                <c:pt idx="183">
                  <c:v>0.11817941601151664</c:v>
                </c:pt>
                <c:pt idx="184">
                  <c:v>0.11791800451269042</c:v>
                </c:pt>
                <c:pt idx="185">
                  <c:v>0.11764711421111221</c:v>
                </c:pt>
                <c:pt idx="186">
                  <c:v>0.11736716308635335</c:v>
                </c:pt>
                <c:pt idx="187">
                  <c:v>0.11707855498542917</c:v>
                </c:pt>
                <c:pt idx="188">
                  <c:v>0.11678168002691186</c:v>
                </c:pt>
                <c:pt idx="189">
                  <c:v>0.11647691499798304</c:v>
                </c:pt>
                <c:pt idx="190">
                  <c:v>0.11616462374454026</c:v>
                </c:pt>
                <c:pt idx="191">
                  <c:v>0.11584515755399162</c:v>
                </c:pt>
                <c:pt idx="192">
                  <c:v>0.11551885555533027</c:v>
                </c:pt>
                <c:pt idx="193">
                  <c:v>0.11518604499277958</c:v>
                </c:pt>
                <c:pt idx="194">
                  <c:v>0.11484704184854622</c:v>
                </c:pt>
                <c:pt idx="195">
                  <c:v>0.11450225751917169</c:v>
                </c:pt>
                <c:pt idx="196">
                  <c:v>0.11415187979745478</c:v>
                </c:pt>
                <c:pt idx="197">
                  <c:v>0.11379614299504022</c:v>
                </c:pt>
                <c:pt idx="198">
                  <c:v>0.11343548464389169</c:v>
                </c:pt>
                <c:pt idx="199">
                  <c:v>0.11325862019488442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48-4CC6-BE20-0C95327E6595}"/>
            </c:ext>
          </c:extLst>
        </c:ser>
        <c:ser>
          <c:idx val="1"/>
          <c:order val="1"/>
          <c:tx>
            <c:strRef>
              <c:f>FPc_Depo!$I$57</c:f>
              <c:strCache>
                <c:ptCount val="1"/>
                <c:pt idx="0">
                  <c:v>Bᴰᴹ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FPc_Depo!$BL$59:$BL$558</c:f>
              <c:numCache>
                <c:formatCode>General</c:formatCode>
                <c:ptCount val="500"/>
                <c:pt idx="0">
                  <c:v>1</c:v>
                </c:pt>
                <c:pt idx="1">
                  <c:v>0.99497487437185916</c:v>
                </c:pt>
                <c:pt idx="2">
                  <c:v>0.98994974874371844</c:v>
                </c:pt>
                <c:pt idx="3">
                  <c:v>0.9849246231155776</c:v>
                </c:pt>
                <c:pt idx="4">
                  <c:v>0.97989949748743688</c:v>
                </c:pt>
                <c:pt idx="5">
                  <c:v>0.97487437185929604</c:v>
                </c:pt>
                <c:pt idx="6">
                  <c:v>0.96984924623115532</c:v>
                </c:pt>
                <c:pt idx="7">
                  <c:v>0.96482412060301448</c:v>
                </c:pt>
                <c:pt idx="8">
                  <c:v>0.95979899497487375</c:v>
                </c:pt>
                <c:pt idx="9">
                  <c:v>0.95477386934673292</c:v>
                </c:pt>
                <c:pt idx="10">
                  <c:v>0.94974874371859219</c:v>
                </c:pt>
                <c:pt idx="11">
                  <c:v>0.94472361809045136</c:v>
                </c:pt>
                <c:pt idx="12">
                  <c:v>0.93969849246231052</c:v>
                </c:pt>
                <c:pt idx="13">
                  <c:v>0.93467336683416979</c:v>
                </c:pt>
                <c:pt idx="14">
                  <c:v>0.92964824120602896</c:v>
                </c:pt>
                <c:pt idx="15">
                  <c:v>0.92462311557788823</c:v>
                </c:pt>
                <c:pt idx="16">
                  <c:v>0.9195979899497474</c:v>
                </c:pt>
                <c:pt idx="17">
                  <c:v>0.91457286432160678</c:v>
                </c:pt>
                <c:pt idx="18">
                  <c:v>0.90954773869346606</c:v>
                </c:pt>
                <c:pt idx="19">
                  <c:v>0.90452261306532533</c:v>
                </c:pt>
                <c:pt idx="20">
                  <c:v>0.89949748743718472</c:v>
                </c:pt>
                <c:pt idx="21">
                  <c:v>0.89447236180904399</c:v>
                </c:pt>
                <c:pt idx="22">
                  <c:v>0.88944723618090338</c:v>
                </c:pt>
                <c:pt idx="23">
                  <c:v>0.88442211055276265</c:v>
                </c:pt>
                <c:pt idx="24">
                  <c:v>0.87939698492462193</c:v>
                </c:pt>
                <c:pt idx="25">
                  <c:v>0.87437185929648131</c:v>
                </c:pt>
                <c:pt idx="26">
                  <c:v>0.86934673366834059</c:v>
                </c:pt>
                <c:pt idx="27">
                  <c:v>0.86432160804019986</c:v>
                </c:pt>
                <c:pt idx="28">
                  <c:v>0.85929648241205925</c:v>
                </c:pt>
                <c:pt idx="29">
                  <c:v>0.85427135678391852</c:v>
                </c:pt>
                <c:pt idx="30">
                  <c:v>0.84924623115577791</c:v>
                </c:pt>
                <c:pt idx="31">
                  <c:v>0.84422110552763718</c:v>
                </c:pt>
                <c:pt idx="32">
                  <c:v>0.83919597989949646</c:v>
                </c:pt>
                <c:pt idx="33">
                  <c:v>0.83417085427135584</c:v>
                </c:pt>
                <c:pt idx="34">
                  <c:v>0.82914572864321512</c:v>
                </c:pt>
                <c:pt idx="35">
                  <c:v>0.82412060301507439</c:v>
                </c:pt>
                <c:pt idx="36">
                  <c:v>0.81909547738693378</c:v>
                </c:pt>
                <c:pt idx="37">
                  <c:v>0.81407035175879305</c:v>
                </c:pt>
                <c:pt idx="38">
                  <c:v>0.80904522613065244</c:v>
                </c:pt>
                <c:pt idx="39">
                  <c:v>0.80402010050251171</c:v>
                </c:pt>
                <c:pt idx="40">
                  <c:v>0.79899497487437099</c:v>
                </c:pt>
                <c:pt idx="41">
                  <c:v>0.79396984924623037</c:v>
                </c:pt>
                <c:pt idx="42">
                  <c:v>0.78894472361808965</c:v>
                </c:pt>
                <c:pt idx="43">
                  <c:v>0.78391959798994892</c:v>
                </c:pt>
                <c:pt idx="44">
                  <c:v>0.77889447236180831</c:v>
                </c:pt>
                <c:pt idx="45">
                  <c:v>0.77386934673366758</c:v>
                </c:pt>
                <c:pt idx="46">
                  <c:v>0.76884422110552697</c:v>
                </c:pt>
                <c:pt idx="47">
                  <c:v>0.76381909547738625</c:v>
                </c:pt>
                <c:pt idx="48">
                  <c:v>0.75879396984924552</c:v>
                </c:pt>
                <c:pt idx="49">
                  <c:v>0.75376884422110491</c:v>
                </c:pt>
                <c:pt idx="50">
                  <c:v>0.74874371859296418</c:v>
                </c:pt>
                <c:pt idx="51">
                  <c:v>0.74371859296482346</c:v>
                </c:pt>
                <c:pt idx="52">
                  <c:v>0.73869346733668284</c:v>
                </c:pt>
                <c:pt idx="53">
                  <c:v>0.73366834170854212</c:v>
                </c:pt>
                <c:pt idx="54">
                  <c:v>0.7286432160804015</c:v>
                </c:pt>
                <c:pt idx="55">
                  <c:v>0.72361809045226078</c:v>
                </c:pt>
                <c:pt idx="56">
                  <c:v>0.71859296482412005</c:v>
                </c:pt>
                <c:pt idx="57">
                  <c:v>0.71356783919597944</c:v>
                </c:pt>
                <c:pt idx="58">
                  <c:v>0.70854271356783871</c:v>
                </c:pt>
                <c:pt idx="59">
                  <c:v>0.70351758793969799</c:v>
                </c:pt>
                <c:pt idx="60">
                  <c:v>0.69849246231155737</c:v>
                </c:pt>
                <c:pt idx="61">
                  <c:v>0.69346733668341665</c:v>
                </c:pt>
                <c:pt idx="62">
                  <c:v>0.68844221105527603</c:v>
                </c:pt>
                <c:pt idx="63">
                  <c:v>0.68341708542713531</c:v>
                </c:pt>
                <c:pt idx="64">
                  <c:v>0.67839195979899458</c:v>
                </c:pt>
                <c:pt idx="65">
                  <c:v>0.67336683417085397</c:v>
                </c:pt>
                <c:pt idx="66">
                  <c:v>0.66834170854271324</c:v>
                </c:pt>
                <c:pt idx="67">
                  <c:v>0.66331658291457252</c:v>
                </c:pt>
                <c:pt idx="68">
                  <c:v>0.6582914572864319</c:v>
                </c:pt>
                <c:pt idx="69">
                  <c:v>0.65326633165829118</c:v>
                </c:pt>
                <c:pt idx="70">
                  <c:v>0.64824120603015056</c:v>
                </c:pt>
                <c:pt idx="71">
                  <c:v>0.64321608040200984</c:v>
                </c:pt>
                <c:pt idx="72">
                  <c:v>0.63819095477386911</c:v>
                </c:pt>
                <c:pt idx="73">
                  <c:v>0.6331658291457285</c:v>
                </c:pt>
                <c:pt idx="74">
                  <c:v>0.62814070351758777</c:v>
                </c:pt>
                <c:pt idx="75">
                  <c:v>0.62311557788944716</c:v>
                </c:pt>
                <c:pt idx="76">
                  <c:v>0.61809045226130643</c:v>
                </c:pt>
                <c:pt idx="77">
                  <c:v>0.61306532663316571</c:v>
                </c:pt>
                <c:pt idx="78">
                  <c:v>0.60804020100502509</c:v>
                </c:pt>
                <c:pt idx="79">
                  <c:v>0.60301507537688437</c:v>
                </c:pt>
                <c:pt idx="80">
                  <c:v>0.59798994974874364</c:v>
                </c:pt>
                <c:pt idx="81">
                  <c:v>0.59296482412060303</c:v>
                </c:pt>
                <c:pt idx="82">
                  <c:v>0.5879396984924623</c:v>
                </c:pt>
                <c:pt idx="83">
                  <c:v>0.58291457286432169</c:v>
                </c:pt>
                <c:pt idx="84">
                  <c:v>0.57788944723618096</c:v>
                </c:pt>
                <c:pt idx="85">
                  <c:v>0.57286432160804024</c:v>
                </c:pt>
                <c:pt idx="86">
                  <c:v>0.56783919597989962</c:v>
                </c:pt>
                <c:pt idx="87">
                  <c:v>0.5628140703517589</c:v>
                </c:pt>
                <c:pt idx="88">
                  <c:v>0.55778894472361817</c:v>
                </c:pt>
                <c:pt idx="89">
                  <c:v>0.55276381909547756</c:v>
                </c:pt>
                <c:pt idx="90">
                  <c:v>0.54773869346733683</c:v>
                </c:pt>
                <c:pt idx="91">
                  <c:v>0.54271356783919622</c:v>
                </c:pt>
                <c:pt idx="92">
                  <c:v>0.5376884422110555</c:v>
                </c:pt>
                <c:pt idx="93">
                  <c:v>0.53266331658291477</c:v>
                </c:pt>
                <c:pt idx="94">
                  <c:v>0.52763819095477416</c:v>
                </c:pt>
                <c:pt idx="95">
                  <c:v>0.52261306532663343</c:v>
                </c:pt>
                <c:pt idx="96">
                  <c:v>0.5175879396984927</c:v>
                </c:pt>
                <c:pt idx="97">
                  <c:v>0.51256281407035209</c:v>
                </c:pt>
                <c:pt idx="98">
                  <c:v>0.50753768844221137</c:v>
                </c:pt>
                <c:pt idx="99">
                  <c:v>0.50251256281407075</c:v>
                </c:pt>
                <c:pt idx="100">
                  <c:v>0.49748743718593003</c:v>
                </c:pt>
                <c:pt idx="101">
                  <c:v>0.49246231155778936</c:v>
                </c:pt>
                <c:pt idx="102">
                  <c:v>0.48743718592964863</c:v>
                </c:pt>
                <c:pt idx="103">
                  <c:v>0.48241206030150796</c:v>
                </c:pt>
                <c:pt idx="104">
                  <c:v>0.47738693467336729</c:v>
                </c:pt>
                <c:pt idx="105">
                  <c:v>0.47236180904522662</c:v>
                </c:pt>
                <c:pt idx="106">
                  <c:v>0.4673366834170859</c:v>
                </c:pt>
                <c:pt idx="107">
                  <c:v>0.46231155778894523</c:v>
                </c:pt>
                <c:pt idx="108">
                  <c:v>0.45728643216080456</c:v>
                </c:pt>
                <c:pt idx="109">
                  <c:v>0.45226130653266389</c:v>
                </c:pt>
                <c:pt idx="110">
                  <c:v>0.44723618090452316</c:v>
                </c:pt>
                <c:pt idx="111">
                  <c:v>0.44221105527638249</c:v>
                </c:pt>
                <c:pt idx="112">
                  <c:v>0.43718592964824182</c:v>
                </c:pt>
                <c:pt idx="113">
                  <c:v>0.43216080402010115</c:v>
                </c:pt>
                <c:pt idx="114">
                  <c:v>0.42713567839196043</c:v>
                </c:pt>
                <c:pt idx="115">
                  <c:v>0.42211055276381976</c:v>
                </c:pt>
                <c:pt idx="116">
                  <c:v>0.41708542713567909</c:v>
                </c:pt>
                <c:pt idx="117">
                  <c:v>0.41206030150753842</c:v>
                </c:pt>
                <c:pt idx="118">
                  <c:v>0.40703517587939769</c:v>
                </c:pt>
                <c:pt idx="119">
                  <c:v>0.40201005025125702</c:v>
                </c:pt>
                <c:pt idx="120">
                  <c:v>0.39698492462311635</c:v>
                </c:pt>
                <c:pt idx="121">
                  <c:v>0.39195979899497568</c:v>
                </c:pt>
                <c:pt idx="122">
                  <c:v>0.38693467336683496</c:v>
                </c:pt>
                <c:pt idx="123">
                  <c:v>0.38190954773869429</c:v>
                </c:pt>
                <c:pt idx="124">
                  <c:v>0.37688442211055362</c:v>
                </c:pt>
                <c:pt idx="125">
                  <c:v>0.37185929648241295</c:v>
                </c:pt>
                <c:pt idx="126">
                  <c:v>0.36683417085427222</c:v>
                </c:pt>
                <c:pt idx="127">
                  <c:v>0.36180904522613155</c:v>
                </c:pt>
                <c:pt idx="128">
                  <c:v>0.35678391959799088</c:v>
                </c:pt>
                <c:pt idx="129">
                  <c:v>0.35175879396985021</c:v>
                </c:pt>
                <c:pt idx="130">
                  <c:v>0.34673366834170949</c:v>
                </c:pt>
                <c:pt idx="131">
                  <c:v>0.34170854271356882</c:v>
                </c:pt>
                <c:pt idx="132">
                  <c:v>0.33668341708542815</c:v>
                </c:pt>
                <c:pt idx="133">
                  <c:v>0.33165829145728748</c:v>
                </c:pt>
                <c:pt idx="134">
                  <c:v>0.32663316582914675</c:v>
                </c:pt>
                <c:pt idx="135">
                  <c:v>0.32160804020100608</c:v>
                </c:pt>
                <c:pt idx="136">
                  <c:v>0.31658291457286541</c:v>
                </c:pt>
                <c:pt idx="137">
                  <c:v>0.31155778894472475</c:v>
                </c:pt>
                <c:pt idx="138">
                  <c:v>0.30653266331658402</c:v>
                </c:pt>
                <c:pt idx="139">
                  <c:v>0.30150753768844335</c:v>
                </c:pt>
                <c:pt idx="140">
                  <c:v>0.29648241206030268</c:v>
                </c:pt>
                <c:pt idx="141">
                  <c:v>0.29145728643216201</c:v>
                </c:pt>
                <c:pt idx="142">
                  <c:v>0.28643216080402129</c:v>
                </c:pt>
                <c:pt idx="143">
                  <c:v>0.28140703517588062</c:v>
                </c:pt>
                <c:pt idx="144">
                  <c:v>0.27638190954773995</c:v>
                </c:pt>
                <c:pt idx="145">
                  <c:v>0.27135678391959928</c:v>
                </c:pt>
                <c:pt idx="146">
                  <c:v>0.26633165829145855</c:v>
                </c:pt>
                <c:pt idx="147">
                  <c:v>0.26130653266331788</c:v>
                </c:pt>
                <c:pt idx="148">
                  <c:v>0.25628140703517721</c:v>
                </c:pt>
                <c:pt idx="149">
                  <c:v>0.25125628140703654</c:v>
                </c:pt>
                <c:pt idx="150">
                  <c:v>0.24623115577889584</c:v>
                </c:pt>
                <c:pt idx="151">
                  <c:v>0.24120603015075515</c:v>
                </c:pt>
                <c:pt idx="152">
                  <c:v>0.23618090452261448</c:v>
                </c:pt>
                <c:pt idx="153">
                  <c:v>0.23115577889447378</c:v>
                </c:pt>
                <c:pt idx="154">
                  <c:v>0.22613065326633308</c:v>
                </c:pt>
                <c:pt idx="155">
                  <c:v>0.22110552763819236</c:v>
                </c:pt>
                <c:pt idx="156">
                  <c:v>0.21608040201005166</c:v>
                </c:pt>
                <c:pt idx="157">
                  <c:v>0.21105527638191096</c:v>
                </c:pt>
                <c:pt idx="158">
                  <c:v>0.20603015075377024</c:v>
                </c:pt>
                <c:pt idx="159">
                  <c:v>0.20100502512562954</c:v>
                </c:pt>
                <c:pt idx="160">
                  <c:v>0.19597989949748881</c:v>
                </c:pt>
                <c:pt idx="161">
                  <c:v>0.19095477386934812</c:v>
                </c:pt>
                <c:pt idx="162">
                  <c:v>0.18592964824120742</c:v>
                </c:pt>
                <c:pt idx="163">
                  <c:v>0.18090452261306669</c:v>
                </c:pt>
                <c:pt idx="164">
                  <c:v>0.175879396984926</c:v>
                </c:pt>
                <c:pt idx="165">
                  <c:v>0.17085427135678527</c:v>
                </c:pt>
                <c:pt idx="166">
                  <c:v>0.16582914572864457</c:v>
                </c:pt>
                <c:pt idx="167">
                  <c:v>0.16080402010050385</c:v>
                </c:pt>
                <c:pt idx="168">
                  <c:v>0.15577889447236315</c:v>
                </c:pt>
                <c:pt idx="169">
                  <c:v>0.15075376884422245</c:v>
                </c:pt>
                <c:pt idx="170">
                  <c:v>0.14572864321608173</c:v>
                </c:pt>
                <c:pt idx="171">
                  <c:v>0.14070351758794103</c:v>
                </c:pt>
                <c:pt idx="172">
                  <c:v>0.1356783919598003</c:v>
                </c:pt>
                <c:pt idx="173">
                  <c:v>0.13065326633165961</c:v>
                </c:pt>
                <c:pt idx="174">
                  <c:v>0.12562814070351891</c:v>
                </c:pt>
                <c:pt idx="175">
                  <c:v>0.12060301507537818</c:v>
                </c:pt>
                <c:pt idx="176">
                  <c:v>0.11557788944723749</c:v>
                </c:pt>
                <c:pt idx="177">
                  <c:v>0.11055276381909677</c:v>
                </c:pt>
                <c:pt idx="178">
                  <c:v>0.10552763819095606</c:v>
                </c:pt>
                <c:pt idx="179">
                  <c:v>0.10050251256281535</c:v>
                </c:pt>
                <c:pt idx="180">
                  <c:v>9.5477386934674641E-2</c:v>
                </c:pt>
                <c:pt idx="181">
                  <c:v>9.0452261306533929E-2</c:v>
                </c:pt>
                <c:pt idx="182">
                  <c:v>8.5427135678393232E-2</c:v>
                </c:pt>
                <c:pt idx="183">
                  <c:v>8.040201005025252E-2</c:v>
                </c:pt>
                <c:pt idx="184">
                  <c:v>7.5376884422111809E-2</c:v>
                </c:pt>
                <c:pt idx="185">
                  <c:v>7.0351758793971098E-2</c:v>
                </c:pt>
                <c:pt idx="186">
                  <c:v>6.5326633165830386E-2</c:v>
                </c:pt>
                <c:pt idx="187">
                  <c:v>6.0301507537689682E-2</c:v>
                </c:pt>
                <c:pt idx="188">
                  <c:v>5.5276381909548977E-2</c:v>
                </c:pt>
                <c:pt idx="189">
                  <c:v>5.0251256281408273E-2</c:v>
                </c:pt>
                <c:pt idx="190">
                  <c:v>4.5226130653267575E-2</c:v>
                </c:pt>
                <c:pt idx="191">
                  <c:v>4.0201005025126871E-2</c:v>
                </c:pt>
                <c:pt idx="192">
                  <c:v>3.5175879396986166E-2</c:v>
                </c:pt>
                <c:pt idx="193">
                  <c:v>3.0150753768845465E-2</c:v>
                </c:pt>
                <c:pt idx="194">
                  <c:v>2.5125628140704761E-2</c:v>
                </c:pt>
                <c:pt idx="195">
                  <c:v>2.010050251256406E-2</c:v>
                </c:pt>
                <c:pt idx="196">
                  <c:v>1.5075376884423357E-2</c:v>
                </c:pt>
                <c:pt idx="197">
                  <c:v>1.0050251256282654E-2</c:v>
                </c:pt>
                <c:pt idx="198">
                  <c:v>5.0251256281419509E-3</c:v>
                </c:pt>
                <c:pt idx="199" formatCode="0.00E+00">
                  <c:v>1.2471530197268739E-15</c:v>
                </c:pt>
              </c:numCache>
            </c:numRef>
          </c:xVal>
          <c:yVal>
            <c:numRef>
              <c:f>FPc_Depo!$I$59:$I$558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3.5354163682261517E-4</c:v>
                </c:pt>
                <c:pt idx="92">
                  <c:v>2.5200167007270362E-3</c:v>
                </c:pt>
                <c:pt idx="93">
                  <c:v>5.8069652601314388E-3</c:v>
                </c:pt>
                <c:pt idx="94">
                  <c:v>9.7755890834353015E-3</c:v>
                </c:pt>
                <c:pt idx="95">
                  <c:v>1.4148157738796546E-2</c:v>
                </c:pt>
                <c:pt idx="96">
                  <c:v>1.8748538010996227E-2</c:v>
                </c:pt>
                <c:pt idx="97">
                  <c:v>2.3464531495007587E-2</c:v>
                </c:pt>
                <c:pt idx="98">
                  <c:v>2.8224164328665008E-2</c:v>
                </c:pt>
                <c:pt idx="99">
                  <c:v>3.2980806598476256E-2</c:v>
                </c:pt>
                <c:pt idx="100">
                  <c:v>3.7703845759941443E-2</c:v>
                </c:pt>
                <c:pt idx="101">
                  <c:v>4.237284393576523E-2</c:v>
                </c:pt>
                <c:pt idx="102">
                  <c:v>4.6973873611447677E-2</c:v>
                </c:pt>
                <c:pt idx="103">
                  <c:v>5.1497219062689496E-2</c:v>
                </c:pt>
                <c:pt idx="104">
                  <c:v>5.5935931058399495E-2</c:v>
                </c:pt>
                <c:pt idx="105">
                  <c:v>6.028491592188423E-2</c:v>
                </c:pt>
                <c:pt idx="106">
                  <c:v>6.454035923376561E-2</c:v>
                </c:pt>
                <c:pt idx="107">
                  <c:v>6.8699359206152694E-2</c:v>
                </c:pt>
                <c:pt idx="108">
                  <c:v>7.2759691480592123E-2</c:v>
                </c:pt>
                <c:pt idx="109">
                  <c:v>7.6719656329863037E-2</c:v>
                </c:pt>
                <c:pt idx="110">
                  <c:v>8.0577977540685339E-2</c:v>
                </c:pt>
                <c:pt idx="111">
                  <c:v>8.4333733716717971E-2</c:v>
                </c:pt>
                <c:pt idx="112">
                  <c:v>8.7986309931176745E-2</c:v>
                </c:pt>
                <c:pt idx="113">
                  <c:v>9.1535362171880102E-2</c:v>
                </c:pt>
                <c:pt idx="114">
                  <c:v>9.4980789854220704E-2</c:v>
                </c:pt>
                <c:pt idx="115">
                  <c:v>9.832271345803853E-2</c:v>
                </c:pt>
                <c:pt idx="116">
                  <c:v>0.10156145546326413</c:v>
                </c:pt>
                <c:pt idx="117">
                  <c:v>0.10469752345941347</c:v>
                </c:pt>
                <c:pt idx="118">
                  <c:v>0.10773159474310839</c:v>
                </c:pt>
                <c:pt idx="119">
                  <c:v>0.11066450199191277</c:v>
                </c:pt>
                <c:pt idx="120">
                  <c:v>0.11349721977136062</c:v>
                </c:pt>
                <c:pt idx="121">
                  <c:v>0.11623085173667036</c:v>
                </c:pt>
                <c:pt idx="122">
                  <c:v>0.1188666184524826</c:v>
                </c:pt>
                <c:pt idx="123">
                  <c:v>0.12140584579089875</c:v>
                </c:pt>
                <c:pt idx="124">
                  <c:v>0.1238499538890549</c:v>
                </c:pt>
                <c:pt idx="125">
                  <c:v>0.1262004466572357</c:v>
                </c:pt>
                <c:pt idx="126">
                  <c:v>0.12845890183383563</c:v>
                </c:pt>
                <c:pt idx="127">
                  <c:v>0.13062696158529075</c:v>
                </c:pt>
                <c:pt idx="128">
                  <c:v>0.13270632364556526</c:v>
                </c:pt>
                <c:pt idx="129">
                  <c:v>0.13469873299159413</c:v>
                </c:pt>
                <c:pt idx="130">
                  <c:v>0.13660597404479943</c:v>
                </c:pt>
                <c:pt idx="131">
                  <c:v>0.13842986338962265</c:v>
                </c:pt>
                <c:pt idx="132">
                  <c:v>0.14017224299590558</c:v>
                </c:pt>
                <c:pt idx="133">
                  <c:v>0.14183497392914984</c:v>
                </c:pt>
                <c:pt idx="134">
                  <c:v>0.14341993053442795</c:v>
                </c:pt>
                <c:pt idx="135">
                  <c:v>0.14492899507347481</c:v>
                </c:pt>
                <c:pt idx="136">
                  <c:v>0.14636405279736645</c:v>
                </c:pt>
                <c:pt idx="137">
                  <c:v>0.14772698743459226</c:v>
                </c:pt>
                <c:pt idx="138">
                  <c:v>0.14901967707353361</c:v>
                </c:pt>
                <c:pt idx="139">
                  <c:v>0.15024399041998537</c:v>
                </c:pt>
                <c:pt idx="140">
                  <c:v>0.15140178340763594</c:v>
                </c:pt>
                <c:pt idx="141">
                  <c:v>0.1524948961417488</c:v>
                </c:pt>
                <c:pt idx="142">
                  <c:v>0.15352515015577542</c:v>
                </c:pt>
                <c:pt idx="143">
                  <c:v>0.1544943459609591</c:v>
                </c:pt>
                <c:pt idx="144">
                  <c:v>0.15540426086978773</c:v>
                </c:pt>
                <c:pt idx="145">
                  <c:v>0.15625664707456349</c:v>
                </c:pt>
                <c:pt idx="146">
                  <c:v>0.15705322996370677</c:v>
                </c:pt>
                <c:pt idx="147">
                  <c:v>0.15779570665771181</c:v>
                </c:pt>
                <c:pt idx="148">
                  <c:v>0.15848574474923291</c:v>
                </c:pt>
                <c:pt idx="149">
                  <c:v>0.15912498123138075</c:v>
                </c:pt>
                <c:pt idx="150">
                  <c:v>0.15971502159942788</c:v>
                </c:pt>
                <c:pt idx="151">
                  <c:v>0.1602574391120149</c:v>
                </c:pt>
                <c:pt idx="152">
                  <c:v>0.16075377419884934</c:v>
                </c:pt>
                <c:pt idx="153">
                  <c:v>0.16120553400230236</c:v>
                </c:pt>
                <c:pt idx="154">
                  <c:v>0.16161419204140517</c:v>
                </c:pt>
                <c:pt idx="155">
                  <c:v>0.16198118798737132</c:v>
                </c:pt>
                <c:pt idx="156">
                  <c:v>0.16230792754045484</c:v>
                </c:pt>
                <c:pt idx="157">
                  <c:v>0.1625957823989389</c:v>
                </c:pt>
                <c:pt idx="158">
                  <c:v>0.16284609031084055</c:v>
                </c:pt>
                <c:pt idx="159">
                  <c:v>0.16306015520096531</c:v>
                </c:pt>
                <c:pt idx="160">
                  <c:v>0.16323924736517359</c:v>
                </c:pt>
                <c:pt idx="161">
                  <c:v>0.16338460372465352</c:v>
                </c:pt>
                <c:pt idx="162">
                  <c:v>0.16349742813733517</c:v>
                </c:pt>
                <c:pt idx="163">
                  <c:v>0.16357889174273918</c:v>
                </c:pt>
                <c:pt idx="164">
                  <c:v>0.16363013337739776</c:v>
                </c:pt>
                <c:pt idx="165">
                  <c:v>0.1636522600005178</c:v>
                </c:pt>
                <c:pt idx="166">
                  <c:v>0.16364634716486351</c:v>
                </c:pt>
                <c:pt idx="167">
                  <c:v>0.16361343950663534</c:v>
                </c:pt>
                <c:pt idx="168">
                  <c:v>0.1635545512776197</c:v>
                </c:pt>
                <c:pt idx="169">
                  <c:v>0.16347066688027348</c:v>
                </c:pt>
                <c:pt idx="170">
                  <c:v>0.16336274169284329</c:v>
                </c:pt>
                <c:pt idx="171">
                  <c:v>0.16323170135078791</c:v>
                </c:pt>
                <c:pt idx="172">
                  <c:v>0.16307844476687064</c:v>
                </c:pt>
                <c:pt idx="173">
                  <c:v>0.16290384258911175</c:v>
                </c:pt>
                <c:pt idx="174">
                  <c:v>0.16270873852646039</c:v>
                </c:pt>
                <c:pt idx="175">
                  <c:v>0.16249395003839831</c:v>
                </c:pt>
                <c:pt idx="176">
                  <c:v>0.1622602688606192</c:v>
                </c:pt>
                <c:pt idx="177">
                  <c:v>0.16200846161563057</c:v>
                </c:pt>
                <c:pt idx="178">
                  <c:v>0.16173927042198802</c:v>
                </c:pt>
                <c:pt idx="179">
                  <c:v>0.16145341350212167</c:v>
                </c:pt>
                <c:pt idx="180">
                  <c:v>0.16115158579694061</c:v>
                </c:pt>
                <c:pt idx="181">
                  <c:v>0.16083445952722036</c:v>
                </c:pt>
                <c:pt idx="182">
                  <c:v>0.16050268484405045</c:v>
                </c:pt>
                <c:pt idx="183">
                  <c:v>0.16015689039250416</c:v>
                </c:pt>
                <c:pt idx="184">
                  <c:v>0.15979768389066873</c:v>
                </c:pt>
                <c:pt idx="185">
                  <c:v>0.15942565270991849</c:v>
                </c:pt>
                <c:pt idx="186">
                  <c:v>0.15904136444314881</c:v>
                </c:pt>
                <c:pt idx="187">
                  <c:v>0.15864536746388397</c:v>
                </c:pt>
                <c:pt idx="188">
                  <c:v>0.15823819147675561</c:v>
                </c:pt>
                <c:pt idx="189">
                  <c:v>0.15782034805831566</c:v>
                </c:pt>
                <c:pt idx="190">
                  <c:v>0.15739233118834067</c:v>
                </c:pt>
                <c:pt idx="191">
                  <c:v>0.15695461777113304</c:v>
                </c:pt>
                <c:pt idx="192">
                  <c:v>0.15650766818013889</c:v>
                </c:pt>
                <c:pt idx="193">
                  <c:v>0.15605192663118539</c:v>
                </c:pt>
                <c:pt idx="194">
                  <c:v>0.15558782202860061</c:v>
                </c:pt>
                <c:pt idx="195">
                  <c:v>0.15511591248171414</c:v>
                </c:pt>
                <c:pt idx="196">
                  <c:v>0.15463645312519905</c:v>
                </c:pt>
                <c:pt idx="197">
                  <c:v>0.15414976207770531</c:v>
                </c:pt>
                <c:pt idx="198">
                  <c:v>0.15365643269533918</c:v>
                </c:pt>
                <c:pt idx="199">
                  <c:v>0.15341208616324364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48-4CC6-BE20-0C95327E6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304703"/>
        <c:axId val="1400819663"/>
      </c:scatterChart>
      <c:valAx>
        <c:axId val="1579304703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819663"/>
        <c:crosses val="autoZero"/>
        <c:crossBetween val="midCat"/>
      </c:valAx>
      <c:valAx>
        <c:axId val="1400819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9304703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1</xdr:rowOff>
    </xdr:from>
    <xdr:to>
      <xdr:col>3</xdr:col>
      <xdr:colOff>0</xdr:colOff>
      <xdr:row>13</xdr:row>
      <xdr:rowOff>0</xdr:rowOff>
    </xdr:to>
    <xdr:sp macro="" textlink="">
      <xdr:nvSpPr>
        <xdr:cNvPr id="6" name="Btn_CompoConvert">
          <a:extLst>
            <a:ext uri="{FF2B5EF4-FFF2-40B4-BE49-F238E27FC236}">
              <a16:creationId xmlns:a16="http://schemas.microsoft.com/office/drawing/2014/main" id="{E2DD7769-FF4D-4F3B-ACA0-E4E790597540}"/>
            </a:ext>
          </a:extLst>
        </xdr:cNvPr>
        <xdr:cNvSpPr/>
      </xdr:nvSpPr>
      <xdr:spPr>
        <a:xfrm>
          <a:off x="409575" y="2200276"/>
          <a:ext cx="1600200" cy="180974"/>
        </a:xfrm>
        <a:prstGeom prst="rect">
          <a:avLst/>
        </a:prstGeom>
        <a:solidFill>
          <a:schemeClr val="accent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FP_Compo_Convert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405492</xdr:colOff>
      <xdr:row>3</xdr:row>
      <xdr:rowOff>53065</xdr:rowOff>
    </xdr:from>
    <xdr:to>
      <xdr:col>13</xdr:col>
      <xdr:colOff>602795</xdr:colOff>
      <xdr:row>18</xdr:row>
      <xdr:rowOff>38098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4C14C61-EC8B-7FE8-EEF6-632F5B14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AC533-A8CF-46B4-AD07-962CF08B0AC0}">
  <sheetPr codeName="ws_Data_Project">
    <tabColor rgb="FF00B0F0"/>
  </sheetPr>
  <dimension ref="A1:GV110"/>
  <sheetViews>
    <sheetView zoomScale="55" zoomScaleNormal="55" workbookViewId="0">
      <selection activeCell="E23" sqref="E23"/>
    </sheetView>
  </sheetViews>
  <sheetFormatPr defaultColWidth="10.73046875" defaultRowHeight="14.25"/>
  <cols>
    <col min="1" max="1" width="5.73046875" style="304" customWidth="1"/>
    <col min="2" max="2" width="10.73046875" style="304"/>
    <col min="3" max="3" width="11.59765625" style="304" bestFit="1" customWidth="1"/>
    <col min="4" max="5" width="13" style="304" bestFit="1" customWidth="1"/>
    <col min="6" max="7" width="11.59765625" style="304" bestFit="1" customWidth="1"/>
    <col min="8" max="8" width="11.73046875" style="304" bestFit="1" customWidth="1"/>
    <col min="9" max="9" width="12.265625" style="304" bestFit="1" customWidth="1"/>
    <col min="10" max="10" width="13" style="304" bestFit="1" customWidth="1"/>
    <col min="11" max="11" width="13.1328125" style="304" bestFit="1" customWidth="1"/>
    <col min="12" max="13" width="13.3984375" style="304" bestFit="1" customWidth="1"/>
    <col min="14" max="47" width="10.73046875" style="304" customWidth="1"/>
    <col min="48" max="152" width="10.73046875" style="304"/>
    <col min="153" max="153" width="13.73046875" style="304" bestFit="1" customWidth="1"/>
    <col min="154" max="159" width="10.86328125" style="304" bestFit="1" customWidth="1"/>
    <col min="160" max="160" width="13.73046875" style="304" bestFit="1" customWidth="1"/>
    <col min="161" max="164" width="10.86328125" style="304" bestFit="1" customWidth="1"/>
    <col min="165" max="165" width="14.265625" style="304" bestFit="1" customWidth="1"/>
    <col min="166" max="173" width="10.86328125" style="304" bestFit="1" customWidth="1"/>
    <col min="174" max="174" width="15" style="304" bestFit="1" customWidth="1"/>
    <col min="175" max="175" width="14.265625" style="304" bestFit="1" customWidth="1"/>
    <col min="176" max="180" width="10.86328125" style="304" bestFit="1" customWidth="1"/>
    <col min="181" max="181" width="14.265625" style="304" bestFit="1" customWidth="1"/>
    <col min="182" max="182" width="10.86328125" style="304" bestFit="1" customWidth="1"/>
    <col min="183" max="183" width="13.73046875" style="304" bestFit="1" customWidth="1"/>
    <col min="184" max="184" width="15" style="304" bestFit="1" customWidth="1"/>
    <col min="185" max="196" width="10.86328125" style="304" bestFit="1" customWidth="1"/>
    <col min="197" max="16384" width="10.73046875" style="304"/>
  </cols>
  <sheetData>
    <row r="1" spans="1:204">
      <c r="E1" s="305" t="s">
        <v>343</v>
      </c>
      <c r="F1" s="305"/>
    </row>
    <row r="2" spans="1:204" ht="14.65" thickBot="1">
      <c r="B2" s="305" t="s">
        <v>344</v>
      </c>
      <c r="E2" s="59" t="s">
        <v>567</v>
      </c>
    </row>
    <row r="3" spans="1:204">
      <c r="B3" s="306" t="s">
        <v>345</v>
      </c>
      <c r="C3" s="307" t="s">
        <v>346</v>
      </c>
      <c r="E3" s="304" t="s">
        <v>347</v>
      </c>
    </row>
    <row r="4" spans="1:204" ht="14.65" thickBot="1">
      <c r="B4" s="308" t="s">
        <v>348</v>
      </c>
      <c r="C4" s="309" t="s">
        <v>349</v>
      </c>
      <c r="E4" s="305" t="s">
        <v>350</v>
      </c>
      <c r="F4" s="310">
        <v>1</v>
      </c>
      <c r="G4" s="310">
        <v>2</v>
      </c>
      <c r="H4" s="310">
        <v>3</v>
      </c>
      <c r="I4" s="310">
        <v>4</v>
      </c>
      <c r="J4" s="310">
        <v>5</v>
      </c>
      <c r="K4" s="310">
        <v>6</v>
      </c>
      <c r="L4" s="310">
        <v>7</v>
      </c>
      <c r="M4" s="310">
        <v>8</v>
      </c>
      <c r="N4" s="310">
        <v>9</v>
      </c>
      <c r="O4" s="310">
        <v>10</v>
      </c>
      <c r="P4" s="310">
        <v>11</v>
      </c>
      <c r="Q4" s="310">
        <v>12</v>
      </c>
    </row>
    <row r="5" spans="1:204">
      <c r="B5" s="311" t="s">
        <v>351</v>
      </c>
      <c r="C5" s="312" t="s">
        <v>352</v>
      </c>
      <c r="D5" s="304">
        <v>1</v>
      </c>
      <c r="E5" s="306" t="s">
        <v>353</v>
      </c>
      <c r="F5" s="313" t="s">
        <v>16</v>
      </c>
      <c r="G5" s="314" t="s">
        <v>194</v>
      </c>
      <c r="H5" s="314" t="s">
        <v>354</v>
      </c>
      <c r="I5" s="314" t="s">
        <v>355</v>
      </c>
      <c r="J5" s="314" t="s">
        <v>356</v>
      </c>
      <c r="K5" s="314" t="s">
        <v>357</v>
      </c>
      <c r="L5" s="314" t="s">
        <v>358</v>
      </c>
      <c r="M5" s="314" t="s">
        <v>359</v>
      </c>
      <c r="N5" s="314" t="s">
        <v>360</v>
      </c>
      <c r="O5" s="314" t="s">
        <v>361</v>
      </c>
      <c r="P5" s="314" t="s">
        <v>231</v>
      </c>
      <c r="Q5" s="315" t="s">
        <v>362</v>
      </c>
    </row>
    <row r="6" spans="1:204">
      <c r="B6" s="311" t="s">
        <v>363</v>
      </c>
      <c r="C6" s="312" t="s">
        <v>364</v>
      </c>
      <c r="D6" s="304">
        <v>2</v>
      </c>
      <c r="E6" s="316" t="s">
        <v>365</v>
      </c>
      <c r="F6" s="317" t="s">
        <v>32</v>
      </c>
      <c r="G6" s="318" t="s">
        <v>66</v>
      </c>
      <c r="H6" s="318" t="s">
        <v>43</v>
      </c>
      <c r="I6" s="318" t="s">
        <v>51</v>
      </c>
      <c r="J6" s="318" t="s">
        <v>289</v>
      </c>
      <c r="K6" s="318" t="s">
        <v>243</v>
      </c>
      <c r="L6" s="318" t="s">
        <v>105</v>
      </c>
      <c r="M6" s="318" t="s">
        <v>111</v>
      </c>
      <c r="N6" s="318" t="s">
        <v>366</v>
      </c>
      <c r="O6" s="318" t="s">
        <v>367</v>
      </c>
      <c r="P6" s="318" t="s">
        <v>244</v>
      </c>
      <c r="Q6" s="319" t="s">
        <v>48</v>
      </c>
    </row>
    <row r="7" spans="1:204">
      <c r="B7" s="311" t="s">
        <v>368</v>
      </c>
      <c r="C7" s="312" t="s">
        <v>369</v>
      </c>
      <c r="D7" s="304">
        <v>3</v>
      </c>
      <c r="E7" s="311" t="s">
        <v>370</v>
      </c>
      <c r="F7" s="320" t="s">
        <v>32</v>
      </c>
      <c r="G7" s="321" t="s">
        <v>66</v>
      </c>
      <c r="H7" s="321" t="s">
        <v>43</v>
      </c>
      <c r="I7" s="321" t="s">
        <v>51</v>
      </c>
      <c r="J7" s="321" t="s">
        <v>289</v>
      </c>
      <c r="K7" s="321" t="s">
        <v>243</v>
      </c>
      <c r="L7" s="321"/>
      <c r="M7" s="321"/>
      <c r="N7" s="321"/>
      <c r="O7" s="321"/>
      <c r="P7" s="321" t="s">
        <v>244</v>
      </c>
      <c r="Q7" s="322" t="s">
        <v>48</v>
      </c>
    </row>
    <row r="8" spans="1:204" ht="14.65" thickBot="1">
      <c r="B8" s="323" t="s">
        <v>371</v>
      </c>
      <c r="C8" s="324" t="s">
        <v>372</v>
      </c>
      <c r="D8" s="304">
        <v>4</v>
      </c>
      <c r="E8" s="325" t="s">
        <v>373</v>
      </c>
      <c r="F8" s="326" t="s">
        <v>105</v>
      </c>
      <c r="G8" s="327" t="s">
        <v>111</v>
      </c>
      <c r="H8" s="327" t="s">
        <v>374</v>
      </c>
      <c r="I8" s="327" t="s">
        <v>51</v>
      </c>
      <c r="J8" s="327" t="s">
        <v>375</v>
      </c>
      <c r="K8" s="327" t="s">
        <v>6</v>
      </c>
      <c r="L8" s="327" t="s">
        <v>105</v>
      </c>
      <c r="M8" s="327" t="s">
        <v>111</v>
      </c>
      <c r="N8" s="327" t="s">
        <v>366</v>
      </c>
      <c r="O8" s="327" t="s">
        <v>367</v>
      </c>
      <c r="P8" s="327" t="s">
        <v>244</v>
      </c>
      <c r="Q8" s="237" t="s">
        <v>48</v>
      </c>
    </row>
    <row r="11" spans="1:204" s="328" customFormat="1">
      <c r="A11" s="2" t="s">
        <v>376</v>
      </c>
    </row>
    <row r="12" spans="1:204" s="330" customFormat="1">
      <c r="A12" s="329" t="s">
        <v>377</v>
      </c>
    </row>
    <row r="13" spans="1:204" s="310" customFormat="1">
      <c r="D13" s="331" t="s">
        <v>378</v>
      </c>
      <c r="N13" s="310">
        <v>1</v>
      </c>
      <c r="O13" s="310">
        <v>2</v>
      </c>
      <c r="P13" s="310">
        <v>3</v>
      </c>
      <c r="Q13" s="310">
        <v>4</v>
      </c>
      <c r="R13" s="310">
        <v>5</v>
      </c>
      <c r="S13" s="310">
        <v>6</v>
      </c>
      <c r="T13" s="310">
        <v>7</v>
      </c>
      <c r="U13" s="310">
        <v>8</v>
      </c>
      <c r="V13" s="310">
        <v>9</v>
      </c>
      <c r="W13" s="310">
        <v>10</v>
      </c>
      <c r="X13" s="310">
        <v>11</v>
      </c>
      <c r="Y13" s="310">
        <v>12</v>
      </c>
      <c r="Z13" s="310">
        <v>13</v>
      </c>
      <c r="AA13" s="310">
        <v>14</v>
      </c>
      <c r="AB13" s="310">
        <v>15</v>
      </c>
      <c r="AC13" s="310">
        <v>16</v>
      </c>
      <c r="AD13" s="310">
        <v>17</v>
      </c>
      <c r="AE13" s="310">
        <v>18</v>
      </c>
      <c r="AF13" s="310">
        <v>19</v>
      </c>
      <c r="AG13" s="310">
        <v>20</v>
      </c>
      <c r="AH13" s="310">
        <v>21</v>
      </c>
      <c r="AI13" s="310">
        <v>22</v>
      </c>
      <c r="AJ13" s="310">
        <v>23</v>
      </c>
      <c r="AK13" s="310">
        <v>24</v>
      </c>
      <c r="AL13" s="310">
        <v>25</v>
      </c>
      <c r="AM13" s="310">
        <v>26</v>
      </c>
      <c r="AN13" s="310">
        <v>27</v>
      </c>
      <c r="AO13" s="310">
        <v>28</v>
      </c>
      <c r="AP13" s="310">
        <v>29</v>
      </c>
      <c r="AQ13" s="310">
        <v>30</v>
      </c>
      <c r="AR13" s="310">
        <v>31</v>
      </c>
      <c r="AS13" s="310">
        <v>32</v>
      </c>
      <c r="AT13" s="310">
        <v>33</v>
      </c>
      <c r="AU13" s="310">
        <v>34</v>
      </c>
      <c r="AV13" s="310">
        <v>35</v>
      </c>
      <c r="AW13" s="310">
        <v>36</v>
      </c>
      <c r="AX13" s="310">
        <v>37</v>
      </c>
      <c r="AY13" s="310">
        <v>38</v>
      </c>
      <c r="AZ13" s="310">
        <v>39</v>
      </c>
      <c r="BA13" s="310">
        <v>40</v>
      </c>
      <c r="BB13" s="310">
        <v>41</v>
      </c>
      <c r="BC13" s="310">
        <v>42</v>
      </c>
      <c r="BD13" s="310">
        <v>43</v>
      </c>
      <c r="BE13" s="310">
        <v>44</v>
      </c>
      <c r="BF13" s="310">
        <v>45</v>
      </c>
      <c r="BG13" s="310">
        <v>46</v>
      </c>
      <c r="BH13" s="310">
        <v>47</v>
      </c>
      <c r="BI13" s="310">
        <v>48</v>
      </c>
      <c r="BJ13" s="310">
        <v>49</v>
      </c>
      <c r="BK13" s="310">
        <v>50</v>
      </c>
      <c r="BL13" s="310">
        <v>51</v>
      </c>
      <c r="BM13" s="310">
        <v>52</v>
      </c>
      <c r="BN13" s="310">
        <v>53</v>
      </c>
      <c r="BO13" s="310">
        <v>54</v>
      </c>
      <c r="BP13" s="310">
        <v>55</v>
      </c>
      <c r="BQ13" s="310">
        <v>56</v>
      </c>
      <c r="BR13" s="310">
        <v>57</v>
      </c>
      <c r="BS13" s="310">
        <v>58</v>
      </c>
      <c r="BT13" s="310">
        <v>59</v>
      </c>
      <c r="BU13" s="310">
        <v>60</v>
      </c>
      <c r="BV13" s="310">
        <v>61</v>
      </c>
      <c r="BW13" s="310">
        <v>62</v>
      </c>
      <c r="BX13" s="310">
        <v>63</v>
      </c>
      <c r="BY13" s="310">
        <v>64</v>
      </c>
      <c r="BZ13" s="310">
        <v>65</v>
      </c>
      <c r="CA13" s="310">
        <v>66</v>
      </c>
      <c r="CB13" s="310">
        <v>67</v>
      </c>
      <c r="CC13" s="310">
        <v>68</v>
      </c>
      <c r="CD13" s="310">
        <v>69</v>
      </c>
      <c r="CE13" s="310">
        <v>70</v>
      </c>
      <c r="CF13" s="310">
        <v>71</v>
      </c>
      <c r="CG13" s="310">
        <v>72</v>
      </c>
      <c r="CH13" s="310">
        <v>73</v>
      </c>
      <c r="CI13" s="310">
        <v>74</v>
      </c>
      <c r="CJ13" s="310">
        <v>75</v>
      </c>
      <c r="CK13" s="310">
        <v>76</v>
      </c>
      <c r="CL13" s="310">
        <v>77</v>
      </c>
      <c r="CM13" s="310">
        <v>78</v>
      </c>
      <c r="CN13" s="310">
        <v>79</v>
      </c>
      <c r="CO13" s="310">
        <v>80</v>
      </c>
      <c r="CP13" s="310">
        <v>81</v>
      </c>
      <c r="CQ13" s="310">
        <v>82</v>
      </c>
      <c r="CR13" s="310">
        <v>83</v>
      </c>
      <c r="CS13" s="310">
        <v>84</v>
      </c>
      <c r="CT13" s="310">
        <v>85</v>
      </c>
      <c r="CU13" s="310">
        <v>86</v>
      </c>
      <c r="CV13" s="310">
        <v>87</v>
      </c>
      <c r="CW13" s="310">
        <v>88</v>
      </c>
      <c r="CX13" s="310">
        <v>89</v>
      </c>
      <c r="CY13" s="310">
        <v>90</v>
      </c>
      <c r="CZ13" s="310">
        <v>91</v>
      </c>
      <c r="DA13" s="310">
        <v>92</v>
      </c>
      <c r="DB13" s="310">
        <v>93</v>
      </c>
      <c r="DC13" s="310">
        <v>94</v>
      </c>
      <c r="DD13" s="310">
        <v>95</v>
      </c>
      <c r="DE13" s="310">
        <v>96</v>
      </c>
      <c r="DF13" s="310">
        <v>97</v>
      </c>
      <c r="DG13" s="310">
        <v>98</v>
      </c>
      <c r="DH13" s="310">
        <v>99</v>
      </c>
      <c r="DI13" s="310">
        <v>100</v>
      </c>
      <c r="DJ13" s="310">
        <v>101</v>
      </c>
      <c r="DK13" s="310">
        <v>102</v>
      </c>
      <c r="DL13" s="310">
        <v>103</v>
      </c>
      <c r="DM13" s="310">
        <v>104</v>
      </c>
      <c r="DN13" s="310">
        <v>105</v>
      </c>
      <c r="DO13" s="310">
        <v>106</v>
      </c>
      <c r="DP13" s="310">
        <v>107</v>
      </c>
      <c r="DQ13" s="310">
        <v>108</v>
      </c>
      <c r="DR13" s="310">
        <v>109</v>
      </c>
      <c r="DS13" s="310">
        <v>110</v>
      </c>
      <c r="DT13" s="310">
        <v>111</v>
      </c>
      <c r="DU13" s="310">
        <v>112</v>
      </c>
      <c r="DV13" s="310">
        <v>113</v>
      </c>
      <c r="DW13" s="310">
        <v>114</v>
      </c>
      <c r="DX13" s="310">
        <v>115</v>
      </c>
      <c r="DY13" s="310">
        <v>116</v>
      </c>
      <c r="DZ13" s="310">
        <v>117</v>
      </c>
      <c r="EA13" s="310">
        <v>118</v>
      </c>
      <c r="EB13" s="310">
        <v>119</v>
      </c>
      <c r="EC13" s="310">
        <v>120</v>
      </c>
      <c r="ED13" s="310">
        <v>121</v>
      </c>
      <c r="EE13" s="310">
        <v>122</v>
      </c>
      <c r="EF13" s="310">
        <v>123</v>
      </c>
      <c r="EG13" s="310">
        <v>124</v>
      </c>
      <c r="EH13" s="310">
        <v>125</v>
      </c>
      <c r="EI13" s="310">
        <v>126</v>
      </c>
      <c r="EJ13" s="310">
        <v>127</v>
      </c>
      <c r="EK13" s="310">
        <v>128</v>
      </c>
      <c r="EL13" s="310">
        <v>129</v>
      </c>
      <c r="EM13" s="310">
        <v>130</v>
      </c>
      <c r="EN13" s="310">
        <v>131</v>
      </c>
      <c r="EO13" s="310">
        <v>132</v>
      </c>
      <c r="EP13" s="310">
        <v>133</v>
      </c>
      <c r="EQ13" s="310">
        <v>134</v>
      </c>
      <c r="ER13" s="310">
        <v>135</v>
      </c>
      <c r="ES13" s="310">
        <v>136</v>
      </c>
      <c r="ET13" s="310">
        <v>137</v>
      </c>
      <c r="EU13" s="310">
        <v>138</v>
      </c>
      <c r="EV13" s="310">
        <v>139</v>
      </c>
      <c r="EW13" s="310">
        <v>140</v>
      </c>
      <c r="EX13" s="310">
        <v>141</v>
      </c>
      <c r="EY13" s="310">
        <v>142</v>
      </c>
      <c r="EZ13" s="310">
        <v>143</v>
      </c>
      <c r="FA13" s="310">
        <v>144</v>
      </c>
      <c r="FB13" s="310">
        <v>145</v>
      </c>
      <c r="FC13" s="310">
        <v>146</v>
      </c>
      <c r="FD13" s="310">
        <v>147</v>
      </c>
      <c r="FE13" s="310">
        <v>148</v>
      </c>
      <c r="FF13" s="310">
        <v>149</v>
      </c>
      <c r="FG13" s="310">
        <v>150</v>
      </c>
      <c r="FH13" s="310">
        <v>151</v>
      </c>
      <c r="FI13" s="310">
        <v>152</v>
      </c>
      <c r="FJ13" s="310">
        <v>153</v>
      </c>
      <c r="FK13" s="310">
        <v>154</v>
      </c>
      <c r="FL13" s="310">
        <v>155</v>
      </c>
      <c r="FM13" s="310">
        <v>156</v>
      </c>
      <c r="FN13" s="310">
        <v>157</v>
      </c>
      <c r="FO13" s="310">
        <v>158</v>
      </c>
      <c r="FP13" s="310">
        <v>159</v>
      </c>
      <c r="FQ13" s="310">
        <v>160</v>
      </c>
      <c r="FR13" s="310">
        <v>161</v>
      </c>
      <c r="FS13" s="310">
        <v>162</v>
      </c>
      <c r="FT13" s="310">
        <v>163</v>
      </c>
      <c r="FU13" s="310">
        <v>164</v>
      </c>
      <c r="FV13" s="310">
        <v>165</v>
      </c>
      <c r="FW13" s="310">
        <v>166</v>
      </c>
      <c r="FX13" s="310">
        <v>167</v>
      </c>
      <c r="FY13" s="310">
        <v>168</v>
      </c>
      <c r="FZ13" s="310">
        <v>169</v>
      </c>
      <c r="GA13" s="310">
        <v>170</v>
      </c>
      <c r="GB13" s="310">
        <v>171</v>
      </c>
      <c r="GC13" s="310">
        <v>172</v>
      </c>
      <c r="GD13" s="310">
        <v>173</v>
      </c>
      <c r="GE13" s="310">
        <v>174</v>
      </c>
      <c r="GF13" s="310">
        <v>175</v>
      </c>
      <c r="GG13" s="310">
        <v>176</v>
      </c>
      <c r="GH13" s="310">
        <v>177</v>
      </c>
      <c r="GI13" s="310">
        <v>178</v>
      </c>
      <c r="GJ13" s="310">
        <v>179</v>
      </c>
      <c r="GK13" s="310">
        <v>180</v>
      </c>
      <c r="GL13" s="310">
        <v>181</v>
      </c>
      <c r="GM13" s="310">
        <v>182</v>
      </c>
      <c r="GN13" s="310">
        <v>183</v>
      </c>
      <c r="GO13" s="310">
        <v>184</v>
      </c>
      <c r="GP13" s="310">
        <v>185</v>
      </c>
      <c r="GQ13" s="310">
        <v>186</v>
      </c>
      <c r="GR13" s="310">
        <v>187</v>
      </c>
      <c r="GS13" s="310">
        <v>188</v>
      </c>
      <c r="GT13" s="310">
        <v>189</v>
      </c>
      <c r="GU13" s="310">
        <v>190</v>
      </c>
      <c r="GV13" s="310">
        <v>191</v>
      </c>
    </row>
    <row r="14" spans="1:204">
      <c r="C14" s="310">
        <v>1</v>
      </c>
      <c r="D14" s="310">
        <v>2</v>
      </c>
      <c r="E14" s="310">
        <v>3</v>
      </c>
      <c r="F14" s="310">
        <v>4</v>
      </c>
      <c r="G14" s="310">
        <v>5</v>
      </c>
      <c r="H14" s="310">
        <v>6</v>
      </c>
      <c r="I14" s="310">
        <v>7</v>
      </c>
      <c r="J14" s="310">
        <v>8</v>
      </c>
      <c r="K14" s="310">
        <v>9</v>
      </c>
      <c r="L14" s="310">
        <v>10</v>
      </c>
      <c r="M14" s="310"/>
      <c r="N14" s="10" t="s">
        <v>379</v>
      </c>
      <c r="O14" s="58"/>
      <c r="P14" s="58"/>
      <c r="Q14" s="58"/>
      <c r="R14" s="46"/>
      <c r="S14" s="332" t="s">
        <v>380</v>
      </c>
      <c r="T14" s="332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7" t="s">
        <v>381</v>
      </c>
      <c r="AF14" s="58"/>
      <c r="AG14" s="58"/>
      <c r="AH14" s="58"/>
      <c r="AI14" s="46"/>
      <c r="AJ14" s="57" t="s">
        <v>382</v>
      </c>
      <c r="AK14" s="58"/>
      <c r="AL14" s="58"/>
      <c r="AM14" s="58"/>
      <c r="AN14" s="58"/>
      <c r="AO14" s="58"/>
      <c r="AP14" s="58"/>
      <c r="AQ14" s="58"/>
      <c r="AR14" s="58"/>
      <c r="AS14" s="58"/>
      <c r="AT14" s="57" t="s">
        <v>383</v>
      </c>
      <c r="AU14" s="332"/>
      <c r="AV14" s="332"/>
      <c r="AW14" s="57" t="s">
        <v>384</v>
      </c>
      <c r="AX14" s="332"/>
      <c r="AY14" s="332"/>
      <c r="AZ14" s="57" t="s">
        <v>385</v>
      </c>
      <c r="BA14" s="58"/>
      <c r="BB14" s="58"/>
      <c r="BC14" s="58"/>
      <c r="BD14" s="58"/>
      <c r="BE14" s="46"/>
      <c r="BF14" s="57" t="s">
        <v>386</v>
      </c>
      <c r="BG14" s="58"/>
      <c r="BH14" s="58"/>
      <c r="BI14" s="58"/>
      <c r="BJ14" s="58"/>
      <c r="BK14" s="46"/>
      <c r="BL14" s="332" t="s">
        <v>387</v>
      </c>
      <c r="BM14" s="58"/>
      <c r="BN14" s="58"/>
      <c r="BO14" s="58"/>
      <c r="BP14" s="58"/>
      <c r="BQ14" s="58"/>
      <c r="BR14" s="57" t="s">
        <v>388</v>
      </c>
      <c r="BS14" s="58"/>
      <c r="BT14" s="58"/>
      <c r="BU14" s="46"/>
      <c r="BV14" s="57" t="s">
        <v>389</v>
      </c>
      <c r="BW14" s="58"/>
      <c r="BX14" s="58"/>
      <c r="BY14" s="58"/>
      <c r="BZ14" s="58"/>
      <c r="CA14" s="58"/>
      <c r="CB14" s="46"/>
      <c r="CC14" s="57" t="s">
        <v>390</v>
      </c>
      <c r="CD14" s="58"/>
      <c r="CE14" s="58"/>
      <c r="CF14" s="58"/>
      <c r="CG14" s="58"/>
      <c r="CH14" s="58"/>
      <c r="CI14" s="46"/>
      <c r="CJ14" s="57" t="s">
        <v>391</v>
      </c>
      <c r="CK14" s="332"/>
      <c r="CL14" s="332"/>
      <c r="CM14" s="333"/>
      <c r="CN14" s="332" t="s">
        <v>392</v>
      </c>
      <c r="CO14" s="46"/>
      <c r="CP14" s="10" t="s">
        <v>393</v>
      </c>
      <c r="CQ14" s="57" t="s">
        <v>394</v>
      </c>
      <c r="CR14" s="58"/>
      <c r="CS14" s="58"/>
      <c r="CT14" s="58"/>
      <c r="CU14" s="58"/>
      <c r="CV14" s="58"/>
      <c r="CW14" s="58"/>
      <c r="CX14" s="46"/>
      <c r="CY14" s="57" t="s">
        <v>395</v>
      </c>
      <c r="CZ14" s="58"/>
      <c r="DA14" s="58"/>
      <c r="DB14" s="58"/>
      <c r="DC14" s="58"/>
      <c r="DD14" s="58"/>
      <c r="DE14" s="58"/>
      <c r="DF14" s="46"/>
      <c r="DG14" s="57" t="s">
        <v>396</v>
      </c>
      <c r="DH14" s="58"/>
      <c r="DI14" s="58"/>
      <c r="DJ14" s="58"/>
      <c r="DK14" s="58"/>
      <c r="DL14" s="58"/>
      <c r="DM14" s="58"/>
      <c r="DN14" s="46"/>
      <c r="DO14" s="57" t="s">
        <v>397</v>
      </c>
      <c r="DP14" s="58"/>
      <c r="DQ14" s="58"/>
      <c r="DR14" s="58"/>
      <c r="DS14" s="58"/>
      <c r="DT14" s="58"/>
      <c r="DU14" s="58"/>
      <c r="DV14" s="46"/>
      <c r="DW14" s="57" t="s">
        <v>398</v>
      </c>
      <c r="DX14" s="58"/>
      <c r="DY14" s="58"/>
      <c r="DZ14" s="58"/>
      <c r="EA14" s="58"/>
      <c r="EB14" s="58"/>
      <c r="EC14" s="58"/>
      <c r="ED14" s="46"/>
      <c r="EE14" s="57" t="s">
        <v>399</v>
      </c>
      <c r="EF14" s="58"/>
      <c r="EG14" s="58"/>
      <c r="EH14" s="58"/>
      <c r="EI14" s="58"/>
      <c r="EJ14" s="58"/>
      <c r="EK14" s="58"/>
      <c r="EL14" s="46"/>
      <c r="EM14" s="57" t="s">
        <v>400</v>
      </c>
      <c r="EN14" s="58"/>
      <c r="EO14" s="58"/>
      <c r="EP14" s="58"/>
      <c r="EQ14" s="58"/>
      <c r="ER14" s="58"/>
      <c r="ES14" s="58"/>
      <c r="ET14" s="46"/>
      <c r="EU14" s="57" t="s">
        <v>401</v>
      </c>
      <c r="EV14" s="58"/>
      <c r="EW14" s="58"/>
      <c r="EX14" s="58"/>
      <c r="EY14" s="58"/>
      <c r="EZ14" s="58"/>
      <c r="FA14" s="58"/>
      <c r="FB14" s="46"/>
      <c r="FC14" s="57" t="s">
        <v>402</v>
      </c>
      <c r="FD14" s="58"/>
      <c r="FE14" s="58"/>
      <c r="FF14" s="58"/>
      <c r="FG14" s="58"/>
      <c r="FH14" s="58"/>
      <c r="FI14" s="58"/>
      <c r="FJ14" s="46"/>
      <c r="FK14" s="57" t="s">
        <v>403</v>
      </c>
      <c r="FL14" s="58"/>
      <c r="FM14" s="58"/>
      <c r="FN14" s="58"/>
      <c r="FO14" s="58"/>
      <c r="FP14" s="58"/>
      <c r="FQ14" s="58"/>
      <c r="FR14" s="46"/>
      <c r="FS14" s="57" t="s">
        <v>404</v>
      </c>
      <c r="FT14" s="58"/>
      <c r="FU14" s="58"/>
      <c r="FV14" s="58"/>
      <c r="FW14" s="58"/>
      <c r="FX14" s="58"/>
      <c r="FY14" s="58"/>
      <c r="FZ14" s="46"/>
      <c r="GA14" s="57" t="s">
        <v>405</v>
      </c>
      <c r="GB14" s="58"/>
      <c r="GC14" s="58"/>
      <c r="GD14" s="58"/>
      <c r="GE14" s="58"/>
      <c r="GF14" s="58"/>
      <c r="GG14" s="58"/>
      <c r="GH14" s="46"/>
      <c r="GI14" s="57" t="s">
        <v>406</v>
      </c>
      <c r="GJ14" s="58"/>
      <c r="GK14" s="58"/>
      <c r="GL14" s="58"/>
      <c r="GM14" s="58"/>
      <c r="GN14" s="58"/>
      <c r="GO14" s="58"/>
      <c r="GP14" s="46"/>
      <c r="GQ14" s="57" t="s">
        <v>407</v>
      </c>
      <c r="GR14" s="58"/>
      <c r="GS14" s="58"/>
      <c r="GT14" s="58"/>
      <c r="GU14" s="58"/>
      <c r="GV14" s="46"/>
    </row>
    <row r="15" spans="1:204" s="334" customFormat="1">
      <c r="B15" s="22" t="s">
        <v>408</v>
      </c>
      <c r="C15" s="22" t="s">
        <v>2</v>
      </c>
      <c r="D15" s="335" t="s">
        <v>409</v>
      </c>
      <c r="E15" s="23" t="s">
        <v>410</v>
      </c>
      <c r="F15" s="335" t="s">
        <v>411</v>
      </c>
      <c r="G15" s="335"/>
      <c r="H15" s="335"/>
      <c r="I15" s="335"/>
      <c r="J15" s="335"/>
      <c r="K15" s="335"/>
      <c r="L15" s="23"/>
      <c r="N15" s="22" t="s">
        <v>412</v>
      </c>
      <c r="O15" s="336" t="s">
        <v>413</v>
      </c>
      <c r="P15" s="22" t="s">
        <v>408</v>
      </c>
      <c r="Q15" s="337" t="s">
        <v>408</v>
      </c>
      <c r="R15" s="23" t="s">
        <v>408</v>
      </c>
      <c r="S15" s="337" t="s">
        <v>36</v>
      </c>
      <c r="T15" s="335" t="s">
        <v>414</v>
      </c>
      <c r="U15" s="335" t="s">
        <v>415</v>
      </c>
      <c r="V15" s="335" t="s">
        <v>416</v>
      </c>
      <c r="W15" s="335" t="s">
        <v>417</v>
      </c>
      <c r="X15" s="335" t="s">
        <v>418</v>
      </c>
      <c r="Y15" s="335" t="s">
        <v>419</v>
      </c>
      <c r="Z15" s="335" t="s">
        <v>420</v>
      </c>
      <c r="AA15" s="335" t="s">
        <v>421</v>
      </c>
      <c r="AB15" s="335" t="s">
        <v>422</v>
      </c>
      <c r="AC15" s="335" t="s">
        <v>423</v>
      </c>
      <c r="AD15" s="338" t="s">
        <v>424</v>
      </c>
      <c r="AE15" s="337" t="s">
        <v>358</v>
      </c>
      <c r="AF15" s="335" t="s">
        <v>359</v>
      </c>
      <c r="AG15" s="335" t="s">
        <v>360</v>
      </c>
      <c r="AH15" s="335" t="s">
        <v>425</v>
      </c>
      <c r="AI15" s="23" t="s">
        <v>426</v>
      </c>
      <c r="AJ15" s="337" t="s">
        <v>427</v>
      </c>
      <c r="AK15" s="335" t="s">
        <v>428</v>
      </c>
      <c r="AL15" s="335" t="s">
        <v>429</v>
      </c>
      <c r="AM15" s="335" t="s">
        <v>430</v>
      </c>
      <c r="AN15" s="335" t="s">
        <v>431</v>
      </c>
      <c r="AO15" s="335" t="s">
        <v>432</v>
      </c>
      <c r="AP15" s="335" t="s">
        <v>433</v>
      </c>
      <c r="AQ15" s="335" t="s">
        <v>434</v>
      </c>
      <c r="AR15" s="335" t="s">
        <v>435</v>
      </c>
      <c r="AS15" s="336" t="s">
        <v>436</v>
      </c>
      <c r="AT15" s="337" t="s">
        <v>437</v>
      </c>
      <c r="AU15" s="335" t="s">
        <v>438</v>
      </c>
      <c r="AV15" s="336" t="s">
        <v>439</v>
      </c>
      <c r="AW15" s="337" t="s">
        <v>440</v>
      </c>
      <c r="AX15" s="335" t="s">
        <v>441</v>
      </c>
      <c r="AY15" s="336" t="s">
        <v>442</v>
      </c>
      <c r="AZ15" s="337" t="s">
        <v>443</v>
      </c>
      <c r="BA15" s="335" t="s">
        <v>444</v>
      </c>
      <c r="BB15" s="335" t="s">
        <v>445</v>
      </c>
      <c r="BC15" s="335" t="s">
        <v>446</v>
      </c>
      <c r="BD15" s="335" t="s">
        <v>447</v>
      </c>
      <c r="BE15" s="23" t="s">
        <v>448</v>
      </c>
      <c r="BF15" s="337" t="s">
        <v>449</v>
      </c>
      <c r="BG15" s="335" t="s">
        <v>450</v>
      </c>
      <c r="BH15" s="335" t="s">
        <v>451</v>
      </c>
      <c r="BI15" s="335" t="s">
        <v>452</v>
      </c>
      <c r="BJ15" s="335" t="s">
        <v>453</v>
      </c>
      <c r="BK15" s="23" t="s">
        <v>454</v>
      </c>
      <c r="BL15" s="337" t="s">
        <v>449</v>
      </c>
      <c r="BM15" s="335" t="s">
        <v>450</v>
      </c>
      <c r="BN15" s="335" t="s">
        <v>451</v>
      </c>
      <c r="BO15" s="335" t="s">
        <v>452</v>
      </c>
      <c r="BP15" s="335" t="s">
        <v>453</v>
      </c>
      <c r="BQ15" s="336" t="s">
        <v>454</v>
      </c>
      <c r="BR15" s="337" t="s">
        <v>455</v>
      </c>
      <c r="BS15" s="335" t="s">
        <v>456</v>
      </c>
      <c r="BT15" s="335" t="s">
        <v>457</v>
      </c>
      <c r="BU15" s="23" t="s">
        <v>458</v>
      </c>
      <c r="BV15" s="337" t="s">
        <v>459</v>
      </c>
      <c r="BW15" s="335" t="s">
        <v>460</v>
      </c>
      <c r="BX15" s="335" t="s">
        <v>461</v>
      </c>
      <c r="BY15" s="335" t="s">
        <v>462</v>
      </c>
      <c r="BZ15" s="335" t="s">
        <v>463</v>
      </c>
      <c r="CA15" s="335" t="s">
        <v>464</v>
      </c>
      <c r="CB15" s="23" t="s">
        <v>465</v>
      </c>
      <c r="CC15" s="337" t="s">
        <v>459</v>
      </c>
      <c r="CD15" s="335" t="s">
        <v>460</v>
      </c>
      <c r="CE15" s="335" t="s">
        <v>461</v>
      </c>
      <c r="CF15" s="335" t="s">
        <v>462</v>
      </c>
      <c r="CG15" s="335" t="s">
        <v>463</v>
      </c>
      <c r="CH15" s="335" t="s">
        <v>464</v>
      </c>
      <c r="CI15" s="23" t="s">
        <v>465</v>
      </c>
      <c r="CJ15" s="337" t="s">
        <v>466</v>
      </c>
      <c r="CK15" s="335" t="s">
        <v>467</v>
      </c>
      <c r="CL15" s="335" t="s">
        <v>468</v>
      </c>
      <c r="CM15" s="23" t="s">
        <v>469</v>
      </c>
      <c r="CN15" s="337" t="s">
        <v>470</v>
      </c>
      <c r="CO15" s="339" t="s">
        <v>471</v>
      </c>
      <c r="CP15" s="22" t="s">
        <v>472</v>
      </c>
      <c r="CQ15" s="340" t="s">
        <v>266</v>
      </c>
      <c r="CR15" s="336" t="s">
        <v>267</v>
      </c>
      <c r="CS15" s="336" t="s">
        <v>268</v>
      </c>
      <c r="CT15" s="336" t="s">
        <v>269</v>
      </c>
      <c r="CU15" s="336" t="s">
        <v>270</v>
      </c>
      <c r="CV15" s="336" t="s">
        <v>473</v>
      </c>
      <c r="CW15" s="336" t="s">
        <v>474</v>
      </c>
      <c r="CX15" s="23" t="s">
        <v>475</v>
      </c>
      <c r="CY15" s="340" t="s">
        <v>266</v>
      </c>
      <c r="CZ15" s="336" t="s">
        <v>267</v>
      </c>
      <c r="DA15" s="336" t="s">
        <v>268</v>
      </c>
      <c r="DB15" s="336" t="s">
        <v>269</v>
      </c>
      <c r="DC15" s="336" t="s">
        <v>270</v>
      </c>
      <c r="DD15" s="336" t="s">
        <v>473</v>
      </c>
      <c r="DE15" s="336" t="s">
        <v>474</v>
      </c>
      <c r="DF15" s="23" t="s">
        <v>475</v>
      </c>
      <c r="DG15" s="340" t="s">
        <v>266</v>
      </c>
      <c r="DH15" s="336" t="s">
        <v>267</v>
      </c>
      <c r="DI15" s="336" t="s">
        <v>268</v>
      </c>
      <c r="DJ15" s="336" t="s">
        <v>269</v>
      </c>
      <c r="DK15" s="336" t="s">
        <v>270</v>
      </c>
      <c r="DL15" s="336" t="s">
        <v>473</v>
      </c>
      <c r="DM15" s="336" t="s">
        <v>474</v>
      </c>
      <c r="DN15" s="23" t="s">
        <v>475</v>
      </c>
      <c r="DO15" s="340" t="s">
        <v>266</v>
      </c>
      <c r="DP15" s="336" t="s">
        <v>267</v>
      </c>
      <c r="DQ15" s="336" t="s">
        <v>268</v>
      </c>
      <c r="DR15" s="336" t="s">
        <v>269</v>
      </c>
      <c r="DS15" s="336" t="s">
        <v>270</v>
      </c>
      <c r="DT15" s="336" t="s">
        <v>473</v>
      </c>
      <c r="DU15" s="336" t="s">
        <v>474</v>
      </c>
      <c r="DV15" s="23" t="s">
        <v>475</v>
      </c>
      <c r="DW15" s="340" t="s">
        <v>266</v>
      </c>
      <c r="DX15" s="336" t="s">
        <v>267</v>
      </c>
      <c r="DY15" s="336" t="s">
        <v>268</v>
      </c>
      <c r="DZ15" s="336" t="s">
        <v>269</v>
      </c>
      <c r="EA15" s="336" t="s">
        <v>270</v>
      </c>
      <c r="EB15" s="336" t="s">
        <v>473</v>
      </c>
      <c r="EC15" s="336" t="s">
        <v>474</v>
      </c>
      <c r="ED15" s="23" t="s">
        <v>475</v>
      </c>
      <c r="EE15" s="340" t="s">
        <v>266</v>
      </c>
      <c r="EF15" s="336" t="s">
        <v>267</v>
      </c>
      <c r="EG15" s="336" t="s">
        <v>268</v>
      </c>
      <c r="EH15" s="336" t="s">
        <v>269</v>
      </c>
      <c r="EI15" s="336" t="s">
        <v>270</v>
      </c>
      <c r="EJ15" s="336" t="s">
        <v>473</v>
      </c>
      <c r="EK15" s="336" t="s">
        <v>474</v>
      </c>
      <c r="EL15" s="23" t="s">
        <v>475</v>
      </c>
      <c r="EM15" s="340" t="s">
        <v>266</v>
      </c>
      <c r="EN15" s="336" t="s">
        <v>267</v>
      </c>
      <c r="EO15" s="336" t="s">
        <v>268</v>
      </c>
      <c r="EP15" s="336" t="s">
        <v>269</v>
      </c>
      <c r="EQ15" s="336" t="s">
        <v>270</v>
      </c>
      <c r="ER15" s="336" t="s">
        <v>473</v>
      </c>
      <c r="ES15" s="336" t="s">
        <v>474</v>
      </c>
      <c r="ET15" s="23" t="s">
        <v>475</v>
      </c>
      <c r="EU15" s="340" t="s">
        <v>266</v>
      </c>
      <c r="EV15" s="336" t="s">
        <v>267</v>
      </c>
      <c r="EW15" s="336" t="s">
        <v>268</v>
      </c>
      <c r="EX15" s="336" t="s">
        <v>269</v>
      </c>
      <c r="EY15" s="336" t="s">
        <v>270</v>
      </c>
      <c r="EZ15" s="336" t="s">
        <v>473</v>
      </c>
      <c r="FA15" s="336" t="s">
        <v>474</v>
      </c>
      <c r="FB15" s="23" t="s">
        <v>475</v>
      </c>
      <c r="FC15" s="340" t="s">
        <v>266</v>
      </c>
      <c r="FD15" s="336" t="s">
        <v>267</v>
      </c>
      <c r="FE15" s="336" t="s">
        <v>268</v>
      </c>
      <c r="FF15" s="336" t="s">
        <v>269</v>
      </c>
      <c r="FG15" s="336" t="s">
        <v>270</v>
      </c>
      <c r="FH15" s="336" t="s">
        <v>473</v>
      </c>
      <c r="FI15" s="336" t="s">
        <v>474</v>
      </c>
      <c r="FJ15" s="23" t="s">
        <v>475</v>
      </c>
      <c r="FK15" s="340" t="s">
        <v>266</v>
      </c>
      <c r="FL15" s="336" t="s">
        <v>267</v>
      </c>
      <c r="FM15" s="336" t="s">
        <v>268</v>
      </c>
      <c r="FN15" s="336" t="s">
        <v>269</v>
      </c>
      <c r="FO15" s="336" t="s">
        <v>270</v>
      </c>
      <c r="FP15" s="336" t="s">
        <v>473</v>
      </c>
      <c r="FQ15" s="336" t="s">
        <v>474</v>
      </c>
      <c r="FR15" s="23" t="s">
        <v>475</v>
      </c>
      <c r="FS15" s="340" t="s">
        <v>266</v>
      </c>
      <c r="FT15" s="336" t="s">
        <v>267</v>
      </c>
      <c r="FU15" s="336" t="s">
        <v>268</v>
      </c>
      <c r="FV15" s="336" t="s">
        <v>269</v>
      </c>
      <c r="FW15" s="336" t="s">
        <v>270</v>
      </c>
      <c r="FX15" s="336" t="s">
        <v>473</v>
      </c>
      <c r="FY15" s="336" t="s">
        <v>474</v>
      </c>
      <c r="FZ15" s="23" t="s">
        <v>475</v>
      </c>
      <c r="GA15" s="340" t="s">
        <v>266</v>
      </c>
      <c r="GB15" s="336" t="s">
        <v>267</v>
      </c>
      <c r="GC15" s="336" t="s">
        <v>268</v>
      </c>
      <c r="GD15" s="336" t="s">
        <v>269</v>
      </c>
      <c r="GE15" s="336" t="s">
        <v>270</v>
      </c>
      <c r="GF15" s="336" t="s">
        <v>473</v>
      </c>
      <c r="GG15" s="336" t="s">
        <v>474</v>
      </c>
      <c r="GH15" s="23" t="s">
        <v>475</v>
      </c>
      <c r="GI15" s="340" t="s">
        <v>266</v>
      </c>
      <c r="GJ15" s="336" t="s">
        <v>267</v>
      </c>
      <c r="GK15" s="336" t="s">
        <v>268</v>
      </c>
      <c r="GL15" s="336" t="s">
        <v>269</v>
      </c>
      <c r="GM15" s="336" t="s">
        <v>270</v>
      </c>
      <c r="GN15" s="336" t="s">
        <v>473</v>
      </c>
      <c r="GO15" s="336" t="s">
        <v>474</v>
      </c>
      <c r="GP15" s="23" t="s">
        <v>475</v>
      </c>
      <c r="GQ15" s="340" t="s">
        <v>476</v>
      </c>
      <c r="GR15" s="336" t="s">
        <v>477</v>
      </c>
      <c r="GS15" s="336" t="s">
        <v>478</v>
      </c>
      <c r="GT15" s="336" t="s">
        <v>479</v>
      </c>
      <c r="GU15" s="336"/>
      <c r="GV15" s="23"/>
    </row>
    <row r="16" spans="1:204" s="342" customFormat="1" ht="14.65" thickBot="1">
      <c r="A16" s="304"/>
      <c r="B16" s="341" t="s">
        <v>480</v>
      </c>
      <c r="C16" s="234" t="s">
        <v>243</v>
      </c>
      <c r="D16" s="327"/>
      <c r="E16" s="237"/>
      <c r="F16" s="327"/>
      <c r="G16" s="327"/>
      <c r="H16" s="327"/>
      <c r="I16" s="327"/>
      <c r="J16" s="327"/>
      <c r="K16" s="327"/>
      <c r="L16" s="237"/>
      <c r="N16" s="341" t="s">
        <v>481</v>
      </c>
      <c r="O16" s="343" t="s">
        <v>481</v>
      </c>
      <c r="P16" s="341" t="s">
        <v>480</v>
      </c>
      <c r="Q16" s="344" t="s">
        <v>34</v>
      </c>
      <c r="R16" s="345" t="s">
        <v>35</v>
      </c>
      <c r="S16" s="326" t="s">
        <v>38</v>
      </c>
      <c r="T16" s="327" t="s">
        <v>163</v>
      </c>
      <c r="U16" s="327" t="s">
        <v>51</v>
      </c>
      <c r="V16" s="327" t="s">
        <v>366</v>
      </c>
      <c r="W16" s="327" t="s">
        <v>338</v>
      </c>
      <c r="X16" s="327" t="s">
        <v>105</v>
      </c>
      <c r="Y16" s="327" t="s">
        <v>105</v>
      </c>
      <c r="Z16" s="327" t="s">
        <v>105</v>
      </c>
      <c r="AA16" s="327" t="s">
        <v>111</v>
      </c>
      <c r="AB16" s="327" t="s">
        <v>482</v>
      </c>
      <c r="AC16" s="327" t="s">
        <v>482</v>
      </c>
      <c r="AD16" s="235" t="s">
        <v>483</v>
      </c>
      <c r="AE16" s="326" t="s">
        <v>105</v>
      </c>
      <c r="AF16" s="327" t="s">
        <v>111</v>
      </c>
      <c r="AG16" s="327" t="s">
        <v>366</v>
      </c>
      <c r="AH16" s="327" t="s">
        <v>163</v>
      </c>
      <c r="AI16" s="237" t="s">
        <v>163</v>
      </c>
      <c r="AJ16" s="326" t="s">
        <v>366</v>
      </c>
      <c r="AK16" s="327" t="s">
        <v>484</v>
      </c>
      <c r="AL16" s="327" t="s">
        <v>366</v>
      </c>
      <c r="AM16" s="327" t="s">
        <v>484</v>
      </c>
      <c r="AN16" s="327" t="s">
        <v>366</v>
      </c>
      <c r="AO16" s="327" t="s">
        <v>484</v>
      </c>
      <c r="AP16" s="327" t="s">
        <v>366</v>
      </c>
      <c r="AQ16" s="327" t="s">
        <v>484</v>
      </c>
      <c r="AR16" s="327" t="s">
        <v>366</v>
      </c>
      <c r="AS16" s="235" t="s">
        <v>484</v>
      </c>
      <c r="AT16" s="326" t="s">
        <v>105</v>
      </c>
      <c r="AU16" s="327" t="s">
        <v>111</v>
      </c>
      <c r="AV16" s="235" t="s">
        <v>163</v>
      </c>
      <c r="AW16" s="326" t="s">
        <v>105</v>
      </c>
      <c r="AX16" s="327" t="s">
        <v>111</v>
      </c>
      <c r="AY16" s="235" t="s">
        <v>163</v>
      </c>
      <c r="AZ16" s="326" t="s">
        <v>163</v>
      </c>
      <c r="BA16" s="346" t="s">
        <v>485</v>
      </c>
      <c r="BB16" s="327" t="s">
        <v>105</v>
      </c>
      <c r="BC16" s="327" t="s">
        <v>163</v>
      </c>
      <c r="BD16" s="327" t="s">
        <v>105</v>
      </c>
      <c r="BE16" s="237"/>
      <c r="BF16" s="326" t="s">
        <v>486</v>
      </c>
      <c r="BG16" s="327" t="s">
        <v>487</v>
      </c>
      <c r="BH16" s="327" t="s">
        <v>163</v>
      </c>
      <c r="BI16" s="327" t="s">
        <v>163</v>
      </c>
      <c r="BJ16" s="327" t="s">
        <v>488</v>
      </c>
      <c r="BK16" s="237"/>
      <c r="BL16" s="326" t="s">
        <v>486</v>
      </c>
      <c r="BM16" s="327" t="s">
        <v>487</v>
      </c>
      <c r="BN16" s="327" t="s">
        <v>163</v>
      </c>
      <c r="BO16" s="327" t="s">
        <v>163</v>
      </c>
      <c r="BP16" s="327" t="s">
        <v>488</v>
      </c>
      <c r="BQ16" s="237"/>
      <c r="BR16" s="326" t="s">
        <v>163</v>
      </c>
      <c r="BS16" s="327" t="s">
        <v>105</v>
      </c>
      <c r="BT16" s="327" t="s">
        <v>111</v>
      </c>
      <c r="BU16" s="237" t="s">
        <v>163</v>
      </c>
      <c r="BV16" s="326" t="s">
        <v>163</v>
      </c>
      <c r="BW16" s="327" t="s">
        <v>486</v>
      </c>
      <c r="BX16" s="327" t="s">
        <v>487</v>
      </c>
      <c r="BY16" s="327" t="s">
        <v>163</v>
      </c>
      <c r="BZ16" s="327" t="s">
        <v>163</v>
      </c>
      <c r="CA16" s="327" t="s">
        <v>486</v>
      </c>
      <c r="CB16" s="237"/>
      <c r="CC16" s="326" t="s">
        <v>163</v>
      </c>
      <c r="CD16" s="327" t="s">
        <v>486</v>
      </c>
      <c r="CE16" s="327" t="s">
        <v>487</v>
      </c>
      <c r="CF16" s="327" t="s">
        <v>163</v>
      </c>
      <c r="CG16" s="327" t="s">
        <v>163</v>
      </c>
      <c r="CH16" s="327" t="s">
        <v>486</v>
      </c>
      <c r="CI16" s="237"/>
      <c r="CJ16" s="326" t="s">
        <v>489</v>
      </c>
      <c r="CK16" s="327" t="s">
        <v>105</v>
      </c>
      <c r="CL16" s="327" t="s">
        <v>366</v>
      </c>
      <c r="CM16" s="237" t="s">
        <v>484</v>
      </c>
      <c r="CN16" s="326" t="s">
        <v>489</v>
      </c>
      <c r="CO16" s="237" t="s">
        <v>489</v>
      </c>
      <c r="CP16" s="234" t="s">
        <v>163</v>
      </c>
      <c r="CQ16" s="233"/>
      <c r="CR16" s="235"/>
      <c r="CS16" s="235"/>
      <c r="CT16" s="235"/>
      <c r="CU16" s="235"/>
      <c r="CV16" s="235" t="s">
        <v>105</v>
      </c>
      <c r="CW16" s="235" t="s">
        <v>105</v>
      </c>
      <c r="CX16" s="237"/>
      <c r="CY16" s="233"/>
      <c r="CZ16" s="235"/>
      <c r="DA16" s="235"/>
      <c r="DB16" s="235"/>
      <c r="DC16" s="235"/>
      <c r="DD16" s="235" t="s">
        <v>105</v>
      </c>
      <c r="DE16" s="235" t="s">
        <v>105</v>
      </c>
      <c r="DF16" s="237"/>
      <c r="DG16" s="233"/>
      <c r="DH16" s="235"/>
      <c r="DI16" s="235"/>
      <c r="DJ16" s="235"/>
      <c r="DK16" s="235"/>
      <c r="DL16" s="235" t="s">
        <v>105</v>
      </c>
      <c r="DM16" s="235" t="s">
        <v>105</v>
      </c>
      <c r="DN16" s="237"/>
      <c r="DO16" s="233"/>
      <c r="DP16" s="235"/>
      <c r="DQ16" s="235"/>
      <c r="DR16" s="235"/>
      <c r="DS16" s="235"/>
      <c r="DT16" s="235" t="s">
        <v>105</v>
      </c>
      <c r="DU16" s="235" t="s">
        <v>105</v>
      </c>
      <c r="DV16" s="237"/>
      <c r="DW16" s="233"/>
      <c r="DX16" s="235"/>
      <c r="DY16" s="235"/>
      <c r="DZ16" s="235"/>
      <c r="EA16" s="235"/>
      <c r="EB16" s="235" t="s">
        <v>105</v>
      </c>
      <c r="EC16" s="235" t="s">
        <v>105</v>
      </c>
      <c r="ED16" s="237"/>
      <c r="EE16" s="233"/>
      <c r="EF16" s="235"/>
      <c r="EG16" s="235"/>
      <c r="EH16" s="235"/>
      <c r="EI16" s="235"/>
      <c r="EJ16" s="235" t="s">
        <v>105</v>
      </c>
      <c r="EK16" s="235" t="s">
        <v>105</v>
      </c>
      <c r="EL16" s="237"/>
      <c r="EM16" s="233"/>
      <c r="EN16" s="235"/>
      <c r="EO16" s="235"/>
      <c r="EP16" s="235"/>
      <c r="EQ16" s="235"/>
      <c r="ER16" s="235" t="s">
        <v>105</v>
      </c>
      <c r="ES16" s="235" t="s">
        <v>105</v>
      </c>
      <c r="ET16" s="237"/>
      <c r="EU16" s="233"/>
      <c r="EV16" s="235"/>
      <c r="EW16" s="235"/>
      <c r="EX16" s="235"/>
      <c r="EY16" s="235"/>
      <c r="EZ16" s="235" t="s">
        <v>105</v>
      </c>
      <c r="FA16" s="235" t="s">
        <v>105</v>
      </c>
      <c r="FB16" s="237"/>
      <c r="FC16" s="233"/>
      <c r="FD16" s="235"/>
      <c r="FE16" s="235"/>
      <c r="FF16" s="235"/>
      <c r="FG16" s="235"/>
      <c r="FH16" s="235" t="s">
        <v>105</v>
      </c>
      <c r="FI16" s="235" t="s">
        <v>105</v>
      </c>
      <c r="FJ16" s="237"/>
      <c r="FK16" s="233"/>
      <c r="FL16" s="235"/>
      <c r="FM16" s="235"/>
      <c r="FN16" s="235"/>
      <c r="FO16" s="235"/>
      <c r="FP16" s="235" t="s">
        <v>105</v>
      </c>
      <c r="FQ16" s="235" t="s">
        <v>105</v>
      </c>
      <c r="FR16" s="237"/>
      <c r="FS16" s="233"/>
      <c r="FT16" s="235"/>
      <c r="FU16" s="235"/>
      <c r="FV16" s="235"/>
      <c r="FW16" s="235"/>
      <c r="FX16" s="235" t="s">
        <v>105</v>
      </c>
      <c r="FY16" s="235" t="s">
        <v>105</v>
      </c>
      <c r="FZ16" s="237"/>
      <c r="GA16" s="233"/>
      <c r="GB16" s="235"/>
      <c r="GC16" s="235"/>
      <c r="GD16" s="235"/>
      <c r="GE16" s="235"/>
      <c r="GF16" s="235" t="s">
        <v>105</v>
      </c>
      <c r="GG16" s="235" t="s">
        <v>105</v>
      </c>
      <c r="GH16" s="237"/>
      <c r="GI16" s="233"/>
      <c r="GJ16" s="235"/>
      <c r="GK16" s="235"/>
      <c r="GL16" s="235"/>
      <c r="GM16" s="235"/>
      <c r="GN16" s="235" t="s">
        <v>105</v>
      </c>
      <c r="GO16" s="235" t="s">
        <v>105</v>
      </c>
      <c r="GP16" s="237"/>
      <c r="GQ16" s="233"/>
      <c r="GR16" s="235"/>
      <c r="GS16" s="235"/>
      <c r="GT16" s="235"/>
      <c r="GU16" s="235"/>
      <c r="GV16" s="237"/>
    </row>
    <row r="17" spans="1:204" ht="15.75">
      <c r="A17" s="304">
        <v>1</v>
      </c>
      <c r="B17" s="347" t="str">
        <f t="array" ref="B17:B46">IF(Comp_Name&lt;&gt;"",Comp_Name,"")</f>
        <v>N2</v>
      </c>
      <c r="C17" s="351">
        <v>4.9154902351789868E-2</v>
      </c>
      <c r="D17" s="352">
        <v>0</v>
      </c>
      <c r="E17" s="353">
        <v>0.35250768460714899</v>
      </c>
      <c r="F17" s="354">
        <v>0</v>
      </c>
      <c r="G17" s="355"/>
      <c r="H17" s="355"/>
      <c r="I17" s="355"/>
      <c r="J17" s="355"/>
      <c r="K17" s="355"/>
      <c r="L17" s="356"/>
      <c r="M17" s="304">
        <v>1</v>
      </c>
      <c r="N17" s="357">
        <v>2</v>
      </c>
      <c r="O17" s="358">
        <v>905</v>
      </c>
      <c r="P17" s="347" t="s">
        <v>490</v>
      </c>
      <c r="Q17" s="359" t="s">
        <v>491</v>
      </c>
      <c r="R17" s="360" t="s">
        <v>492</v>
      </c>
      <c r="S17" s="361">
        <v>28.013999999999999</v>
      </c>
      <c r="T17" s="362">
        <v>0</v>
      </c>
      <c r="U17" s="362">
        <v>0.8079648595564759</v>
      </c>
      <c r="V17" s="362">
        <v>34.6723</v>
      </c>
      <c r="W17" s="362">
        <v>9.0818999999999992</v>
      </c>
      <c r="X17" s="362">
        <v>63.149000000000001</v>
      </c>
      <c r="Y17" s="362">
        <v>77.343999999999994</v>
      </c>
      <c r="Z17" s="362">
        <v>63.149000000000001</v>
      </c>
      <c r="AA17" s="363">
        <v>0.12520020975000001</v>
      </c>
      <c r="AB17" s="362">
        <v>0</v>
      </c>
      <c r="AC17" s="362">
        <v>0</v>
      </c>
      <c r="AD17" s="364">
        <v>191.5</v>
      </c>
      <c r="AE17" s="365">
        <v>126.2</v>
      </c>
      <c r="AF17" s="366">
        <v>33.999603749999999</v>
      </c>
      <c r="AG17" s="366">
        <v>89.2</v>
      </c>
      <c r="AH17" s="366">
        <v>0.28899999999999998</v>
      </c>
      <c r="AI17" s="367">
        <v>3.7699999999999997E-2</v>
      </c>
      <c r="AJ17" s="368">
        <v>0.73028642099599206</v>
      </c>
      <c r="AK17" s="369">
        <v>0</v>
      </c>
      <c r="AL17" s="369">
        <v>0</v>
      </c>
      <c r="AM17" s="369">
        <v>0</v>
      </c>
      <c r="AN17" s="369">
        <v>-3.6509999999999998</v>
      </c>
      <c r="AO17" s="369">
        <v>0</v>
      </c>
      <c r="AP17" s="369">
        <v>-3.6509999999999998</v>
      </c>
      <c r="AQ17" s="369">
        <v>0</v>
      </c>
      <c r="AR17" s="369">
        <v>0</v>
      </c>
      <c r="AS17" s="370">
        <v>0</v>
      </c>
      <c r="AT17" s="371">
        <v>0</v>
      </c>
      <c r="AU17" s="372">
        <v>0</v>
      </c>
      <c r="AV17" s="373">
        <v>0</v>
      </c>
      <c r="AW17" s="371">
        <v>0</v>
      </c>
      <c r="AX17" s="372">
        <v>0</v>
      </c>
      <c r="AY17" s="373">
        <v>0</v>
      </c>
      <c r="AZ17" s="374">
        <v>1.2063999999999999</v>
      </c>
      <c r="BA17" s="375">
        <v>3.3130000000000002</v>
      </c>
      <c r="BB17" s="376">
        <v>90.96</v>
      </c>
      <c r="BC17" s="376">
        <v>0</v>
      </c>
      <c r="BD17" s="376">
        <v>0</v>
      </c>
      <c r="BE17" s="377">
        <v>0</v>
      </c>
      <c r="BF17" s="378">
        <v>0</v>
      </c>
      <c r="BG17" s="379">
        <v>0</v>
      </c>
      <c r="BH17" s="379">
        <v>0</v>
      </c>
      <c r="BI17" s="379">
        <v>0</v>
      </c>
      <c r="BJ17" s="379">
        <v>0</v>
      </c>
      <c r="BK17" s="380">
        <v>0</v>
      </c>
      <c r="BL17" s="378">
        <v>0</v>
      </c>
      <c r="BM17" s="379">
        <v>0</v>
      </c>
      <c r="BN17" s="379">
        <v>0</v>
      </c>
      <c r="BO17" s="379">
        <v>0</v>
      </c>
      <c r="BP17" s="379">
        <v>0</v>
      </c>
      <c r="BQ17" s="381">
        <v>0</v>
      </c>
      <c r="BR17" s="382">
        <v>0</v>
      </c>
      <c r="BS17" s="383">
        <v>124.87</v>
      </c>
      <c r="BT17" s="383">
        <v>34.293999999999997</v>
      </c>
      <c r="BU17" s="384">
        <v>1.2709999999999999</v>
      </c>
      <c r="BV17" s="382">
        <v>0</v>
      </c>
      <c r="BW17" s="383">
        <v>0</v>
      </c>
      <c r="BX17" s="383">
        <v>0</v>
      </c>
      <c r="BY17" s="383">
        <v>0</v>
      </c>
      <c r="BZ17" s="383">
        <v>0</v>
      </c>
      <c r="CA17" s="383">
        <v>0</v>
      </c>
      <c r="CB17" s="384">
        <v>0</v>
      </c>
      <c r="CC17" s="382">
        <v>0</v>
      </c>
      <c r="CD17" s="383">
        <v>0</v>
      </c>
      <c r="CE17" s="383">
        <v>0</v>
      </c>
      <c r="CF17" s="383">
        <v>0</v>
      </c>
      <c r="CG17" s="383">
        <v>0</v>
      </c>
      <c r="CH17" s="383">
        <v>0</v>
      </c>
      <c r="CI17" s="384">
        <v>0</v>
      </c>
      <c r="CJ17" s="361">
        <v>174.2</v>
      </c>
      <c r="CK17" s="362">
        <v>0</v>
      </c>
      <c r="CL17" s="362">
        <v>0</v>
      </c>
      <c r="CM17" s="385">
        <v>0</v>
      </c>
      <c r="CN17" s="361">
        <v>57.793500000000002</v>
      </c>
      <c r="CO17" s="385">
        <v>2.2827700000000002</v>
      </c>
      <c r="CP17" s="386">
        <v>0</v>
      </c>
      <c r="CQ17" s="387">
        <v>37.869999999999997</v>
      </c>
      <c r="CR17" s="388">
        <v>-6.0271999999999999E-2</v>
      </c>
      <c r="CS17" s="388">
        <v>0</v>
      </c>
      <c r="CT17" s="388">
        <v>0</v>
      </c>
      <c r="CU17" s="388">
        <v>0</v>
      </c>
      <c r="CV17" s="388">
        <v>20.65</v>
      </c>
      <c r="CW17" s="388">
        <v>63.15</v>
      </c>
      <c r="CX17" s="389">
        <v>100</v>
      </c>
      <c r="CY17" s="387">
        <v>3.2090999999999998</v>
      </c>
      <c r="CZ17" s="388">
        <v>0.28610000000000002</v>
      </c>
      <c r="DA17" s="388">
        <v>126.2</v>
      </c>
      <c r="DB17" s="388">
        <v>0.29659999999999997</v>
      </c>
      <c r="DC17" s="388">
        <v>0</v>
      </c>
      <c r="DD17" s="388">
        <v>63.15</v>
      </c>
      <c r="DE17" s="388">
        <v>126.2</v>
      </c>
      <c r="DF17" s="389">
        <v>105</v>
      </c>
      <c r="DG17" s="387">
        <v>58.281999999999996</v>
      </c>
      <c r="DH17" s="388">
        <v>-1084.0999999999999</v>
      </c>
      <c r="DI17" s="388">
        <v>-8.3143999999999991</v>
      </c>
      <c r="DJ17" s="388">
        <v>4.4127E-2</v>
      </c>
      <c r="DK17" s="388">
        <v>1</v>
      </c>
      <c r="DL17" s="388">
        <v>63.15</v>
      </c>
      <c r="DM17" s="388">
        <v>126.2</v>
      </c>
      <c r="DN17" s="389">
        <v>101</v>
      </c>
      <c r="DO17" s="387">
        <v>7490500</v>
      </c>
      <c r="DP17" s="388">
        <v>0.40405999999999997</v>
      </c>
      <c r="DQ17" s="388">
        <v>-0.317</v>
      </c>
      <c r="DR17" s="388">
        <v>0.27343000000000001</v>
      </c>
      <c r="DS17" s="388">
        <v>0</v>
      </c>
      <c r="DT17" s="388">
        <v>63.15</v>
      </c>
      <c r="DU17" s="388">
        <v>126.2</v>
      </c>
      <c r="DV17" s="389">
        <v>106</v>
      </c>
      <c r="DW17" s="387">
        <v>27420</v>
      </c>
      <c r="DX17" s="388">
        <v>170.1</v>
      </c>
      <c r="DY17" s="388">
        <v>2.2124999999999999</v>
      </c>
      <c r="DZ17" s="388">
        <v>0</v>
      </c>
      <c r="EA17" s="388">
        <v>0</v>
      </c>
      <c r="EB17" s="388">
        <v>37</v>
      </c>
      <c r="EC17" s="388">
        <v>63</v>
      </c>
      <c r="ED17" s="389">
        <v>100</v>
      </c>
      <c r="EE17" s="387">
        <v>281970</v>
      </c>
      <c r="EF17" s="388">
        <v>-12281</v>
      </c>
      <c r="EG17" s="388">
        <v>248</v>
      </c>
      <c r="EH17" s="388">
        <v>-2.2181999999999999</v>
      </c>
      <c r="EI17" s="388">
        <v>7.4901999999999998E-3</v>
      </c>
      <c r="EJ17" s="388">
        <v>63.15</v>
      </c>
      <c r="EK17" s="388">
        <v>112</v>
      </c>
      <c r="EL17" s="389">
        <v>100</v>
      </c>
      <c r="EM17" s="387">
        <v>29105</v>
      </c>
      <c r="EN17" s="388">
        <v>8614.9</v>
      </c>
      <c r="EO17" s="388">
        <v>1701.6</v>
      </c>
      <c r="EP17" s="388">
        <v>103.47</v>
      </c>
      <c r="EQ17" s="388">
        <v>909.79</v>
      </c>
      <c r="ER17" s="388">
        <v>50</v>
      </c>
      <c r="ES17" s="388">
        <v>1500</v>
      </c>
      <c r="ET17" s="389">
        <v>107</v>
      </c>
      <c r="EU17" s="387">
        <v>4.1619999999999997E-2</v>
      </c>
      <c r="EV17" s="388">
        <v>-12.585000000000001</v>
      </c>
      <c r="EW17" s="388">
        <v>-118000</v>
      </c>
      <c r="EX17" s="390">
        <v>2470000000000000</v>
      </c>
      <c r="EY17" s="390">
        <v>-2.039E+17</v>
      </c>
      <c r="EZ17" s="388">
        <v>100</v>
      </c>
      <c r="FA17" s="388">
        <v>1400</v>
      </c>
      <c r="FB17" s="389">
        <v>104</v>
      </c>
      <c r="FC17" s="387">
        <v>16.004000000000001</v>
      </c>
      <c r="FD17" s="388">
        <v>-181.61</v>
      </c>
      <c r="FE17" s="388">
        <v>-5.1551</v>
      </c>
      <c r="FF17" s="388">
        <v>0</v>
      </c>
      <c r="FG17" s="388">
        <v>0</v>
      </c>
      <c r="FH17" s="388">
        <v>63.15</v>
      </c>
      <c r="FI17" s="388">
        <v>124</v>
      </c>
      <c r="FJ17" s="389">
        <v>101</v>
      </c>
      <c r="FK17" s="391">
        <v>6.5591999999999996E-7</v>
      </c>
      <c r="FL17" s="388">
        <v>0.60809999999999997</v>
      </c>
      <c r="FM17" s="388">
        <v>54.713999999999999</v>
      </c>
      <c r="FN17" s="388">
        <v>0</v>
      </c>
      <c r="FO17" s="388">
        <v>0</v>
      </c>
      <c r="FP17" s="388">
        <v>63.15</v>
      </c>
      <c r="FQ17" s="388">
        <v>1970</v>
      </c>
      <c r="FR17" s="389">
        <v>102</v>
      </c>
      <c r="FS17" s="387">
        <v>0.26540000000000002</v>
      </c>
      <c r="FT17" s="388">
        <v>-1.6770000000000001E-3</v>
      </c>
      <c r="FU17" s="388">
        <v>0</v>
      </c>
      <c r="FV17" s="388">
        <v>0</v>
      </c>
      <c r="FW17" s="388">
        <v>0</v>
      </c>
      <c r="FX17" s="388">
        <v>63.15</v>
      </c>
      <c r="FY17" s="388">
        <v>124</v>
      </c>
      <c r="FZ17" s="389">
        <v>100</v>
      </c>
      <c r="GA17" s="387">
        <v>3.3143000000000002E-4</v>
      </c>
      <c r="GB17" s="388">
        <v>0.7722</v>
      </c>
      <c r="GC17" s="388">
        <v>16.323</v>
      </c>
      <c r="GD17" s="388">
        <v>373.72</v>
      </c>
      <c r="GE17" s="388">
        <v>0</v>
      </c>
      <c r="GF17" s="388">
        <v>63.15</v>
      </c>
      <c r="GG17" s="388">
        <v>2000</v>
      </c>
      <c r="GH17" s="389">
        <v>102</v>
      </c>
      <c r="GI17" s="387">
        <v>2.9010000000000001E-2</v>
      </c>
      <c r="GJ17" s="388">
        <v>1.2484999999999999</v>
      </c>
      <c r="GK17" s="388">
        <v>0</v>
      </c>
      <c r="GL17" s="388">
        <v>0</v>
      </c>
      <c r="GM17" s="388">
        <v>0</v>
      </c>
      <c r="GN17" s="388">
        <v>63.15</v>
      </c>
      <c r="GO17" s="388">
        <v>126.2</v>
      </c>
      <c r="GP17" s="389">
        <v>106</v>
      </c>
      <c r="GQ17" s="387" t="e">
        <v>#N/A</v>
      </c>
      <c r="GR17" s="388" t="e">
        <v>#N/A</v>
      </c>
      <c r="GS17" s="388" t="e">
        <v>#N/A</v>
      </c>
      <c r="GT17" s="388" t="e">
        <v>#N/A</v>
      </c>
      <c r="GU17" s="388" t="e">
        <v>#N/A</v>
      </c>
      <c r="GV17" s="389" t="e">
        <v>#N/A</v>
      </c>
    </row>
    <row r="18" spans="1:204" ht="15.75">
      <c r="A18" s="304">
        <v>2</v>
      </c>
      <c r="B18" s="348" t="str">
        <v>CO2</v>
      </c>
      <c r="C18" s="392">
        <v>2.2279842425740451E-2</v>
      </c>
      <c r="D18" s="393">
        <v>0</v>
      </c>
      <c r="E18" s="394">
        <v>0.16025884911410271</v>
      </c>
      <c r="F18" s="395">
        <v>0</v>
      </c>
      <c r="G18" s="396"/>
      <c r="H18" s="396"/>
      <c r="I18" s="396"/>
      <c r="J18" s="396"/>
      <c r="K18" s="396"/>
      <c r="L18" s="397"/>
      <c r="M18" s="304">
        <v>2</v>
      </c>
      <c r="N18" s="398">
        <v>5</v>
      </c>
      <c r="O18" s="399">
        <v>909</v>
      </c>
      <c r="P18" s="348" t="s">
        <v>493</v>
      </c>
      <c r="Q18" s="400" t="s">
        <v>494</v>
      </c>
      <c r="R18" s="401" t="s">
        <v>492</v>
      </c>
      <c r="S18" s="402">
        <v>44.009500000000003</v>
      </c>
      <c r="T18" s="403">
        <v>0</v>
      </c>
      <c r="U18" s="403">
        <v>1.1806896958770632</v>
      </c>
      <c r="V18" s="403">
        <v>37.2744</v>
      </c>
      <c r="W18" s="403">
        <v>14.563800000000001</v>
      </c>
      <c r="X18" s="403">
        <v>216.58</v>
      </c>
      <c r="Y18" s="403">
        <v>0</v>
      </c>
      <c r="Z18" s="403">
        <v>216.58</v>
      </c>
      <c r="AA18" s="404">
        <v>5.1867152925000006</v>
      </c>
      <c r="AB18" s="403">
        <v>-393510</v>
      </c>
      <c r="AC18" s="403">
        <v>-394370</v>
      </c>
      <c r="AD18" s="405">
        <v>213.68</v>
      </c>
      <c r="AE18" s="406">
        <v>304.20999999999998</v>
      </c>
      <c r="AF18" s="407">
        <v>73.830461249999999</v>
      </c>
      <c r="AG18" s="407">
        <v>94.118499999999997</v>
      </c>
      <c r="AH18" s="407">
        <v>0.27400000000000002</v>
      </c>
      <c r="AI18" s="408">
        <v>0.22359999999999999</v>
      </c>
      <c r="AJ18" s="409">
        <v>3.6315038857319801</v>
      </c>
      <c r="AK18" s="410">
        <v>0</v>
      </c>
      <c r="AL18" s="410">
        <v>0</v>
      </c>
      <c r="AM18" s="410">
        <v>0</v>
      </c>
      <c r="AN18" s="410">
        <v>-1.008</v>
      </c>
      <c r="AO18" s="410">
        <v>0</v>
      </c>
      <c r="AP18" s="410">
        <v>-1.008</v>
      </c>
      <c r="AQ18" s="410">
        <v>0</v>
      </c>
      <c r="AR18" s="410">
        <v>0</v>
      </c>
      <c r="AS18" s="411">
        <v>0</v>
      </c>
      <c r="AT18" s="412">
        <v>0</v>
      </c>
      <c r="AU18" s="413">
        <v>0</v>
      </c>
      <c r="AV18" s="414">
        <v>0</v>
      </c>
      <c r="AW18" s="412">
        <v>0</v>
      </c>
      <c r="AX18" s="413">
        <v>0</v>
      </c>
      <c r="AY18" s="414">
        <v>0</v>
      </c>
      <c r="AZ18" s="415">
        <v>2.0729000000000002</v>
      </c>
      <c r="BA18" s="416">
        <v>2.7852000000000001</v>
      </c>
      <c r="BB18" s="417">
        <v>169.21</v>
      </c>
      <c r="BC18" s="418">
        <v>0</v>
      </c>
      <c r="BD18" s="418">
        <v>0</v>
      </c>
      <c r="BE18" s="419">
        <v>0</v>
      </c>
      <c r="BF18" s="420">
        <v>0</v>
      </c>
      <c r="BG18" s="421">
        <v>0</v>
      </c>
      <c r="BH18" s="421">
        <v>0</v>
      </c>
      <c r="BI18" s="421">
        <v>0</v>
      </c>
      <c r="BJ18" s="421">
        <v>0</v>
      </c>
      <c r="BK18" s="422">
        <v>0</v>
      </c>
      <c r="BL18" s="420">
        <v>0</v>
      </c>
      <c r="BM18" s="421">
        <v>0</v>
      </c>
      <c r="BN18" s="421">
        <v>0</v>
      </c>
      <c r="BO18" s="421">
        <v>0</v>
      </c>
      <c r="BP18" s="421">
        <v>0</v>
      </c>
      <c r="BQ18" s="423">
        <v>0</v>
      </c>
      <c r="BR18" s="424">
        <v>0</v>
      </c>
      <c r="BS18" s="425">
        <v>304.45999999999998</v>
      </c>
      <c r="BT18" s="425">
        <v>77.423000000000002</v>
      </c>
      <c r="BU18" s="426">
        <v>2.7</v>
      </c>
      <c r="BV18" s="424">
        <v>0</v>
      </c>
      <c r="BW18" s="425">
        <v>0</v>
      </c>
      <c r="BX18" s="425">
        <v>0</v>
      </c>
      <c r="BY18" s="425">
        <v>0</v>
      </c>
      <c r="BZ18" s="425">
        <v>0</v>
      </c>
      <c r="CA18" s="425">
        <v>0</v>
      </c>
      <c r="CB18" s="426">
        <v>0</v>
      </c>
      <c r="CC18" s="424">
        <v>0</v>
      </c>
      <c r="CD18" s="425">
        <v>0</v>
      </c>
      <c r="CE18" s="425">
        <v>0</v>
      </c>
      <c r="CF18" s="425">
        <v>0</v>
      </c>
      <c r="CG18" s="425">
        <v>0</v>
      </c>
      <c r="CH18" s="425">
        <v>0</v>
      </c>
      <c r="CI18" s="426">
        <v>0</v>
      </c>
      <c r="CJ18" s="427">
        <v>376.9</v>
      </c>
      <c r="CK18" s="428">
        <v>0</v>
      </c>
      <c r="CL18" s="428">
        <v>0</v>
      </c>
      <c r="CM18" s="429">
        <v>0</v>
      </c>
      <c r="CN18" s="427">
        <v>119.251</v>
      </c>
      <c r="CO18" s="429">
        <v>-16.132200000000001</v>
      </c>
      <c r="CP18" s="430">
        <v>0</v>
      </c>
      <c r="CQ18" s="431">
        <v>32.939</v>
      </c>
      <c r="CR18" s="432">
        <v>6.8419999999999995E-2</v>
      </c>
      <c r="CS18" s="432">
        <v>-2.8469999999999998E-4</v>
      </c>
      <c r="CT18" s="432">
        <v>0</v>
      </c>
      <c r="CU18" s="432">
        <v>0</v>
      </c>
      <c r="CV18" s="432">
        <v>143.1</v>
      </c>
      <c r="CW18" s="432">
        <v>216.58</v>
      </c>
      <c r="CX18" s="433">
        <v>100</v>
      </c>
      <c r="CY18" s="431">
        <v>2.7679999999999998</v>
      </c>
      <c r="CZ18" s="432">
        <v>0.26212000000000002</v>
      </c>
      <c r="DA18" s="432">
        <v>304.20999999999998</v>
      </c>
      <c r="DB18" s="432">
        <v>0.2908</v>
      </c>
      <c r="DC18" s="432">
        <v>0</v>
      </c>
      <c r="DD18" s="432">
        <v>216.58</v>
      </c>
      <c r="DE18" s="432">
        <v>304.20999999999998</v>
      </c>
      <c r="DF18" s="433">
        <v>105</v>
      </c>
      <c r="DG18" s="431">
        <v>140.54</v>
      </c>
      <c r="DH18" s="432">
        <v>-4735</v>
      </c>
      <c r="DI18" s="432">
        <v>-21.268000000000001</v>
      </c>
      <c r="DJ18" s="432">
        <v>4.0909000000000001E-2</v>
      </c>
      <c r="DK18" s="432">
        <v>1</v>
      </c>
      <c r="DL18" s="432">
        <v>216.58</v>
      </c>
      <c r="DM18" s="432">
        <v>304.20999999999998</v>
      </c>
      <c r="DN18" s="433">
        <v>101</v>
      </c>
      <c r="DO18" s="431">
        <v>21730000</v>
      </c>
      <c r="DP18" s="432">
        <v>0.38200000000000001</v>
      </c>
      <c r="DQ18" s="432">
        <v>-0.43390000000000001</v>
      </c>
      <c r="DR18" s="432">
        <v>0.42213000000000001</v>
      </c>
      <c r="DS18" s="432">
        <v>0</v>
      </c>
      <c r="DT18" s="432">
        <v>216.58</v>
      </c>
      <c r="DU18" s="432">
        <v>304.20999999999998</v>
      </c>
      <c r="DV18" s="433">
        <v>106</v>
      </c>
      <c r="DW18" s="431">
        <v>-18282</v>
      </c>
      <c r="DX18" s="432">
        <v>1360.3</v>
      </c>
      <c r="DY18" s="432">
        <v>-12.151999999999999</v>
      </c>
      <c r="DZ18" s="432">
        <v>5.1580000000000001E-2</v>
      </c>
      <c r="EA18" s="434">
        <v>-7.6990000000000007E-5</v>
      </c>
      <c r="EB18" s="432">
        <v>25</v>
      </c>
      <c r="EC18" s="432">
        <v>216.58</v>
      </c>
      <c r="ED18" s="433">
        <v>100</v>
      </c>
      <c r="EE18" s="431">
        <v>-8304300</v>
      </c>
      <c r="EF18" s="432">
        <v>104370</v>
      </c>
      <c r="EG18" s="432">
        <v>-433.33</v>
      </c>
      <c r="EH18" s="432">
        <v>0.60052000000000005</v>
      </c>
      <c r="EI18" s="432">
        <v>0</v>
      </c>
      <c r="EJ18" s="432">
        <v>220</v>
      </c>
      <c r="EK18" s="432">
        <v>290</v>
      </c>
      <c r="EL18" s="433">
        <v>100</v>
      </c>
      <c r="EM18" s="431">
        <v>29370</v>
      </c>
      <c r="EN18" s="432">
        <v>34540</v>
      </c>
      <c r="EO18" s="432">
        <v>1428</v>
      </c>
      <c r="EP18" s="432">
        <v>26400</v>
      </c>
      <c r="EQ18" s="432">
        <v>588</v>
      </c>
      <c r="ER18" s="432">
        <v>50</v>
      </c>
      <c r="ES18" s="432">
        <v>5000</v>
      </c>
      <c r="ET18" s="433">
        <v>107</v>
      </c>
      <c r="EU18" s="431">
        <v>4.7800000000000002E-2</v>
      </c>
      <c r="EV18" s="432">
        <v>-30.1</v>
      </c>
      <c r="EW18" s="432">
        <v>-2173000</v>
      </c>
      <c r="EX18" s="434">
        <v>1.732E+18</v>
      </c>
      <c r="EY18" s="434">
        <v>-3.277E+20</v>
      </c>
      <c r="EZ18" s="432">
        <v>152.1</v>
      </c>
      <c r="FA18" s="432">
        <v>1521</v>
      </c>
      <c r="FB18" s="433">
        <v>104</v>
      </c>
      <c r="FC18" s="431">
        <v>18.774999999999999</v>
      </c>
      <c r="FD18" s="432">
        <v>-402.9</v>
      </c>
      <c r="FE18" s="432">
        <v>-4.6853999999999996</v>
      </c>
      <c r="FF18" s="434">
        <v>-6.9999999999999997E-26</v>
      </c>
      <c r="FG18" s="432">
        <v>10</v>
      </c>
      <c r="FH18" s="432">
        <v>219.25</v>
      </c>
      <c r="FI18" s="432">
        <v>304.19</v>
      </c>
      <c r="FJ18" s="433">
        <v>101</v>
      </c>
      <c r="FK18" s="435">
        <v>2.148E-6</v>
      </c>
      <c r="FL18" s="432">
        <v>0.46</v>
      </c>
      <c r="FM18" s="432">
        <v>290</v>
      </c>
      <c r="FN18" s="432">
        <v>0</v>
      </c>
      <c r="FO18" s="432">
        <v>0</v>
      </c>
      <c r="FP18" s="432">
        <v>194.67</v>
      </c>
      <c r="FQ18" s="432">
        <v>1500</v>
      </c>
      <c r="FR18" s="433">
        <v>102</v>
      </c>
      <c r="FS18" s="431">
        <v>0.44059999999999999</v>
      </c>
      <c r="FT18" s="432">
        <v>-1.2175E-3</v>
      </c>
      <c r="FU18" s="432">
        <v>0</v>
      </c>
      <c r="FV18" s="432">
        <v>0</v>
      </c>
      <c r="FW18" s="432">
        <v>0</v>
      </c>
      <c r="FX18" s="432">
        <v>216.58</v>
      </c>
      <c r="FY18" s="432">
        <v>300</v>
      </c>
      <c r="FZ18" s="433">
        <v>100</v>
      </c>
      <c r="GA18" s="431">
        <v>3.69</v>
      </c>
      <c r="GB18" s="432">
        <v>-0.38379999999999997</v>
      </c>
      <c r="GC18" s="432">
        <v>964</v>
      </c>
      <c r="GD18" s="432">
        <v>1860000</v>
      </c>
      <c r="GE18" s="432">
        <v>0</v>
      </c>
      <c r="GF18" s="432">
        <v>194.67</v>
      </c>
      <c r="GG18" s="432">
        <v>1500</v>
      </c>
      <c r="GH18" s="433">
        <v>102</v>
      </c>
      <c r="GI18" s="431">
        <v>8.0710000000000004E-2</v>
      </c>
      <c r="GJ18" s="432">
        <v>1.2662</v>
      </c>
      <c r="GK18" s="432">
        <v>0</v>
      </c>
      <c r="GL18" s="432">
        <v>0</v>
      </c>
      <c r="GM18" s="432">
        <v>0</v>
      </c>
      <c r="GN18" s="432">
        <v>216.58</v>
      </c>
      <c r="GO18" s="432">
        <v>304.20999999999998</v>
      </c>
      <c r="GP18" s="433">
        <v>106</v>
      </c>
      <c r="GQ18" s="431" t="e">
        <v>#N/A</v>
      </c>
      <c r="GR18" s="432" t="e">
        <v>#N/A</v>
      </c>
      <c r="GS18" s="432" t="e">
        <v>#N/A</v>
      </c>
      <c r="GT18" s="432" t="e">
        <v>#N/A</v>
      </c>
      <c r="GU18" s="432" t="e">
        <v>#N/A</v>
      </c>
      <c r="GV18" s="433" t="e">
        <v>#N/A</v>
      </c>
    </row>
    <row r="19" spans="1:204" ht="15.75">
      <c r="A19" s="304">
        <v>3</v>
      </c>
      <c r="B19" s="348" t="str">
        <v>H2S</v>
      </c>
      <c r="C19" s="392">
        <v>0</v>
      </c>
      <c r="D19" s="393">
        <v>0</v>
      </c>
      <c r="E19" s="394">
        <v>0</v>
      </c>
      <c r="F19" s="395">
        <v>0</v>
      </c>
      <c r="G19" s="396"/>
      <c r="H19" s="396"/>
      <c r="I19" s="396"/>
      <c r="J19" s="396"/>
      <c r="K19" s="396"/>
      <c r="L19" s="397"/>
      <c r="M19" s="304">
        <v>3</v>
      </c>
      <c r="N19" s="398">
        <v>4</v>
      </c>
      <c r="O19" s="399">
        <v>1922</v>
      </c>
      <c r="P19" s="348" t="s">
        <v>495</v>
      </c>
      <c r="Q19" s="400" t="s">
        <v>496</v>
      </c>
      <c r="R19" s="401" t="s">
        <v>492</v>
      </c>
      <c r="S19" s="402">
        <v>34.082000000000001</v>
      </c>
      <c r="T19" s="403">
        <v>0</v>
      </c>
      <c r="U19" s="403">
        <v>0.95040769205028397</v>
      </c>
      <c r="V19" s="403">
        <v>35.860399999999998</v>
      </c>
      <c r="W19" s="403">
        <v>18.0002</v>
      </c>
      <c r="X19" s="403">
        <v>187.68</v>
      </c>
      <c r="Y19" s="403">
        <v>212.8</v>
      </c>
      <c r="Z19" s="403">
        <v>187.68</v>
      </c>
      <c r="AA19" s="404">
        <v>0.23199979949999999</v>
      </c>
      <c r="AB19" s="403">
        <v>-20630</v>
      </c>
      <c r="AC19" s="403">
        <v>-33440</v>
      </c>
      <c r="AD19" s="405">
        <v>205.6</v>
      </c>
      <c r="AE19" s="406">
        <v>373.53</v>
      </c>
      <c r="AF19" s="407">
        <v>89.629055249999993</v>
      </c>
      <c r="AG19" s="407">
        <v>98.5</v>
      </c>
      <c r="AH19" s="407">
        <v>0.28399999999999997</v>
      </c>
      <c r="AI19" s="408">
        <v>9.4200000000000006E-2</v>
      </c>
      <c r="AJ19" s="409">
        <v>0.73700583389926699</v>
      </c>
      <c r="AK19" s="410">
        <v>-2.0664718575235403E-3</v>
      </c>
      <c r="AL19" s="410">
        <v>0</v>
      </c>
      <c r="AM19" s="410">
        <v>0</v>
      </c>
      <c r="AN19" s="410">
        <v>-1.2210000000000001</v>
      </c>
      <c r="AO19" s="410">
        <v>-8.9999999999999993E-3</v>
      </c>
      <c r="AP19" s="410">
        <v>-1.2210000000000001</v>
      </c>
      <c r="AQ19" s="410">
        <v>8.9999999999999993E-3</v>
      </c>
      <c r="AR19" s="410">
        <v>0</v>
      </c>
      <c r="AS19" s="411">
        <v>0</v>
      </c>
      <c r="AT19" s="412">
        <v>0</v>
      </c>
      <c r="AU19" s="413">
        <v>0</v>
      </c>
      <c r="AV19" s="414">
        <v>0</v>
      </c>
      <c r="AW19" s="412">
        <v>0</v>
      </c>
      <c r="AX19" s="413">
        <v>0</v>
      </c>
      <c r="AY19" s="414">
        <v>0</v>
      </c>
      <c r="AZ19" s="436">
        <v>1.6516999999999999</v>
      </c>
      <c r="BA19" s="437">
        <v>3.0737000000000001</v>
      </c>
      <c r="BB19" s="438">
        <v>227.34</v>
      </c>
      <c r="BC19" s="418">
        <v>0</v>
      </c>
      <c r="BD19" s="418">
        <v>0</v>
      </c>
      <c r="BE19" s="419">
        <v>0</v>
      </c>
      <c r="BF19" s="420">
        <v>0</v>
      </c>
      <c r="BG19" s="421">
        <v>0</v>
      </c>
      <c r="BH19" s="421">
        <v>0</v>
      </c>
      <c r="BI19" s="421">
        <v>0</v>
      </c>
      <c r="BJ19" s="421">
        <v>0</v>
      </c>
      <c r="BK19" s="422">
        <v>0</v>
      </c>
      <c r="BL19" s="420">
        <v>0</v>
      </c>
      <c r="BM19" s="421">
        <v>0</v>
      </c>
      <c r="BN19" s="421">
        <v>0</v>
      </c>
      <c r="BO19" s="421">
        <v>0</v>
      </c>
      <c r="BP19" s="421">
        <v>0</v>
      </c>
      <c r="BQ19" s="423">
        <v>0</v>
      </c>
      <c r="BR19" s="424">
        <v>0</v>
      </c>
      <c r="BS19" s="425">
        <v>370.65</v>
      </c>
      <c r="BT19" s="425">
        <v>92.254000000000005</v>
      </c>
      <c r="BU19" s="426">
        <v>1.8137000000000001</v>
      </c>
      <c r="BV19" s="424">
        <v>0</v>
      </c>
      <c r="BW19" s="425">
        <v>0</v>
      </c>
      <c r="BX19" s="425">
        <v>0</v>
      </c>
      <c r="BY19" s="425">
        <v>0</v>
      </c>
      <c r="BZ19" s="425">
        <v>0</v>
      </c>
      <c r="CA19" s="425">
        <v>0</v>
      </c>
      <c r="CB19" s="426">
        <v>0</v>
      </c>
      <c r="CC19" s="424">
        <v>0</v>
      </c>
      <c r="CD19" s="425">
        <v>0</v>
      </c>
      <c r="CE19" s="425">
        <v>0</v>
      </c>
      <c r="CF19" s="425">
        <v>0</v>
      </c>
      <c r="CG19" s="425">
        <v>0</v>
      </c>
      <c r="CH19" s="425">
        <v>0</v>
      </c>
      <c r="CI19" s="426">
        <v>0</v>
      </c>
      <c r="CJ19" s="427">
        <v>300</v>
      </c>
      <c r="CK19" s="428">
        <v>0</v>
      </c>
      <c r="CL19" s="428">
        <v>0</v>
      </c>
      <c r="CM19" s="429">
        <v>0</v>
      </c>
      <c r="CN19" s="427">
        <v>0</v>
      </c>
      <c r="CO19" s="429">
        <v>0</v>
      </c>
      <c r="CP19" s="430">
        <v>0</v>
      </c>
      <c r="CQ19" s="431">
        <v>35.215000000000003</v>
      </c>
      <c r="CR19" s="432">
        <v>0</v>
      </c>
      <c r="CS19" s="432">
        <v>0</v>
      </c>
      <c r="CT19" s="432">
        <v>0</v>
      </c>
      <c r="CU19" s="432">
        <v>0</v>
      </c>
      <c r="CV19" s="432">
        <v>0</v>
      </c>
      <c r="CW19" s="432">
        <v>0</v>
      </c>
      <c r="CX19" s="433">
        <v>100</v>
      </c>
      <c r="CY19" s="431">
        <v>2.7671999999999999</v>
      </c>
      <c r="CZ19" s="432">
        <v>0.27368999999999999</v>
      </c>
      <c r="DA19" s="432">
        <v>373.53</v>
      </c>
      <c r="DB19" s="432">
        <v>0.29015000000000002</v>
      </c>
      <c r="DC19" s="432">
        <v>0</v>
      </c>
      <c r="DD19" s="432">
        <v>187.68</v>
      </c>
      <c r="DE19" s="432">
        <v>373.53</v>
      </c>
      <c r="DF19" s="433">
        <v>105</v>
      </c>
      <c r="DG19" s="431">
        <v>85.584000000000003</v>
      </c>
      <c r="DH19" s="432">
        <v>-3839.9</v>
      </c>
      <c r="DI19" s="432">
        <v>-11.199</v>
      </c>
      <c r="DJ19" s="432">
        <v>1.8848E-2</v>
      </c>
      <c r="DK19" s="432">
        <v>1</v>
      </c>
      <c r="DL19" s="432">
        <v>187.68</v>
      </c>
      <c r="DM19" s="432">
        <v>373.53</v>
      </c>
      <c r="DN19" s="433">
        <v>101</v>
      </c>
      <c r="DO19" s="431">
        <v>25676000</v>
      </c>
      <c r="DP19" s="432">
        <v>0.37358000000000002</v>
      </c>
      <c r="DQ19" s="432">
        <v>0</v>
      </c>
      <c r="DR19" s="432">
        <v>0</v>
      </c>
      <c r="DS19" s="432">
        <v>0</v>
      </c>
      <c r="DT19" s="432">
        <v>187.68</v>
      </c>
      <c r="DU19" s="432">
        <v>373.53</v>
      </c>
      <c r="DV19" s="433">
        <v>106</v>
      </c>
      <c r="DW19" s="431">
        <v>-8194</v>
      </c>
      <c r="DX19" s="432">
        <v>772.7</v>
      </c>
      <c r="DY19" s="432">
        <v>-6.0579999999999998</v>
      </c>
      <c r="DZ19" s="432">
        <v>3.0759999999999999E-2</v>
      </c>
      <c r="EA19" s="432">
        <v>0</v>
      </c>
      <c r="EB19" s="432">
        <v>20</v>
      </c>
      <c r="EC19" s="432">
        <v>103.54</v>
      </c>
      <c r="ED19" s="433">
        <v>100</v>
      </c>
      <c r="EE19" s="431">
        <v>64.665999999999997</v>
      </c>
      <c r="EF19" s="432">
        <v>49354</v>
      </c>
      <c r="EG19" s="432">
        <v>22.492999999999999</v>
      </c>
      <c r="EH19" s="432">
        <v>-1623</v>
      </c>
      <c r="EI19" s="432">
        <v>0</v>
      </c>
      <c r="EJ19" s="432">
        <v>187.68</v>
      </c>
      <c r="EK19" s="432">
        <v>370</v>
      </c>
      <c r="EL19" s="433">
        <v>114</v>
      </c>
      <c r="EM19" s="431">
        <v>33288</v>
      </c>
      <c r="EN19" s="432">
        <v>26086</v>
      </c>
      <c r="EO19" s="432">
        <v>913.4</v>
      </c>
      <c r="EP19" s="432">
        <v>-17979</v>
      </c>
      <c r="EQ19" s="432">
        <v>949.4</v>
      </c>
      <c r="ER19" s="432">
        <v>100</v>
      </c>
      <c r="ES19" s="432">
        <v>1500</v>
      </c>
      <c r="ET19" s="433">
        <v>107</v>
      </c>
      <c r="EU19" s="431">
        <v>5.3600000000000002E-2</v>
      </c>
      <c r="EV19" s="432">
        <v>-21.5</v>
      </c>
      <c r="EW19" s="432">
        <v>-7655000</v>
      </c>
      <c r="EX19" s="434">
        <v>4.96E+18</v>
      </c>
      <c r="EY19" s="434">
        <v>-1.763E+21</v>
      </c>
      <c r="EZ19" s="432">
        <v>261.24</v>
      </c>
      <c r="FA19" s="432">
        <v>1500</v>
      </c>
      <c r="FB19" s="433">
        <v>104</v>
      </c>
      <c r="FC19" s="431">
        <v>-10.904999999999999</v>
      </c>
      <c r="FD19" s="432">
        <v>762.11</v>
      </c>
      <c r="FE19" s="432">
        <v>-0.11863</v>
      </c>
      <c r="FF19" s="432">
        <v>0</v>
      </c>
      <c r="FG19" s="432">
        <v>0</v>
      </c>
      <c r="FH19" s="432">
        <v>187.68</v>
      </c>
      <c r="FI19" s="432">
        <v>350</v>
      </c>
      <c r="FJ19" s="433">
        <v>101</v>
      </c>
      <c r="FK19" s="435">
        <v>5.8600000000000002E-8</v>
      </c>
      <c r="FL19" s="432">
        <v>1.0167999999999999</v>
      </c>
      <c r="FM19" s="432">
        <v>372.4</v>
      </c>
      <c r="FN19" s="432">
        <v>-64310</v>
      </c>
      <c r="FO19" s="432">
        <v>0</v>
      </c>
      <c r="FP19" s="432">
        <v>250</v>
      </c>
      <c r="FQ19" s="432">
        <v>480</v>
      </c>
      <c r="FR19" s="433">
        <v>102</v>
      </c>
      <c r="FS19" s="431">
        <v>0.48420000000000002</v>
      </c>
      <c r="FT19" s="432">
        <v>-1.1839999999999999E-3</v>
      </c>
      <c r="FU19" s="432">
        <v>0</v>
      </c>
      <c r="FV19" s="432">
        <v>0</v>
      </c>
      <c r="FW19" s="432">
        <v>0</v>
      </c>
      <c r="FX19" s="432">
        <v>193.15</v>
      </c>
      <c r="FY19" s="432">
        <v>292.42</v>
      </c>
      <c r="FZ19" s="433">
        <v>100</v>
      </c>
      <c r="GA19" s="435">
        <v>1.381E-7</v>
      </c>
      <c r="GB19" s="432">
        <v>1.8379000000000001</v>
      </c>
      <c r="GC19" s="432">
        <v>-352.09</v>
      </c>
      <c r="GD19" s="432">
        <v>46041</v>
      </c>
      <c r="GE19" s="432">
        <v>0</v>
      </c>
      <c r="GF19" s="432">
        <v>212.8</v>
      </c>
      <c r="GG19" s="432">
        <v>600</v>
      </c>
      <c r="GH19" s="433">
        <v>102</v>
      </c>
      <c r="GI19" s="431">
        <v>7.4256000000000003E-2</v>
      </c>
      <c r="GJ19" s="432">
        <v>1.2997000000000001</v>
      </c>
      <c r="GK19" s="432">
        <v>0</v>
      </c>
      <c r="GL19" s="432">
        <v>0</v>
      </c>
      <c r="GM19" s="432">
        <v>0</v>
      </c>
      <c r="GN19" s="432">
        <v>187.68</v>
      </c>
      <c r="GO19" s="432">
        <v>373.53</v>
      </c>
      <c r="GP19" s="433">
        <v>106</v>
      </c>
      <c r="GQ19" s="431" t="e">
        <v>#N/A</v>
      </c>
      <c r="GR19" s="432" t="e">
        <v>#N/A</v>
      </c>
      <c r="GS19" s="432" t="e">
        <v>#N/A</v>
      </c>
      <c r="GT19" s="432" t="e">
        <v>#N/A</v>
      </c>
      <c r="GU19" s="432" t="e">
        <v>#N/A</v>
      </c>
      <c r="GV19" s="433" t="e">
        <v>#N/A</v>
      </c>
    </row>
    <row r="20" spans="1:204" ht="15.75">
      <c r="A20" s="304">
        <v>4</v>
      </c>
      <c r="B20" s="349" t="str">
        <v>C1</v>
      </c>
      <c r="C20" s="392">
        <v>6.6501152170380413</v>
      </c>
      <c r="D20" s="393">
        <v>0</v>
      </c>
      <c r="E20" s="394">
        <v>47.730666208767332</v>
      </c>
      <c r="F20" s="395">
        <v>100</v>
      </c>
      <c r="G20" s="396"/>
      <c r="H20" s="396"/>
      <c r="I20" s="396"/>
      <c r="J20" s="396"/>
      <c r="K20" s="396"/>
      <c r="L20" s="397"/>
      <c r="M20" s="304">
        <v>4</v>
      </c>
      <c r="N20" s="439">
        <v>6</v>
      </c>
      <c r="O20" s="440">
        <v>1</v>
      </c>
      <c r="P20" s="349" t="s">
        <v>497</v>
      </c>
      <c r="Q20" s="441" t="s">
        <v>411</v>
      </c>
      <c r="R20" s="401" t="s">
        <v>498</v>
      </c>
      <c r="S20" s="442">
        <v>16.042459999999998</v>
      </c>
      <c r="T20" s="443">
        <v>0</v>
      </c>
      <c r="U20" s="443">
        <v>6.6819999999999998E-4</v>
      </c>
      <c r="V20" s="443">
        <v>37.9694</v>
      </c>
      <c r="W20" s="443">
        <v>11.6</v>
      </c>
      <c r="X20" s="443">
        <v>90.694000000000003</v>
      </c>
      <c r="Y20" s="443">
        <v>111.66</v>
      </c>
      <c r="Z20" s="443">
        <v>90.694000000000003</v>
      </c>
      <c r="AA20" s="443">
        <v>0.11696046075000001</v>
      </c>
      <c r="AB20" s="443">
        <v>-74520</v>
      </c>
      <c r="AC20" s="443">
        <v>-50490</v>
      </c>
      <c r="AD20" s="444">
        <v>186.27</v>
      </c>
      <c r="AE20" s="445">
        <v>190.56399999999999</v>
      </c>
      <c r="AF20" s="446">
        <v>45.99</v>
      </c>
      <c r="AG20" s="447">
        <v>98.627799999999993</v>
      </c>
      <c r="AH20" s="447">
        <v>0.28627782573918997</v>
      </c>
      <c r="AI20" s="448">
        <v>1.15478E-2</v>
      </c>
      <c r="AJ20" s="449">
        <v>1.53393959833569</v>
      </c>
      <c r="AK20" s="450">
        <v>0</v>
      </c>
      <c r="AL20" s="450">
        <v>2.1743857360295715E-2</v>
      </c>
      <c r="AM20" s="450">
        <v>0</v>
      </c>
      <c r="AN20" s="450">
        <v>-3.371</v>
      </c>
      <c r="AO20" s="450">
        <v>0</v>
      </c>
      <c r="AP20" s="450">
        <v>-3.371</v>
      </c>
      <c r="AQ20" s="450">
        <v>0</v>
      </c>
      <c r="AR20" s="450">
        <v>0</v>
      </c>
      <c r="AS20" s="451">
        <v>0</v>
      </c>
      <c r="AT20" s="452">
        <v>0</v>
      </c>
      <c r="AU20" s="453">
        <v>0</v>
      </c>
      <c r="AV20" s="454">
        <v>0</v>
      </c>
      <c r="AW20" s="452">
        <v>0</v>
      </c>
      <c r="AX20" s="453">
        <v>0</v>
      </c>
      <c r="AY20" s="454">
        <v>0</v>
      </c>
      <c r="AZ20" s="455">
        <v>1</v>
      </c>
      <c r="BA20" s="456">
        <v>3.7039</v>
      </c>
      <c r="BB20" s="457">
        <v>150.03</v>
      </c>
      <c r="BC20" s="458">
        <v>0</v>
      </c>
      <c r="BD20" s="458">
        <v>0</v>
      </c>
      <c r="BE20" s="459">
        <v>0</v>
      </c>
      <c r="BF20" s="460">
        <v>0</v>
      </c>
      <c r="BG20" s="461">
        <v>0</v>
      </c>
      <c r="BH20" s="461">
        <v>0</v>
      </c>
      <c r="BI20" s="461">
        <v>0</v>
      </c>
      <c r="BJ20" s="461">
        <v>0</v>
      </c>
      <c r="BK20" s="462">
        <v>0</v>
      </c>
      <c r="BL20" s="460">
        <v>0</v>
      </c>
      <c r="BM20" s="461">
        <v>0</v>
      </c>
      <c r="BN20" s="461">
        <v>0</v>
      </c>
      <c r="BO20" s="461">
        <v>0</v>
      </c>
      <c r="BP20" s="461">
        <v>0</v>
      </c>
      <c r="BQ20" s="463">
        <v>0</v>
      </c>
      <c r="BR20" s="464">
        <v>0</v>
      </c>
      <c r="BS20" s="465">
        <v>190.72</v>
      </c>
      <c r="BT20" s="465">
        <v>47.387999999999998</v>
      </c>
      <c r="BU20" s="466">
        <v>1</v>
      </c>
      <c r="BV20" s="464">
        <v>0</v>
      </c>
      <c r="BW20" s="465">
        <v>0</v>
      </c>
      <c r="BX20" s="465">
        <v>0</v>
      </c>
      <c r="BY20" s="465">
        <v>0</v>
      </c>
      <c r="BZ20" s="465">
        <v>0</v>
      </c>
      <c r="CA20" s="465">
        <v>0</v>
      </c>
      <c r="CB20" s="466">
        <v>0</v>
      </c>
      <c r="CC20" s="464">
        <v>0</v>
      </c>
      <c r="CD20" s="465">
        <v>0</v>
      </c>
      <c r="CE20" s="465">
        <v>0</v>
      </c>
      <c r="CF20" s="465">
        <v>0</v>
      </c>
      <c r="CG20" s="465">
        <v>0</v>
      </c>
      <c r="CH20" s="465">
        <v>0</v>
      </c>
      <c r="CI20" s="466">
        <v>0</v>
      </c>
      <c r="CJ20" s="467">
        <v>152.93</v>
      </c>
      <c r="CK20" s="468">
        <v>0</v>
      </c>
      <c r="CL20" s="468">
        <v>0</v>
      </c>
      <c r="CM20" s="469">
        <v>0</v>
      </c>
      <c r="CN20" s="467">
        <v>48.741</v>
      </c>
      <c r="CO20" s="469">
        <v>8.1595700000000004</v>
      </c>
      <c r="CP20" s="470">
        <v>0</v>
      </c>
      <c r="CQ20" s="471">
        <v>33.021999999999998</v>
      </c>
      <c r="CR20" s="472">
        <v>-1.5869999999999999E-2</v>
      </c>
      <c r="CS20" s="472">
        <v>-1.55E-4</v>
      </c>
      <c r="CT20" s="472">
        <v>0</v>
      </c>
      <c r="CU20" s="472">
        <v>0</v>
      </c>
      <c r="CV20" s="472">
        <v>23.15</v>
      </c>
      <c r="CW20" s="472">
        <v>90.67</v>
      </c>
      <c r="CX20" s="473">
        <v>100</v>
      </c>
      <c r="CY20" s="471">
        <v>2.9214000000000002</v>
      </c>
      <c r="CZ20" s="472">
        <v>0.28976000000000002</v>
      </c>
      <c r="DA20" s="472">
        <v>190.56</v>
      </c>
      <c r="DB20" s="472">
        <v>0.28881000000000001</v>
      </c>
      <c r="DC20" s="472">
        <v>0</v>
      </c>
      <c r="DD20" s="472">
        <v>90.69</v>
      </c>
      <c r="DE20" s="472">
        <v>190.56</v>
      </c>
      <c r="DF20" s="473">
        <v>105</v>
      </c>
      <c r="DG20" s="471">
        <v>39.204999999999998</v>
      </c>
      <c r="DH20" s="472">
        <v>-1324.4</v>
      </c>
      <c r="DI20" s="472">
        <v>-3.4365999999999999</v>
      </c>
      <c r="DJ20" s="474">
        <v>3.1019000000000002E-5</v>
      </c>
      <c r="DK20" s="472">
        <v>2</v>
      </c>
      <c r="DL20" s="472">
        <v>90.69</v>
      </c>
      <c r="DM20" s="472">
        <v>190.56</v>
      </c>
      <c r="DN20" s="473">
        <v>101</v>
      </c>
      <c r="DO20" s="471">
        <v>10194000</v>
      </c>
      <c r="DP20" s="472">
        <v>0.26086999999999999</v>
      </c>
      <c r="DQ20" s="472">
        <v>-0.14693999999999999</v>
      </c>
      <c r="DR20" s="472">
        <v>0.22153999999999999</v>
      </c>
      <c r="DS20" s="472">
        <v>0</v>
      </c>
      <c r="DT20" s="472">
        <v>90.69</v>
      </c>
      <c r="DU20" s="472">
        <v>190.56</v>
      </c>
      <c r="DV20" s="473">
        <v>106</v>
      </c>
      <c r="DW20" s="471">
        <v>-2550</v>
      </c>
      <c r="DX20" s="472">
        <v>1249.9000000000001</v>
      </c>
      <c r="DY20" s="472">
        <v>-14.17</v>
      </c>
      <c r="DZ20" s="472">
        <v>6.6479999999999997E-2</v>
      </c>
      <c r="EA20" s="472">
        <v>0</v>
      </c>
      <c r="EB20" s="472">
        <v>22.85</v>
      </c>
      <c r="EC20" s="472">
        <v>90.67</v>
      </c>
      <c r="ED20" s="473">
        <v>100</v>
      </c>
      <c r="EE20" s="471">
        <v>65.707999999999998</v>
      </c>
      <c r="EF20" s="472">
        <v>38883</v>
      </c>
      <c r="EG20" s="472">
        <v>-257.95</v>
      </c>
      <c r="EH20" s="472">
        <v>614.07000000000005</v>
      </c>
      <c r="EI20" s="472">
        <v>0</v>
      </c>
      <c r="EJ20" s="472">
        <v>90.69</v>
      </c>
      <c r="EK20" s="472">
        <v>190</v>
      </c>
      <c r="EL20" s="473">
        <v>114</v>
      </c>
      <c r="EM20" s="471">
        <v>33298</v>
      </c>
      <c r="EN20" s="472">
        <v>79933</v>
      </c>
      <c r="EO20" s="472">
        <v>2086.9</v>
      </c>
      <c r="EP20" s="472">
        <v>41602</v>
      </c>
      <c r="EQ20" s="472">
        <v>991.96</v>
      </c>
      <c r="ER20" s="472">
        <v>50</v>
      </c>
      <c r="ES20" s="472">
        <v>1500</v>
      </c>
      <c r="ET20" s="473">
        <v>107</v>
      </c>
      <c r="EU20" s="471">
        <v>5.1075000000000002E-2</v>
      </c>
      <c r="EV20" s="472">
        <v>-25.181000000000001</v>
      </c>
      <c r="EW20" s="472">
        <v>-256010</v>
      </c>
      <c r="EX20" s="474">
        <v>5977700000000000</v>
      </c>
      <c r="EY20" s="474">
        <v>-5.7697E+17</v>
      </c>
      <c r="EZ20" s="472">
        <v>110.83</v>
      </c>
      <c r="FA20" s="472">
        <v>1500</v>
      </c>
      <c r="FB20" s="473">
        <v>104</v>
      </c>
      <c r="FC20" s="471">
        <v>-6.1571999999999996</v>
      </c>
      <c r="FD20" s="472">
        <v>178.15</v>
      </c>
      <c r="FE20" s="472">
        <v>-0.95238999999999996</v>
      </c>
      <c r="FF20" s="474">
        <v>-9.0605999999999999E-24</v>
      </c>
      <c r="FG20" s="472">
        <v>10</v>
      </c>
      <c r="FH20" s="472">
        <v>90.69</v>
      </c>
      <c r="FI20" s="472">
        <v>188</v>
      </c>
      <c r="FJ20" s="473">
        <v>101</v>
      </c>
      <c r="FK20" s="475">
        <v>5.2546000000000005E-7</v>
      </c>
      <c r="FL20" s="472">
        <v>0.59006000000000003</v>
      </c>
      <c r="FM20" s="472">
        <v>105.67</v>
      </c>
      <c r="FN20" s="472">
        <v>0</v>
      </c>
      <c r="FO20" s="472">
        <v>0</v>
      </c>
      <c r="FP20" s="472">
        <v>90.69</v>
      </c>
      <c r="FQ20" s="472">
        <v>1000</v>
      </c>
      <c r="FR20" s="473">
        <v>102</v>
      </c>
      <c r="FS20" s="471">
        <v>0.41768</v>
      </c>
      <c r="FT20" s="472">
        <v>-2.4528000000000002E-3</v>
      </c>
      <c r="FU20" s="474">
        <v>3.5588000000000001E-6</v>
      </c>
      <c r="FV20" s="472">
        <v>0</v>
      </c>
      <c r="FW20" s="472">
        <v>0</v>
      </c>
      <c r="FX20" s="472">
        <v>90.69</v>
      </c>
      <c r="FY20" s="472">
        <v>180</v>
      </c>
      <c r="FZ20" s="473">
        <v>100</v>
      </c>
      <c r="GA20" s="471">
        <v>6325.2</v>
      </c>
      <c r="GB20" s="472">
        <v>0.43041000000000001</v>
      </c>
      <c r="GC20" s="474">
        <v>770400000</v>
      </c>
      <c r="GD20" s="474">
        <v>-38725000000</v>
      </c>
      <c r="GE20" s="472">
        <v>0</v>
      </c>
      <c r="GF20" s="472">
        <v>90.69</v>
      </c>
      <c r="GG20" s="472">
        <v>1000</v>
      </c>
      <c r="GH20" s="473">
        <v>102</v>
      </c>
      <c r="GI20" s="471">
        <v>3.6556999999999999E-2</v>
      </c>
      <c r="GJ20" s="472">
        <v>1.1466000000000001</v>
      </c>
      <c r="GK20" s="472">
        <v>0</v>
      </c>
      <c r="GL20" s="472">
        <v>0</v>
      </c>
      <c r="GM20" s="472">
        <v>0</v>
      </c>
      <c r="GN20" s="472">
        <v>90.69</v>
      </c>
      <c r="GO20" s="472">
        <v>190.56</v>
      </c>
      <c r="GP20" s="473">
        <v>106</v>
      </c>
      <c r="GQ20" s="471" t="e">
        <v>#N/A</v>
      </c>
      <c r="GR20" s="472" t="e">
        <v>#N/A</v>
      </c>
      <c r="GS20" s="472" t="e">
        <v>#N/A</v>
      </c>
      <c r="GT20" s="472" t="e">
        <v>#N/A</v>
      </c>
      <c r="GU20" s="472" t="e">
        <v>#N/A</v>
      </c>
      <c r="GV20" s="473" t="e">
        <v>#N/A</v>
      </c>
    </row>
    <row r="21" spans="1:204" ht="15.75">
      <c r="A21" s="304">
        <v>5</v>
      </c>
      <c r="B21" s="349" t="str">
        <v>C2</v>
      </c>
      <c r="C21" s="392">
        <v>1.3207769088009258</v>
      </c>
      <c r="D21" s="393">
        <v>0</v>
      </c>
      <c r="E21" s="394">
        <v>9.4801552077956508</v>
      </c>
      <c r="F21" s="395">
        <v>0</v>
      </c>
      <c r="G21" s="396"/>
      <c r="H21" s="396"/>
      <c r="I21" s="396"/>
      <c r="J21" s="396"/>
      <c r="K21" s="396"/>
      <c r="L21" s="397"/>
      <c r="M21" s="304">
        <v>5</v>
      </c>
      <c r="N21" s="439">
        <v>7</v>
      </c>
      <c r="O21" s="440">
        <v>2</v>
      </c>
      <c r="P21" s="349" t="s">
        <v>499</v>
      </c>
      <c r="Q21" s="441" t="s">
        <v>500</v>
      </c>
      <c r="R21" s="401" t="s">
        <v>498</v>
      </c>
      <c r="S21" s="442">
        <v>30.07</v>
      </c>
      <c r="T21" s="443">
        <v>0</v>
      </c>
      <c r="U21" s="443">
        <v>1.222E-3</v>
      </c>
      <c r="V21" s="443">
        <v>55.229100000000003</v>
      </c>
      <c r="W21" s="443">
        <v>12.4</v>
      </c>
      <c r="X21" s="443">
        <v>90.352000000000004</v>
      </c>
      <c r="Y21" s="443">
        <v>184.55</v>
      </c>
      <c r="Z21" s="443">
        <v>90.352000000000004</v>
      </c>
      <c r="AA21" s="476">
        <v>1.1299966649999999E-5</v>
      </c>
      <c r="AB21" s="443">
        <v>-83820</v>
      </c>
      <c r="AC21" s="443">
        <v>-31920</v>
      </c>
      <c r="AD21" s="444">
        <v>229.12</v>
      </c>
      <c r="AE21" s="445">
        <v>305.33</v>
      </c>
      <c r="AF21" s="446">
        <v>48.718000000000004</v>
      </c>
      <c r="AG21" s="447">
        <v>145.56</v>
      </c>
      <c r="AH21" s="447">
        <v>0.27933659515702208</v>
      </c>
      <c r="AI21" s="448">
        <v>9.9099999999999994E-2</v>
      </c>
      <c r="AJ21" s="449">
        <v>3.74303201272454</v>
      </c>
      <c r="AK21" s="450">
        <v>0</v>
      </c>
      <c r="AL21" s="450">
        <v>2.0526294182848227E-2</v>
      </c>
      <c r="AM21" s="450">
        <v>0</v>
      </c>
      <c r="AN21" s="450">
        <v>-3.577</v>
      </c>
      <c r="AO21" s="450">
        <v>0</v>
      </c>
      <c r="AP21" s="450">
        <v>-3.577</v>
      </c>
      <c r="AQ21" s="450">
        <v>0</v>
      </c>
      <c r="AR21" s="450">
        <v>0</v>
      </c>
      <c r="AS21" s="451">
        <v>0</v>
      </c>
      <c r="AT21" s="452">
        <v>0</v>
      </c>
      <c r="AU21" s="453">
        <v>0</v>
      </c>
      <c r="AV21" s="454">
        <v>0</v>
      </c>
      <c r="AW21" s="452">
        <v>0</v>
      </c>
      <c r="AX21" s="453">
        <v>0</v>
      </c>
      <c r="AY21" s="454">
        <v>0</v>
      </c>
      <c r="AZ21" s="477">
        <v>1.6069</v>
      </c>
      <c r="BA21" s="478">
        <v>3.5206</v>
      </c>
      <c r="BB21" s="479">
        <v>191.42</v>
      </c>
      <c r="BC21" s="458">
        <v>0</v>
      </c>
      <c r="BD21" s="458">
        <v>0</v>
      </c>
      <c r="BE21" s="459">
        <v>0</v>
      </c>
      <c r="BF21" s="460">
        <v>0</v>
      </c>
      <c r="BG21" s="461">
        <v>0</v>
      </c>
      <c r="BH21" s="461">
        <v>0</v>
      </c>
      <c r="BI21" s="461">
        <v>0</v>
      </c>
      <c r="BJ21" s="461">
        <v>0</v>
      </c>
      <c r="BK21" s="462">
        <v>0</v>
      </c>
      <c r="BL21" s="460">
        <v>0</v>
      </c>
      <c r="BM21" s="461">
        <v>0</v>
      </c>
      <c r="BN21" s="461">
        <v>0</v>
      </c>
      <c r="BO21" s="461">
        <v>0</v>
      </c>
      <c r="BP21" s="461">
        <v>0</v>
      </c>
      <c r="BQ21" s="463">
        <v>0</v>
      </c>
      <c r="BR21" s="464">
        <v>0</v>
      </c>
      <c r="BS21" s="465">
        <v>304.14999999999998</v>
      </c>
      <c r="BT21" s="465">
        <v>50.170999999999999</v>
      </c>
      <c r="BU21" s="466">
        <v>1.764</v>
      </c>
      <c r="BV21" s="464">
        <v>0</v>
      </c>
      <c r="BW21" s="465">
        <v>0</v>
      </c>
      <c r="BX21" s="465">
        <v>0</v>
      </c>
      <c r="BY21" s="465">
        <v>0</v>
      </c>
      <c r="BZ21" s="465">
        <v>0</v>
      </c>
      <c r="CA21" s="465">
        <v>0</v>
      </c>
      <c r="CB21" s="466">
        <v>0</v>
      </c>
      <c r="CC21" s="464">
        <v>0</v>
      </c>
      <c r="CD21" s="465">
        <v>0</v>
      </c>
      <c r="CE21" s="465">
        <v>0</v>
      </c>
      <c r="CF21" s="465">
        <v>0</v>
      </c>
      <c r="CG21" s="465">
        <v>0</v>
      </c>
      <c r="CH21" s="465">
        <v>0</v>
      </c>
      <c r="CI21" s="466">
        <v>0</v>
      </c>
      <c r="CJ21" s="467">
        <v>217.56200000000001</v>
      </c>
      <c r="CK21" s="468">
        <v>0</v>
      </c>
      <c r="CL21" s="468">
        <v>0</v>
      </c>
      <c r="CM21" s="469">
        <v>0</v>
      </c>
      <c r="CN21" s="467">
        <v>49.932499999999997</v>
      </c>
      <c r="CO21" s="469">
        <v>9.0418900000000004</v>
      </c>
      <c r="CP21" s="470">
        <v>0</v>
      </c>
      <c r="CQ21" s="471">
        <v>25.263000000000002</v>
      </c>
      <c r="CR21" s="472">
        <v>-1.095E-2</v>
      </c>
      <c r="CS21" s="472">
        <v>0</v>
      </c>
      <c r="CT21" s="472">
        <v>0</v>
      </c>
      <c r="CU21" s="472">
        <v>0</v>
      </c>
      <c r="CV21" s="472">
        <v>23.15</v>
      </c>
      <c r="CW21" s="472">
        <v>90.35</v>
      </c>
      <c r="CX21" s="473">
        <v>100</v>
      </c>
      <c r="CY21" s="471">
        <v>1.9121999999999999</v>
      </c>
      <c r="CZ21" s="472">
        <v>0.27937000000000001</v>
      </c>
      <c r="DA21" s="472">
        <v>305.32</v>
      </c>
      <c r="DB21" s="472">
        <v>0.29187000000000002</v>
      </c>
      <c r="DC21" s="472">
        <v>0</v>
      </c>
      <c r="DD21" s="472">
        <v>90.35</v>
      </c>
      <c r="DE21" s="472">
        <v>305.32</v>
      </c>
      <c r="DF21" s="473">
        <v>105</v>
      </c>
      <c r="DG21" s="471">
        <v>51.856999999999999</v>
      </c>
      <c r="DH21" s="472">
        <v>-2598.6999999999998</v>
      </c>
      <c r="DI21" s="472">
        <v>-5.1283000000000003</v>
      </c>
      <c r="DJ21" s="474">
        <v>1.4912999999999999E-5</v>
      </c>
      <c r="DK21" s="472">
        <v>2</v>
      </c>
      <c r="DL21" s="472">
        <v>90.35</v>
      </c>
      <c r="DM21" s="472">
        <v>305.32</v>
      </c>
      <c r="DN21" s="473">
        <v>101</v>
      </c>
      <c r="DO21" s="471">
        <v>21091000</v>
      </c>
      <c r="DP21" s="472">
        <v>0.60646</v>
      </c>
      <c r="DQ21" s="472">
        <v>-0.55491999999999997</v>
      </c>
      <c r="DR21" s="472">
        <v>0.32799</v>
      </c>
      <c r="DS21" s="472">
        <v>0</v>
      </c>
      <c r="DT21" s="472">
        <v>90.35</v>
      </c>
      <c r="DU21" s="472">
        <v>305.32</v>
      </c>
      <c r="DV21" s="473">
        <v>106</v>
      </c>
      <c r="DW21" s="471">
        <v>8158.4</v>
      </c>
      <c r="DX21" s="472">
        <v>-1477.8</v>
      </c>
      <c r="DY21" s="472">
        <v>97.183000000000007</v>
      </c>
      <c r="DZ21" s="472">
        <v>-1.6113999999999999</v>
      </c>
      <c r="EA21" s="472">
        <v>9.1233000000000009E-3</v>
      </c>
      <c r="EB21" s="472">
        <v>15.53</v>
      </c>
      <c r="EC21" s="472">
        <v>63.03</v>
      </c>
      <c r="ED21" s="473">
        <v>100</v>
      </c>
      <c r="EE21" s="471">
        <v>44.009</v>
      </c>
      <c r="EF21" s="472">
        <v>89718</v>
      </c>
      <c r="EG21" s="472">
        <v>918.77</v>
      </c>
      <c r="EH21" s="472">
        <v>-1886</v>
      </c>
      <c r="EI21" s="472">
        <v>0</v>
      </c>
      <c r="EJ21" s="472">
        <v>92</v>
      </c>
      <c r="EK21" s="472">
        <v>290</v>
      </c>
      <c r="EL21" s="473">
        <v>114</v>
      </c>
      <c r="EM21" s="471">
        <v>40326</v>
      </c>
      <c r="EN21" s="472">
        <v>134220</v>
      </c>
      <c r="EO21" s="472">
        <v>1655.5</v>
      </c>
      <c r="EP21" s="472">
        <v>73223</v>
      </c>
      <c r="EQ21" s="472">
        <v>752.87</v>
      </c>
      <c r="ER21" s="472">
        <v>200</v>
      </c>
      <c r="ES21" s="472">
        <v>1500</v>
      </c>
      <c r="ET21" s="473">
        <v>107</v>
      </c>
      <c r="EU21" s="471">
        <v>8.0949999999999994E-2</v>
      </c>
      <c r="EV21" s="472">
        <v>-61.71</v>
      </c>
      <c r="EW21" s="472">
        <v>-1435000</v>
      </c>
      <c r="EX21" s="474">
        <v>6.76E+16</v>
      </c>
      <c r="EY21" s="474">
        <v>-9.74E+18</v>
      </c>
      <c r="EZ21" s="472">
        <v>152.71</v>
      </c>
      <c r="FA21" s="472">
        <v>1500</v>
      </c>
      <c r="FB21" s="473">
        <v>104</v>
      </c>
      <c r="FC21" s="471">
        <v>-3.4134000000000002</v>
      </c>
      <c r="FD21" s="472">
        <v>197.05</v>
      </c>
      <c r="FE21" s="472">
        <v>-1.2193000000000001</v>
      </c>
      <c r="FF21" s="474">
        <v>-9.2022999999999998E-26</v>
      </c>
      <c r="FG21" s="472">
        <v>10</v>
      </c>
      <c r="FH21" s="472">
        <v>90.35</v>
      </c>
      <c r="FI21" s="472">
        <v>300</v>
      </c>
      <c r="FJ21" s="473">
        <v>101</v>
      </c>
      <c r="FK21" s="475">
        <v>2.5905999999999999E-7</v>
      </c>
      <c r="FL21" s="472">
        <v>0.67988000000000004</v>
      </c>
      <c r="FM21" s="472">
        <v>98.902000000000001</v>
      </c>
      <c r="FN21" s="472">
        <v>0</v>
      </c>
      <c r="FO21" s="472">
        <v>0</v>
      </c>
      <c r="FP21" s="472">
        <v>90.35</v>
      </c>
      <c r="FQ21" s="472">
        <v>1000</v>
      </c>
      <c r="FR21" s="473">
        <v>102</v>
      </c>
      <c r="FS21" s="471">
        <v>0.35758000000000001</v>
      </c>
      <c r="FT21" s="472">
        <v>-1.1458E-3</v>
      </c>
      <c r="FU21" s="474">
        <v>6.1865999999999996E-7</v>
      </c>
      <c r="FV21" s="472">
        <v>0</v>
      </c>
      <c r="FW21" s="472">
        <v>0</v>
      </c>
      <c r="FX21" s="472">
        <v>90.35</v>
      </c>
      <c r="FY21" s="472">
        <v>300</v>
      </c>
      <c r="FZ21" s="473">
        <v>100</v>
      </c>
      <c r="GA21" s="471">
        <v>7.3868999999999994E-5</v>
      </c>
      <c r="GB21" s="472">
        <v>1.1689000000000001</v>
      </c>
      <c r="GC21" s="472">
        <v>500.73</v>
      </c>
      <c r="GD21" s="472">
        <v>0</v>
      </c>
      <c r="GE21" s="472">
        <v>0</v>
      </c>
      <c r="GF21" s="472">
        <v>184.55</v>
      </c>
      <c r="GG21" s="472">
        <v>1000</v>
      </c>
      <c r="GH21" s="473">
        <v>102</v>
      </c>
      <c r="GI21" s="471">
        <v>4.8642999999999999E-2</v>
      </c>
      <c r="GJ21" s="472">
        <v>1.1980999999999999</v>
      </c>
      <c r="GK21" s="472">
        <v>0</v>
      </c>
      <c r="GL21" s="472">
        <v>0</v>
      </c>
      <c r="GM21" s="472">
        <v>0</v>
      </c>
      <c r="GN21" s="472">
        <v>90.35</v>
      </c>
      <c r="GO21" s="472">
        <v>305.32</v>
      </c>
      <c r="GP21" s="473">
        <v>106</v>
      </c>
      <c r="GQ21" s="471" t="e">
        <v>#N/A</v>
      </c>
      <c r="GR21" s="472" t="e">
        <v>#N/A</v>
      </c>
      <c r="GS21" s="472" t="e">
        <v>#N/A</v>
      </c>
      <c r="GT21" s="472" t="e">
        <v>#N/A</v>
      </c>
      <c r="GU21" s="472" t="e">
        <v>#N/A</v>
      </c>
      <c r="GV21" s="473" t="e">
        <v>#N/A</v>
      </c>
    </row>
    <row r="22" spans="1:204" ht="15.75">
      <c r="A22" s="304">
        <v>6</v>
      </c>
      <c r="B22" s="349" t="str">
        <v>C3</v>
      </c>
      <c r="C22" s="392">
        <v>2.048213764001352</v>
      </c>
      <c r="D22" s="393">
        <v>0</v>
      </c>
      <c r="E22" s="394">
        <v>14.701760106777199</v>
      </c>
      <c r="F22" s="395">
        <v>0</v>
      </c>
      <c r="G22" s="396"/>
      <c r="H22" s="396"/>
      <c r="I22" s="396"/>
      <c r="J22" s="396"/>
      <c r="K22" s="396"/>
      <c r="L22" s="397"/>
      <c r="M22" s="304">
        <v>6</v>
      </c>
      <c r="N22" s="439">
        <v>8</v>
      </c>
      <c r="O22" s="440">
        <v>3</v>
      </c>
      <c r="P22" s="349" t="s">
        <v>501</v>
      </c>
      <c r="Q22" s="441" t="s">
        <v>502</v>
      </c>
      <c r="R22" s="401" t="s">
        <v>498</v>
      </c>
      <c r="S22" s="442">
        <v>44.097000000000001</v>
      </c>
      <c r="T22" s="443">
        <v>0</v>
      </c>
      <c r="U22" s="443">
        <v>1.8079999999999999E-3</v>
      </c>
      <c r="V22" s="443">
        <v>75.7</v>
      </c>
      <c r="W22" s="443">
        <v>13.1</v>
      </c>
      <c r="X22" s="443">
        <v>85.47</v>
      </c>
      <c r="Y22" s="443">
        <v>231.11</v>
      </c>
      <c r="Z22" s="443">
        <v>85.47</v>
      </c>
      <c r="AA22" s="476">
        <v>1.6850043525E-9</v>
      </c>
      <c r="AB22" s="443">
        <v>-104680</v>
      </c>
      <c r="AC22" s="443">
        <v>-24390</v>
      </c>
      <c r="AD22" s="444">
        <v>270.2</v>
      </c>
      <c r="AE22" s="480">
        <v>369.85</v>
      </c>
      <c r="AF22" s="447">
        <v>42.476599999999998</v>
      </c>
      <c r="AG22" s="447">
        <v>200</v>
      </c>
      <c r="AH22" s="447">
        <v>0.27626122569732903</v>
      </c>
      <c r="AI22" s="481">
        <v>0.152</v>
      </c>
      <c r="AJ22" s="482">
        <v>-3.23900691271644</v>
      </c>
      <c r="AK22" s="483">
        <v>-3.33850509689229E-2</v>
      </c>
      <c r="AL22" s="483">
        <v>2.354237391881648E-2</v>
      </c>
      <c r="AM22" s="483">
        <v>0</v>
      </c>
      <c r="AN22" s="483">
        <v>-7.2229999999999999</v>
      </c>
      <c r="AO22" s="483">
        <v>1.0999999999999999E-2</v>
      </c>
      <c r="AP22" s="483">
        <v>-7.2229999999999999</v>
      </c>
      <c r="AQ22" s="483">
        <v>-1.0999999999999999E-2</v>
      </c>
      <c r="AR22" s="483">
        <v>0</v>
      </c>
      <c r="AS22" s="484">
        <v>0</v>
      </c>
      <c r="AT22" s="485">
        <v>0</v>
      </c>
      <c r="AU22" s="486">
        <v>0</v>
      </c>
      <c r="AV22" s="487">
        <v>0</v>
      </c>
      <c r="AW22" s="485">
        <v>0</v>
      </c>
      <c r="AX22" s="486">
        <v>0</v>
      </c>
      <c r="AY22" s="487">
        <v>0</v>
      </c>
      <c r="AZ22" s="477">
        <v>2.0019999999999998</v>
      </c>
      <c r="BA22" s="478">
        <v>3.6183999999999998</v>
      </c>
      <c r="BB22" s="479">
        <v>208.11</v>
      </c>
      <c r="BC22" s="458">
        <v>0</v>
      </c>
      <c r="BD22" s="458">
        <v>0</v>
      </c>
      <c r="BE22" s="459">
        <v>0</v>
      </c>
      <c r="BF22" s="460">
        <v>9.1187500000000004</v>
      </c>
      <c r="BG22" s="461">
        <v>5.7834000000000003E-2</v>
      </c>
      <c r="BH22" s="461">
        <v>0.63070000000000004</v>
      </c>
      <c r="BI22" s="461">
        <v>0</v>
      </c>
      <c r="BJ22" s="461">
        <v>0</v>
      </c>
      <c r="BK22" s="462">
        <v>0</v>
      </c>
      <c r="BL22" s="460">
        <v>0</v>
      </c>
      <c r="BM22" s="461">
        <v>0</v>
      </c>
      <c r="BN22" s="461">
        <v>0</v>
      </c>
      <c r="BO22" s="461">
        <v>0</v>
      </c>
      <c r="BP22" s="461">
        <v>0</v>
      </c>
      <c r="BQ22" s="463">
        <v>0</v>
      </c>
      <c r="BR22" s="464">
        <v>0</v>
      </c>
      <c r="BS22" s="465">
        <v>367.58</v>
      </c>
      <c r="BT22" s="465">
        <v>43.926000000000002</v>
      </c>
      <c r="BU22" s="466">
        <v>2.2563</v>
      </c>
      <c r="BV22" s="464">
        <v>0</v>
      </c>
      <c r="BW22" s="465">
        <v>0</v>
      </c>
      <c r="BX22" s="465">
        <v>0</v>
      </c>
      <c r="BY22" s="465">
        <v>0</v>
      </c>
      <c r="BZ22" s="465">
        <v>0</v>
      </c>
      <c r="CA22" s="465">
        <v>0</v>
      </c>
      <c r="CB22" s="466">
        <v>0</v>
      </c>
      <c r="CC22" s="464">
        <v>0</v>
      </c>
      <c r="CD22" s="465">
        <v>0</v>
      </c>
      <c r="CE22" s="465">
        <v>0</v>
      </c>
      <c r="CF22" s="465">
        <v>0</v>
      </c>
      <c r="CG22" s="465">
        <v>0</v>
      </c>
      <c r="CH22" s="465">
        <v>0</v>
      </c>
      <c r="CI22" s="466">
        <v>0</v>
      </c>
      <c r="CJ22" s="467">
        <v>249.73400000000001</v>
      </c>
      <c r="CK22" s="468">
        <v>0</v>
      </c>
      <c r="CL22" s="468">
        <v>0</v>
      </c>
      <c r="CM22" s="469">
        <v>0</v>
      </c>
      <c r="CN22" s="467">
        <v>65.043700000000001</v>
      </c>
      <c r="CO22" s="469">
        <v>1.2995399999999999</v>
      </c>
      <c r="CP22" s="488">
        <v>0</v>
      </c>
      <c r="CQ22" s="471">
        <v>18.861000000000001</v>
      </c>
      <c r="CR22" s="472">
        <v>-2.0331999999999999E-2</v>
      </c>
      <c r="CS22" s="472">
        <v>0</v>
      </c>
      <c r="CT22" s="472">
        <v>0</v>
      </c>
      <c r="CU22" s="472">
        <v>0</v>
      </c>
      <c r="CV22" s="472">
        <v>23.15</v>
      </c>
      <c r="CW22" s="472">
        <v>85.47</v>
      </c>
      <c r="CX22" s="473">
        <v>100</v>
      </c>
      <c r="CY22" s="471">
        <v>1.3756999999999999</v>
      </c>
      <c r="CZ22" s="472">
        <v>0.27453</v>
      </c>
      <c r="DA22" s="472">
        <v>369.83</v>
      </c>
      <c r="DB22" s="472">
        <v>0.29359000000000002</v>
      </c>
      <c r="DC22" s="472">
        <v>0</v>
      </c>
      <c r="DD22" s="472">
        <v>85.47</v>
      </c>
      <c r="DE22" s="472">
        <v>369.83</v>
      </c>
      <c r="DF22" s="473">
        <v>105</v>
      </c>
      <c r="DG22" s="471">
        <v>59.078000000000003</v>
      </c>
      <c r="DH22" s="472">
        <v>-3492.6</v>
      </c>
      <c r="DI22" s="472">
        <v>-6.0669000000000004</v>
      </c>
      <c r="DJ22" s="474">
        <v>1.0919E-5</v>
      </c>
      <c r="DK22" s="472">
        <v>2</v>
      </c>
      <c r="DL22" s="472">
        <v>85.47</v>
      </c>
      <c r="DM22" s="472">
        <v>369.83</v>
      </c>
      <c r="DN22" s="473">
        <v>101</v>
      </c>
      <c r="DO22" s="471">
        <v>29209000</v>
      </c>
      <c r="DP22" s="472">
        <v>0.78237000000000001</v>
      </c>
      <c r="DQ22" s="472">
        <v>-0.77319000000000004</v>
      </c>
      <c r="DR22" s="472">
        <v>0.39245999999999998</v>
      </c>
      <c r="DS22" s="472">
        <v>0</v>
      </c>
      <c r="DT22" s="472">
        <v>85.47</v>
      </c>
      <c r="DU22" s="472">
        <v>369.83</v>
      </c>
      <c r="DV22" s="473">
        <v>106</v>
      </c>
      <c r="DW22" s="471">
        <v>-11230</v>
      </c>
      <c r="DX22" s="472">
        <v>1059</v>
      </c>
      <c r="DY22" s="472">
        <v>-3.6</v>
      </c>
      <c r="DZ22" s="472">
        <v>0</v>
      </c>
      <c r="EA22" s="472">
        <v>0</v>
      </c>
      <c r="EB22" s="472">
        <v>30</v>
      </c>
      <c r="EC22" s="472">
        <v>84</v>
      </c>
      <c r="ED22" s="473">
        <v>100</v>
      </c>
      <c r="EE22" s="471">
        <v>62.982999999999997</v>
      </c>
      <c r="EF22" s="472">
        <v>113630</v>
      </c>
      <c r="EG22" s="472">
        <v>633.21</v>
      </c>
      <c r="EH22" s="472">
        <v>-873.46</v>
      </c>
      <c r="EI22" s="472">
        <v>0</v>
      </c>
      <c r="EJ22" s="472">
        <v>85.47</v>
      </c>
      <c r="EK22" s="472">
        <v>360</v>
      </c>
      <c r="EL22" s="473">
        <v>114</v>
      </c>
      <c r="EM22" s="471">
        <v>51920</v>
      </c>
      <c r="EN22" s="472">
        <v>192450</v>
      </c>
      <c r="EO22" s="472">
        <v>1626.5</v>
      </c>
      <c r="EP22" s="472">
        <v>116800</v>
      </c>
      <c r="EQ22" s="472">
        <v>723.6</v>
      </c>
      <c r="ER22" s="472">
        <v>200</v>
      </c>
      <c r="ES22" s="472">
        <v>1500</v>
      </c>
      <c r="ET22" s="473">
        <v>107</v>
      </c>
      <c r="EU22" s="471">
        <v>0.11269999999999999</v>
      </c>
      <c r="EV22" s="472">
        <v>-99.2</v>
      </c>
      <c r="EW22" s="472">
        <v>-4510000</v>
      </c>
      <c r="EX22" s="474">
        <v>3.09E+17</v>
      </c>
      <c r="EY22" s="474">
        <v>-7.05E+19</v>
      </c>
      <c r="EZ22" s="472">
        <v>184.91</v>
      </c>
      <c r="FA22" s="472">
        <v>1500</v>
      </c>
      <c r="FB22" s="473">
        <v>104</v>
      </c>
      <c r="FC22" s="471">
        <v>-6.9280999999999997</v>
      </c>
      <c r="FD22" s="472">
        <v>420.76</v>
      </c>
      <c r="FE22" s="472">
        <v>-0.63275999999999999</v>
      </c>
      <c r="FF22" s="474">
        <v>-1.713E-26</v>
      </c>
      <c r="FG22" s="472">
        <v>10</v>
      </c>
      <c r="FH22" s="472">
        <v>85.47</v>
      </c>
      <c r="FI22" s="472">
        <v>360</v>
      </c>
      <c r="FJ22" s="473">
        <v>101</v>
      </c>
      <c r="FK22" s="475">
        <v>2.4993000000000002E-7</v>
      </c>
      <c r="FL22" s="472">
        <v>0.68611999999999995</v>
      </c>
      <c r="FM22" s="472">
        <v>179.34</v>
      </c>
      <c r="FN22" s="472">
        <v>-8254.6</v>
      </c>
      <c r="FO22" s="472">
        <v>0</v>
      </c>
      <c r="FP22" s="472">
        <v>85.47</v>
      </c>
      <c r="FQ22" s="472">
        <v>1000</v>
      </c>
      <c r="FR22" s="473">
        <v>102</v>
      </c>
      <c r="FS22" s="471">
        <v>0.26755000000000001</v>
      </c>
      <c r="FT22" s="472">
        <v>-6.6456999999999996E-4</v>
      </c>
      <c r="FU22" s="474">
        <v>2.7739999999999998E-7</v>
      </c>
      <c r="FV22" s="472">
        <v>0</v>
      </c>
      <c r="FW22" s="472">
        <v>0</v>
      </c>
      <c r="FX22" s="472">
        <v>85.47</v>
      </c>
      <c r="FY22" s="472">
        <v>350</v>
      </c>
      <c r="FZ22" s="473">
        <v>100</v>
      </c>
      <c r="GA22" s="471">
        <v>-1.1200000000000001</v>
      </c>
      <c r="GB22" s="472">
        <v>0.10972</v>
      </c>
      <c r="GC22" s="472">
        <v>-9834.6</v>
      </c>
      <c r="GD22" s="472">
        <v>-7535800</v>
      </c>
      <c r="GE22" s="472">
        <v>0</v>
      </c>
      <c r="GF22" s="472">
        <v>231.11</v>
      </c>
      <c r="GG22" s="472">
        <v>1000</v>
      </c>
      <c r="GH22" s="473">
        <v>102</v>
      </c>
      <c r="GI22" s="471">
        <v>5.092E-2</v>
      </c>
      <c r="GJ22" s="472">
        <v>1.2197</v>
      </c>
      <c r="GK22" s="472">
        <v>0</v>
      </c>
      <c r="GL22" s="472">
        <v>0</v>
      </c>
      <c r="GM22" s="472">
        <v>0</v>
      </c>
      <c r="GN22" s="472">
        <v>85.47</v>
      </c>
      <c r="GO22" s="472">
        <v>369.83</v>
      </c>
      <c r="GP22" s="473">
        <v>106</v>
      </c>
      <c r="GQ22" s="471" t="e">
        <v>#N/A</v>
      </c>
      <c r="GR22" s="472" t="e">
        <v>#N/A</v>
      </c>
      <c r="GS22" s="472" t="e">
        <v>#N/A</v>
      </c>
      <c r="GT22" s="472" t="e">
        <v>#N/A</v>
      </c>
      <c r="GU22" s="472" t="e">
        <v>#N/A</v>
      </c>
      <c r="GV22" s="473" t="e">
        <v>#N/A</v>
      </c>
    </row>
    <row r="23" spans="1:204" ht="15.75">
      <c r="A23" s="304">
        <v>7</v>
      </c>
      <c r="B23" s="349" t="str">
        <v>HG</v>
      </c>
      <c r="C23" s="392">
        <v>3.8343608814699315</v>
      </c>
      <c r="D23" s="393">
        <v>0</v>
      </c>
      <c r="E23" s="394">
        <v>27.574651942938573</v>
      </c>
      <c r="F23" s="395">
        <v>0</v>
      </c>
      <c r="G23" s="396"/>
      <c r="H23" s="396"/>
      <c r="I23" s="396"/>
      <c r="J23" s="396"/>
      <c r="K23" s="396"/>
      <c r="L23" s="397"/>
      <c r="M23" s="304">
        <v>7</v>
      </c>
      <c r="N23" s="439">
        <v>51</v>
      </c>
      <c r="O23" s="440" t="s">
        <v>503</v>
      </c>
      <c r="P23" s="349" t="s">
        <v>504</v>
      </c>
      <c r="Q23" s="441" t="s">
        <v>505</v>
      </c>
      <c r="R23" s="401" t="s">
        <v>498</v>
      </c>
      <c r="S23" s="442">
        <v>67.954673845847068</v>
      </c>
      <c r="T23" s="443">
        <v>4.8432278378601532E-6</v>
      </c>
      <c r="U23" s="443">
        <v>0.62903498548226477</v>
      </c>
      <c r="V23" s="443">
        <v>96.483500000000006</v>
      </c>
      <c r="W23" s="443">
        <v>13.7</v>
      </c>
      <c r="X23" s="443">
        <v>134.86000000000001</v>
      </c>
      <c r="Y23" s="443">
        <v>272.64999999999998</v>
      </c>
      <c r="Z23" s="443">
        <v>134.86000000000001</v>
      </c>
      <c r="AA23" s="476">
        <v>6.7358022899999996E-6</v>
      </c>
      <c r="AB23" s="443">
        <v>-125790</v>
      </c>
      <c r="AC23" s="443">
        <v>-16700</v>
      </c>
      <c r="AD23" s="444">
        <v>309.91000000000003</v>
      </c>
      <c r="AE23" s="480">
        <v>453.70330944991724</v>
      </c>
      <c r="AF23" s="447">
        <v>34.341245672315409</v>
      </c>
      <c r="AG23" s="447">
        <v>285.52761703218658</v>
      </c>
      <c r="AH23" s="447">
        <v>0.25992705547366929</v>
      </c>
      <c r="AI23" s="481">
        <v>0.26479569263714092</v>
      </c>
      <c r="AJ23" s="482">
        <v>-4.3855005486562701</v>
      </c>
      <c r="AK23" s="483">
        <v>0</v>
      </c>
      <c r="AL23" s="483">
        <v>0</v>
      </c>
      <c r="AM23" s="483">
        <v>0</v>
      </c>
      <c r="AN23" s="483">
        <v>-9.51105244234083</v>
      </c>
      <c r="AO23" s="483">
        <v>0</v>
      </c>
      <c r="AP23" s="483">
        <v>0.34851767488518992</v>
      </c>
      <c r="AQ23" s="483">
        <v>-2.9259842694800999E-2</v>
      </c>
      <c r="AR23" s="483">
        <v>0</v>
      </c>
      <c r="AS23" s="484">
        <v>0</v>
      </c>
      <c r="AT23" s="485">
        <v>0</v>
      </c>
      <c r="AU23" s="486">
        <v>0</v>
      </c>
      <c r="AV23" s="487">
        <v>0</v>
      </c>
      <c r="AW23" s="485">
        <v>0</v>
      </c>
      <c r="AX23" s="486">
        <v>0</v>
      </c>
      <c r="AY23" s="487">
        <v>0</v>
      </c>
      <c r="AZ23" s="477">
        <v>2.8312051669155194</v>
      </c>
      <c r="BA23" s="478">
        <v>3.6290678747179101</v>
      </c>
      <c r="BB23" s="479">
        <v>216.79174683113561</v>
      </c>
      <c r="BC23" s="458">
        <v>0</v>
      </c>
      <c r="BD23" s="458">
        <v>0</v>
      </c>
      <c r="BE23" s="459">
        <v>0</v>
      </c>
      <c r="BF23" s="460">
        <v>0</v>
      </c>
      <c r="BG23" s="461">
        <v>0</v>
      </c>
      <c r="BH23" s="461">
        <v>0</v>
      </c>
      <c r="BI23" s="461">
        <v>0</v>
      </c>
      <c r="BJ23" s="461">
        <v>0</v>
      </c>
      <c r="BK23" s="462">
        <v>0</v>
      </c>
      <c r="BL23" s="460">
        <v>0</v>
      </c>
      <c r="BM23" s="461">
        <v>0</v>
      </c>
      <c r="BN23" s="461">
        <v>0</v>
      </c>
      <c r="BO23" s="461">
        <v>0</v>
      </c>
      <c r="BP23" s="461">
        <v>0</v>
      </c>
      <c r="BQ23" s="463">
        <v>0</v>
      </c>
      <c r="BR23" s="464">
        <v>0</v>
      </c>
      <c r="BS23" s="465">
        <v>0</v>
      </c>
      <c r="BT23" s="465">
        <v>0</v>
      </c>
      <c r="BU23" s="466">
        <v>0</v>
      </c>
      <c r="BV23" s="464">
        <v>0</v>
      </c>
      <c r="BW23" s="465">
        <v>0</v>
      </c>
      <c r="BX23" s="465">
        <v>0</v>
      </c>
      <c r="BY23" s="465">
        <v>0</v>
      </c>
      <c r="BZ23" s="465">
        <v>0</v>
      </c>
      <c r="CA23" s="465">
        <v>269.6591990245816</v>
      </c>
      <c r="CB23" s="466">
        <v>0</v>
      </c>
      <c r="CC23" s="464">
        <v>0</v>
      </c>
      <c r="CD23" s="465">
        <v>0</v>
      </c>
      <c r="CE23" s="465">
        <v>0</v>
      </c>
      <c r="CF23" s="465">
        <v>0</v>
      </c>
      <c r="CG23" s="465">
        <v>0</v>
      </c>
      <c r="CH23" s="465">
        <v>0</v>
      </c>
      <c r="CI23" s="466">
        <v>0</v>
      </c>
      <c r="CJ23" s="467">
        <v>69.247824746192677</v>
      </c>
      <c r="CK23" s="468">
        <v>9.0802483862253064E-2</v>
      </c>
      <c r="CL23" s="468">
        <v>-15.753075081845875</v>
      </c>
      <c r="CM23" s="469">
        <v>0.2931987895037429</v>
      </c>
      <c r="CN23" s="467">
        <v>69.825118941795594</v>
      </c>
      <c r="CO23" s="469">
        <v>5.2674697421690073</v>
      </c>
      <c r="CP23" s="488">
        <v>0</v>
      </c>
      <c r="CQ23" s="471">
        <v>15.194000000000001</v>
      </c>
      <c r="CR23" s="472">
        <v>-6.8446000000000002E-3</v>
      </c>
      <c r="CS23" s="472">
        <v>0</v>
      </c>
      <c r="CT23" s="472">
        <v>0</v>
      </c>
      <c r="CU23" s="472">
        <v>0</v>
      </c>
      <c r="CV23" s="472">
        <v>23.15</v>
      </c>
      <c r="CW23" s="472">
        <v>134.86000000000001</v>
      </c>
      <c r="CX23" s="473">
        <v>100</v>
      </c>
      <c r="CY23" s="471">
        <v>1.0677000000000001</v>
      </c>
      <c r="CZ23" s="472">
        <v>0.27188000000000001</v>
      </c>
      <c r="DA23" s="472">
        <v>425.12</v>
      </c>
      <c r="DB23" s="472">
        <v>0.28688000000000002</v>
      </c>
      <c r="DC23" s="472">
        <v>0</v>
      </c>
      <c r="DD23" s="472">
        <v>134.86000000000001</v>
      </c>
      <c r="DE23" s="472">
        <v>425.12</v>
      </c>
      <c r="DF23" s="473">
        <v>105</v>
      </c>
      <c r="DG23" s="471">
        <v>66.343000000000004</v>
      </c>
      <c r="DH23" s="472">
        <v>-4363.2</v>
      </c>
      <c r="DI23" s="472">
        <v>-7.0460000000000003</v>
      </c>
      <c r="DJ23" s="474">
        <v>9.4508999999999996E-6</v>
      </c>
      <c r="DK23" s="472">
        <v>2</v>
      </c>
      <c r="DL23" s="472">
        <v>134.86000000000001</v>
      </c>
      <c r="DM23" s="472">
        <v>425.12</v>
      </c>
      <c r="DN23" s="473">
        <v>101</v>
      </c>
      <c r="DO23" s="471">
        <v>36238000</v>
      </c>
      <c r="DP23" s="472">
        <v>0.8337</v>
      </c>
      <c r="DQ23" s="472">
        <v>-0.82274000000000003</v>
      </c>
      <c r="DR23" s="472">
        <v>0.39612999999999998</v>
      </c>
      <c r="DS23" s="472">
        <v>0</v>
      </c>
      <c r="DT23" s="472">
        <v>134.86000000000001</v>
      </c>
      <c r="DU23" s="472">
        <v>425.12</v>
      </c>
      <c r="DV23" s="473">
        <v>106</v>
      </c>
      <c r="DW23" s="471">
        <v>-18858</v>
      </c>
      <c r="DX23" s="472">
        <v>1506.5</v>
      </c>
      <c r="DY23" s="472">
        <v>-9.8873999999999995</v>
      </c>
      <c r="DZ23" s="472">
        <v>3.2072999999999997E-2</v>
      </c>
      <c r="EA23" s="474">
        <v>1.6745999999999999E-5</v>
      </c>
      <c r="EB23" s="472">
        <v>22.35</v>
      </c>
      <c r="EC23" s="472">
        <v>103.54</v>
      </c>
      <c r="ED23" s="473">
        <v>100</v>
      </c>
      <c r="EE23" s="471">
        <v>64.73</v>
      </c>
      <c r="EF23" s="472">
        <v>161840</v>
      </c>
      <c r="EG23" s="472">
        <v>983.41</v>
      </c>
      <c r="EH23" s="472">
        <v>-1431.5</v>
      </c>
      <c r="EI23" s="472">
        <v>0</v>
      </c>
      <c r="EJ23" s="472">
        <v>134.86000000000001</v>
      </c>
      <c r="EK23" s="472">
        <v>420</v>
      </c>
      <c r="EL23" s="473">
        <v>114</v>
      </c>
      <c r="EM23" s="471">
        <v>71340</v>
      </c>
      <c r="EN23" s="472">
        <v>243000</v>
      </c>
      <c r="EO23" s="472">
        <v>1630</v>
      </c>
      <c r="EP23" s="472">
        <v>150330</v>
      </c>
      <c r="EQ23" s="472">
        <v>730.42</v>
      </c>
      <c r="ER23" s="472">
        <v>200</v>
      </c>
      <c r="ES23" s="472">
        <v>1500</v>
      </c>
      <c r="ET23" s="473">
        <v>107</v>
      </c>
      <c r="EU23" s="471">
        <v>0.14899999999999999</v>
      </c>
      <c r="EV23" s="472">
        <v>-143</v>
      </c>
      <c r="EW23" s="472">
        <v>-10010000</v>
      </c>
      <c r="EX23" s="474">
        <v>-3.03E+18</v>
      </c>
      <c r="EY23" s="474">
        <v>4.03E+20</v>
      </c>
      <c r="EZ23" s="472">
        <v>212.58</v>
      </c>
      <c r="FA23" s="472">
        <v>1500</v>
      </c>
      <c r="FB23" s="473">
        <v>104</v>
      </c>
      <c r="FC23" s="471">
        <v>-7.2470999999999997</v>
      </c>
      <c r="FD23" s="472">
        <v>534.82000000000005</v>
      </c>
      <c r="FE23" s="472">
        <v>-0.57469000000000003</v>
      </c>
      <c r="FF23" s="474">
        <v>-4.6624999999999997E-27</v>
      </c>
      <c r="FG23" s="472">
        <v>10</v>
      </c>
      <c r="FH23" s="472">
        <v>134.86000000000001</v>
      </c>
      <c r="FI23" s="472">
        <v>420</v>
      </c>
      <c r="FJ23" s="473">
        <v>101</v>
      </c>
      <c r="FK23" s="475">
        <v>2.2980000000000001E-7</v>
      </c>
      <c r="FL23" s="472">
        <v>0.69442000000000004</v>
      </c>
      <c r="FM23" s="472">
        <v>227.66</v>
      </c>
      <c r="FN23" s="472">
        <v>-14610</v>
      </c>
      <c r="FO23" s="472">
        <v>0</v>
      </c>
      <c r="FP23" s="472">
        <v>134.86000000000001</v>
      </c>
      <c r="FQ23" s="472">
        <v>1000</v>
      </c>
      <c r="FR23" s="473">
        <v>102</v>
      </c>
      <c r="FS23" s="471">
        <v>0.27349000000000001</v>
      </c>
      <c r="FT23" s="472">
        <v>-7.1266999999999999E-4</v>
      </c>
      <c r="FU23" s="474">
        <v>5.1554999999999998E-7</v>
      </c>
      <c r="FV23" s="472">
        <v>0</v>
      </c>
      <c r="FW23" s="472">
        <v>0</v>
      </c>
      <c r="FX23" s="472">
        <v>134.86000000000001</v>
      </c>
      <c r="FY23" s="472">
        <v>400</v>
      </c>
      <c r="FZ23" s="473">
        <v>100</v>
      </c>
      <c r="GA23" s="471">
        <v>5.1094000000000001E-2</v>
      </c>
      <c r="GB23" s="472">
        <v>0.45252999999999999</v>
      </c>
      <c r="GC23" s="472">
        <v>5455.5</v>
      </c>
      <c r="GD23" s="472">
        <v>1979800</v>
      </c>
      <c r="GE23" s="472">
        <v>0</v>
      </c>
      <c r="GF23" s="472">
        <v>272.64999999999998</v>
      </c>
      <c r="GG23" s="472">
        <v>1000</v>
      </c>
      <c r="GH23" s="473">
        <v>102</v>
      </c>
      <c r="GI23" s="471">
        <v>5.1959999999999999E-2</v>
      </c>
      <c r="GJ23" s="472">
        <v>1.2181</v>
      </c>
      <c r="GK23" s="472">
        <v>0</v>
      </c>
      <c r="GL23" s="472">
        <v>0</v>
      </c>
      <c r="GM23" s="472">
        <v>0</v>
      </c>
      <c r="GN23" s="472">
        <v>134.86000000000001</v>
      </c>
      <c r="GO23" s="472">
        <v>425.12</v>
      </c>
      <c r="GP23" s="473">
        <v>106</v>
      </c>
      <c r="GQ23" s="471" t="e">
        <v>#N/A</v>
      </c>
      <c r="GR23" s="472" t="e">
        <v>#N/A</v>
      </c>
      <c r="GS23" s="472" t="e">
        <v>#N/A</v>
      </c>
      <c r="GT23" s="472" t="e">
        <v>#N/A</v>
      </c>
      <c r="GU23" s="472" t="e">
        <v>#N/A</v>
      </c>
      <c r="GV23" s="473" t="e">
        <v>#N/A</v>
      </c>
    </row>
    <row r="24" spans="1:204" ht="15.75">
      <c r="A24" s="304">
        <v>8</v>
      </c>
      <c r="B24" s="349" t="str">
        <v>Sat</v>
      </c>
      <c r="C24" s="392">
        <v>54.743762635768164</v>
      </c>
      <c r="D24" s="393">
        <v>63.600576076955456</v>
      </c>
      <c r="E24" s="394">
        <v>0</v>
      </c>
      <c r="F24" s="395">
        <v>0</v>
      </c>
      <c r="G24" s="396"/>
      <c r="H24" s="396"/>
      <c r="I24" s="396"/>
      <c r="J24" s="396"/>
      <c r="K24" s="396"/>
      <c r="L24" s="397"/>
      <c r="M24" s="304">
        <v>8</v>
      </c>
      <c r="N24" s="439">
        <v>55</v>
      </c>
      <c r="O24" s="440" t="s">
        <v>506</v>
      </c>
      <c r="P24" s="349" t="s">
        <v>507</v>
      </c>
      <c r="Q24" s="441" t="s">
        <v>507</v>
      </c>
      <c r="R24" s="401" t="s">
        <v>508</v>
      </c>
      <c r="S24" s="442">
        <v>211.76444467091218</v>
      </c>
      <c r="T24" s="443">
        <v>0.11073486511432844</v>
      </c>
      <c r="U24" s="443">
        <v>0.82878770430324744</v>
      </c>
      <c r="V24" s="443">
        <v>137.79599999999999</v>
      </c>
      <c r="W24" s="443">
        <v>18.073899999999998</v>
      </c>
      <c r="X24" s="443">
        <v>229.33</v>
      </c>
      <c r="Y24" s="443">
        <v>442.53</v>
      </c>
      <c r="Z24" s="443">
        <v>229.33</v>
      </c>
      <c r="AA24" s="476">
        <v>7.9734466349999988E-6</v>
      </c>
      <c r="AB24" s="443">
        <v>-13800</v>
      </c>
      <c r="AC24" s="443">
        <v>117100</v>
      </c>
      <c r="AD24" s="444">
        <v>396.1</v>
      </c>
      <c r="AE24" s="480">
        <v>736.77031768338975</v>
      </c>
      <c r="AF24" s="447">
        <v>17.336971308403729</v>
      </c>
      <c r="AG24" s="447">
        <v>905.25189061978233</v>
      </c>
      <c r="AH24" s="447">
        <v>0.25624268544529216</v>
      </c>
      <c r="AI24" s="481">
        <v>0.64490765080798151</v>
      </c>
      <c r="AJ24" s="482">
        <v>70</v>
      </c>
      <c r="AK24" s="483">
        <v>0</v>
      </c>
      <c r="AL24" s="483">
        <v>0</v>
      </c>
      <c r="AM24" s="483">
        <v>0</v>
      </c>
      <c r="AN24" s="483">
        <v>35</v>
      </c>
      <c r="AO24" s="483">
        <v>0</v>
      </c>
      <c r="AP24" s="483">
        <v>40.121968996849155</v>
      </c>
      <c r="AQ24" s="483">
        <v>4.4145937967281501E-2</v>
      </c>
      <c r="AR24" s="483">
        <v>0</v>
      </c>
      <c r="AS24" s="484">
        <v>0</v>
      </c>
      <c r="AT24" s="485">
        <v>0</v>
      </c>
      <c r="AU24" s="486">
        <v>0</v>
      </c>
      <c r="AV24" s="487">
        <v>0</v>
      </c>
      <c r="AW24" s="485">
        <v>0</v>
      </c>
      <c r="AX24" s="486">
        <v>0</v>
      </c>
      <c r="AY24" s="487">
        <v>0</v>
      </c>
      <c r="AZ24" s="477">
        <v>5.9159774779640051</v>
      </c>
      <c r="BA24" s="478">
        <v>3.9334934187086201</v>
      </c>
      <c r="BB24" s="479">
        <v>270.71774618413076</v>
      </c>
      <c r="BC24" s="458">
        <v>0</v>
      </c>
      <c r="BD24" s="458">
        <v>0</v>
      </c>
      <c r="BE24" s="459">
        <v>0</v>
      </c>
      <c r="BF24" s="460">
        <v>0</v>
      </c>
      <c r="BG24" s="461">
        <v>0</v>
      </c>
      <c r="BH24" s="461">
        <v>0</v>
      </c>
      <c r="BI24" s="461">
        <v>0</v>
      </c>
      <c r="BJ24" s="461">
        <v>0</v>
      </c>
      <c r="BK24" s="462">
        <v>0</v>
      </c>
      <c r="BL24" s="460">
        <v>0</v>
      </c>
      <c r="BM24" s="461">
        <v>0</v>
      </c>
      <c r="BN24" s="461">
        <v>0</v>
      </c>
      <c r="BO24" s="461">
        <v>0</v>
      </c>
      <c r="BP24" s="461">
        <v>0</v>
      </c>
      <c r="BQ24" s="463">
        <v>0</v>
      </c>
      <c r="BR24" s="464">
        <v>0</v>
      </c>
      <c r="BS24" s="465">
        <v>0</v>
      </c>
      <c r="BT24" s="465">
        <v>0</v>
      </c>
      <c r="BU24" s="466">
        <v>0</v>
      </c>
      <c r="BV24" s="464">
        <v>0</v>
      </c>
      <c r="BW24" s="465">
        <v>0</v>
      </c>
      <c r="BX24" s="465">
        <v>0</v>
      </c>
      <c r="BY24" s="465">
        <v>0</v>
      </c>
      <c r="BZ24" s="465">
        <v>0</v>
      </c>
      <c r="CA24" s="465">
        <v>354.11060760304548</v>
      </c>
      <c r="CB24" s="466">
        <v>0</v>
      </c>
      <c r="CC24" s="464">
        <v>0</v>
      </c>
      <c r="CD24" s="465">
        <v>0</v>
      </c>
      <c r="CE24" s="465">
        <v>0</v>
      </c>
      <c r="CF24" s="465">
        <v>0</v>
      </c>
      <c r="CG24" s="465">
        <v>0</v>
      </c>
      <c r="CH24" s="465">
        <v>0</v>
      </c>
      <c r="CI24" s="466">
        <v>0</v>
      </c>
      <c r="CJ24" s="467">
        <v>71.488209471201529</v>
      </c>
      <c r="CK24" s="468">
        <v>9.0802483862253064E-2</v>
      </c>
      <c r="CL24" s="468">
        <v>-23.009644739308936</v>
      </c>
      <c r="CM24" s="469">
        <v>0.2931987895037429</v>
      </c>
      <c r="CN24" s="467">
        <v>143.57047315995786</v>
      </c>
      <c r="CO24" s="469">
        <v>-94.254330404068725</v>
      </c>
      <c r="CP24" s="488">
        <v>0</v>
      </c>
      <c r="CQ24" s="471">
        <v>13.061</v>
      </c>
      <c r="CR24" s="472">
        <v>-3.5713999999999999E-4</v>
      </c>
      <c r="CS24" s="472">
        <v>0</v>
      </c>
      <c r="CT24" s="472">
        <v>0</v>
      </c>
      <c r="CU24" s="472">
        <v>0</v>
      </c>
      <c r="CV24" s="472">
        <v>273.10000000000002</v>
      </c>
      <c r="CW24" s="472">
        <v>278.68</v>
      </c>
      <c r="CX24" s="473">
        <v>100</v>
      </c>
      <c r="CY24" s="471">
        <v>1.0162</v>
      </c>
      <c r="CZ24" s="472">
        <v>0.26550000000000001</v>
      </c>
      <c r="DA24" s="472">
        <v>562.16</v>
      </c>
      <c r="DB24" s="472">
        <v>0.28211999999999998</v>
      </c>
      <c r="DC24" s="472">
        <v>0</v>
      </c>
      <c r="DD24" s="472">
        <v>278.68</v>
      </c>
      <c r="DE24" s="472">
        <v>562.16</v>
      </c>
      <c r="DF24" s="473">
        <v>105</v>
      </c>
      <c r="DG24" s="471">
        <v>83.918000000000006</v>
      </c>
      <c r="DH24" s="472">
        <v>-6517.7</v>
      </c>
      <c r="DI24" s="472">
        <v>-9.3452999999999999</v>
      </c>
      <c r="DJ24" s="474">
        <v>7.1181999999999999E-6</v>
      </c>
      <c r="DK24" s="472">
        <v>2</v>
      </c>
      <c r="DL24" s="472">
        <v>278.68</v>
      </c>
      <c r="DM24" s="472">
        <v>562.16</v>
      </c>
      <c r="DN24" s="473">
        <v>101</v>
      </c>
      <c r="DO24" s="471">
        <v>47500000</v>
      </c>
      <c r="DP24" s="472">
        <v>0.45238</v>
      </c>
      <c r="DQ24" s="472">
        <v>5.3400000000000003E-2</v>
      </c>
      <c r="DR24" s="472">
        <v>-0.1181</v>
      </c>
      <c r="DS24" s="472">
        <v>0</v>
      </c>
      <c r="DT24" s="472">
        <v>278.68</v>
      </c>
      <c r="DU24" s="472">
        <v>562.16</v>
      </c>
      <c r="DV24" s="473">
        <v>106</v>
      </c>
      <c r="DW24" s="471">
        <v>7400</v>
      </c>
      <c r="DX24" s="472">
        <v>624.9</v>
      </c>
      <c r="DY24" s="472">
        <v>-2.6873999999999998</v>
      </c>
      <c r="DZ24" s="472">
        <v>7.3159999999999996E-3</v>
      </c>
      <c r="EA24" s="472">
        <v>0</v>
      </c>
      <c r="EB24" s="472">
        <v>40</v>
      </c>
      <c r="EC24" s="472">
        <v>278.68</v>
      </c>
      <c r="ED24" s="473">
        <v>100</v>
      </c>
      <c r="EE24" s="471">
        <v>129440</v>
      </c>
      <c r="EF24" s="472">
        <v>-169.5</v>
      </c>
      <c r="EG24" s="472">
        <v>0.64781</v>
      </c>
      <c r="EH24" s="472">
        <v>0</v>
      </c>
      <c r="EI24" s="472">
        <v>0</v>
      </c>
      <c r="EJ24" s="472">
        <v>278.68</v>
      </c>
      <c r="EK24" s="472">
        <v>353.24</v>
      </c>
      <c r="EL24" s="473">
        <v>100</v>
      </c>
      <c r="EM24" s="471">
        <v>44420</v>
      </c>
      <c r="EN24" s="472">
        <v>232050</v>
      </c>
      <c r="EO24" s="472">
        <v>1494.6</v>
      </c>
      <c r="EP24" s="472">
        <v>172130</v>
      </c>
      <c r="EQ24" s="472">
        <v>-678.15</v>
      </c>
      <c r="ER24" s="472">
        <v>200</v>
      </c>
      <c r="ES24" s="472">
        <v>1500</v>
      </c>
      <c r="ET24" s="473">
        <v>107</v>
      </c>
      <c r="EU24" s="471">
        <v>0.14380000000000001</v>
      </c>
      <c r="EV24" s="472">
        <v>-179.8</v>
      </c>
      <c r="EW24" s="472">
        <v>-24151000</v>
      </c>
      <c r="EX24" s="474">
        <v>-4E+17</v>
      </c>
      <c r="EY24" s="474">
        <v>-2.267E+21</v>
      </c>
      <c r="EZ24" s="472">
        <v>281.10000000000002</v>
      </c>
      <c r="FA24" s="472">
        <v>2810</v>
      </c>
      <c r="FB24" s="473">
        <v>104</v>
      </c>
      <c r="FC24" s="471">
        <v>-7.3703000000000003</v>
      </c>
      <c r="FD24" s="472">
        <v>1037.5999999999999</v>
      </c>
      <c r="FE24" s="472">
        <v>-0.61806000000000005</v>
      </c>
      <c r="FF24" s="474">
        <v>-1.1017000000000001E-28</v>
      </c>
      <c r="FG24" s="472">
        <v>10</v>
      </c>
      <c r="FH24" s="472">
        <v>278.68</v>
      </c>
      <c r="FI24" s="472">
        <v>545</v>
      </c>
      <c r="FJ24" s="473">
        <v>101</v>
      </c>
      <c r="FK24" s="475">
        <v>3.1340000000000001E-8</v>
      </c>
      <c r="FL24" s="472">
        <v>0.96760000000000002</v>
      </c>
      <c r="FM24" s="472">
        <v>7.9</v>
      </c>
      <c r="FN24" s="472">
        <v>0</v>
      </c>
      <c r="FO24" s="472">
        <v>0</v>
      </c>
      <c r="FP24" s="472">
        <v>278.68</v>
      </c>
      <c r="FQ24" s="472">
        <v>1000</v>
      </c>
      <c r="FR24" s="473">
        <v>102</v>
      </c>
      <c r="FS24" s="471">
        <v>0.23910000000000001</v>
      </c>
      <c r="FT24" s="472">
        <v>-3.1849999999999999E-4</v>
      </c>
      <c r="FU24" s="472">
        <v>0</v>
      </c>
      <c r="FV24" s="472">
        <v>0</v>
      </c>
      <c r="FW24" s="472">
        <v>0</v>
      </c>
      <c r="FX24" s="472">
        <v>273.10000000000002</v>
      </c>
      <c r="FY24" s="472">
        <v>413.1</v>
      </c>
      <c r="FZ24" s="473">
        <v>100</v>
      </c>
      <c r="GA24" s="471">
        <v>1.6520000000000001E-5</v>
      </c>
      <c r="GB24" s="472">
        <v>1.3117000000000001</v>
      </c>
      <c r="GC24" s="472">
        <v>491</v>
      </c>
      <c r="GD24" s="472">
        <v>0</v>
      </c>
      <c r="GE24" s="472">
        <v>0</v>
      </c>
      <c r="GF24" s="472">
        <v>339.15</v>
      </c>
      <c r="GG24" s="472">
        <v>1000</v>
      </c>
      <c r="GH24" s="473">
        <v>102</v>
      </c>
      <c r="GI24" s="471">
        <v>7.195E-2</v>
      </c>
      <c r="GJ24" s="472">
        <v>1.2388999999999999</v>
      </c>
      <c r="GK24" s="472">
        <v>0</v>
      </c>
      <c r="GL24" s="472">
        <v>0</v>
      </c>
      <c r="GM24" s="472">
        <v>0</v>
      </c>
      <c r="GN24" s="472">
        <v>278.68</v>
      </c>
      <c r="GO24" s="472">
        <v>562.16</v>
      </c>
      <c r="GP24" s="473">
        <v>106</v>
      </c>
      <c r="GQ24" s="471" t="e">
        <v>#N/A</v>
      </c>
      <c r="GR24" s="472" t="e">
        <v>#N/A</v>
      </c>
      <c r="GS24" s="472" t="e">
        <v>#N/A</v>
      </c>
      <c r="GT24" s="472" t="e">
        <v>#N/A</v>
      </c>
      <c r="GU24" s="472" t="e">
        <v>#N/A</v>
      </c>
      <c r="GV24" s="473" t="e">
        <v>#N/A</v>
      </c>
    </row>
    <row r="25" spans="1:204" ht="15.75">
      <c r="A25" s="304">
        <v>9</v>
      </c>
      <c r="B25" s="349" t="str">
        <v>Arom</v>
      </c>
      <c r="C25" s="392">
        <v>27.888331908787556</v>
      </c>
      <c r="D25" s="393">
        <v>32.400293473165981</v>
      </c>
      <c r="E25" s="394">
        <v>0</v>
      </c>
      <c r="F25" s="395">
        <v>0</v>
      </c>
      <c r="G25" s="396"/>
      <c r="H25" s="396"/>
      <c r="I25" s="396"/>
      <c r="J25" s="396"/>
      <c r="K25" s="396"/>
      <c r="L25" s="397"/>
      <c r="M25" s="304">
        <v>9</v>
      </c>
      <c r="N25" s="439">
        <v>55</v>
      </c>
      <c r="O25" s="440" t="s">
        <v>506</v>
      </c>
      <c r="P25" s="349" t="s">
        <v>414</v>
      </c>
      <c r="Q25" s="441" t="s">
        <v>414</v>
      </c>
      <c r="R25" s="401" t="s">
        <v>508</v>
      </c>
      <c r="S25" s="442">
        <v>303.06143714217683</v>
      </c>
      <c r="T25" s="443">
        <v>0.22091723690858733</v>
      </c>
      <c r="U25" s="443">
        <v>0.94989369452969019</v>
      </c>
      <c r="V25" s="443">
        <v>137.79599999999999</v>
      </c>
      <c r="W25" s="443">
        <v>18.073899999999998</v>
      </c>
      <c r="X25" s="443">
        <v>229.33</v>
      </c>
      <c r="Y25" s="443">
        <v>442.53</v>
      </c>
      <c r="Z25" s="443">
        <v>229.33</v>
      </c>
      <c r="AA25" s="476">
        <v>7.9734466349999988E-6</v>
      </c>
      <c r="AB25" s="443">
        <v>-13800</v>
      </c>
      <c r="AC25" s="443">
        <v>117100</v>
      </c>
      <c r="AD25" s="444">
        <v>396.1</v>
      </c>
      <c r="AE25" s="480">
        <v>881.61853030749091</v>
      </c>
      <c r="AF25" s="447">
        <v>14.933604444433268</v>
      </c>
      <c r="AG25" s="447">
        <v>1236.7098064747263</v>
      </c>
      <c r="AH25" s="447">
        <v>0.25174538310172079</v>
      </c>
      <c r="AI25" s="481">
        <v>0.82162503298515699</v>
      </c>
      <c r="AJ25" s="482">
        <v>70</v>
      </c>
      <c r="AK25" s="483">
        <v>0</v>
      </c>
      <c r="AL25" s="483">
        <v>0</v>
      </c>
      <c r="AM25" s="483">
        <v>0</v>
      </c>
      <c r="AN25" s="483">
        <v>35</v>
      </c>
      <c r="AO25" s="483">
        <v>0</v>
      </c>
      <c r="AP25" s="483">
        <v>78.468262992306805</v>
      </c>
      <c r="AQ25" s="483">
        <v>4.8382688414929403E-2</v>
      </c>
      <c r="AR25" s="483">
        <v>0</v>
      </c>
      <c r="AS25" s="484">
        <v>0</v>
      </c>
      <c r="AT25" s="485">
        <v>0</v>
      </c>
      <c r="AU25" s="486">
        <v>0</v>
      </c>
      <c r="AV25" s="487">
        <v>0</v>
      </c>
      <c r="AW25" s="485">
        <v>0</v>
      </c>
      <c r="AX25" s="486">
        <v>0</v>
      </c>
      <c r="AY25" s="487">
        <v>0</v>
      </c>
      <c r="AZ25" s="477">
        <v>7.1242770016958517</v>
      </c>
      <c r="BA25" s="478">
        <v>4.0441096951188209</v>
      </c>
      <c r="BB25" s="479">
        <v>304.4027305490651</v>
      </c>
      <c r="BC25" s="458">
        <v>0</v>
      </c>
      <c r="BD25" s="458">
        <v>0</v>
      </c>
      <c r="BE25" s="459">
        <v>0</v>
      </c>
      <c r="BF25" s="460">
        <v>0</v>
      </c>
      <c r="BG25" s="461">
        <v>0</v>
      </c>
      <c r="BH25" s="461">
        <v>0</v>
      </c>
      <c r="BI25" s="461">
        <v>0</v>
      </c>
      <c r="BJ25" s="461">
        <v>0</v>
      </c>
      <c r="BK25" s="462">
        <v>0</v>
      </c>
      <c r="BL25" s="460">
        <v>0</v>
      </c>
      <c r="BM25" s="461">
        <v>0</v>
      </c>
      <c r="BN25" s="461">
        <v>0</v>
      </c>
      <c r="BO25" s="461">
        <v>0</v>
      </c>
      <c r="BP25" s="461">
        <v>0</v>
      </c>
      <c r="BQ25" s="463">
        <v>0</v>
      </c>
      <c r="BR25" s="464">
        <v>0</v>
      </c>
      <c r="BS25" s="465">
        <v>0</v>
      </c>
      <c r="BT25" s="465">
        <v>0</v>
      </c>
      <c r="BU25" s="466">
        <v>0</v>
      </c>
      <c r="BV25" s="464">
        <v>0</v>
      </c>
      <c r="BW25" s="465">
        <v>0</v>
      </c>
      <c r="BX25" s="465">
        <v>0</v>
      </c>
      <c r="BY25" s="465">
        <v>0</v>
      </c>
      <c r="BZ25" s="465">
        <v>0</v>
      </c>
      <c r="CA25" s="465">
        <v>354.11060760304548</v>
      </c>
      <c r="CB25" s="466">
        <v>0</v>
      </c>
      <c r="CC25" s="464">
        <v>0</v>
      </c>
      <c r="CD25" s="465">
        <v>0</v>
      </c>
      <c r="CE25" s="465">
        <v>0</v>
      </c>
      <c r="CF25" s="465">
        <v>0</v>
      </c>
      <c r="CG25" s="465">
        <v>0</v>
      </c>
      <c r="CH25" s="465">
        <v>0</v>
      </c>
      <c r="CI25" s="466">
        <v>0</v>
      </c>
      <c r="CJ25" s="467">
        <v>75.140846108085952</v>
      </c>
      <c r="CK25" s="468">
        <v>9.0802483862253064E-2</v>
      </c>
      <c r="CL25" s="468">
        <v>-25.929996506644581</v>
      </c>
      <c r="CM25" s="469">
        <v>0.2931987895037429</v>
      </c>
      <c r="CN25" s="467">
        <v>149.84995422220163</v>
      </c>
      <c r="CO25" s="469">
        <v>-103.50104744517654</v>
      </c>
      <c r="CP25" s="488">
        <v>0</v>
      </c>
      <c r="CQ25" s="471">
        <v>13.061</v>
      </c>
      <c r="CR25" s="472">
        <v>-3.5713999999999999E-4</v>
      </c>
      <c r="CS25" s="472">
        <v>0</v>
      </c>
      <c r="CT25" s="472">
        <v>0</v>
      </c>
      <c r="CU25" s="472">
        <v>0</v>
      </c>
      <c r="CV25" s="472">
        <v>273.10000000000002</v>
      </c>
      <c r="CW25" s="472">
        <v>278.68</v>
      </c>
      <c r="CX25" s="473">
        <v>100</v>
      </c>
      <c r="CY25" s="471">
        <v>1.0162</v>
      </c>
      <c r="CZ25" s="472">
        <v>0.26550000000000001</v>
      </c>
      <c r="DA25" s="472">
        <v>562.16</v>
      </c>
      <c r="DB25" s="472">
        <v>0.28211999999999998</v>
      </c>
      <c r="DC25" s="472">
        <v>0</v>
      </c>
      <c r="DD25" s="472">
        <v>278.68</v>
      </c>
      <c r="DE25" s="472">
        <v>562.16</v>
      </c>
      <c r="DF25" s="473">
        <v>105</v>
      </c>
      <c r="DG25" s="471">
        <v>83.918000000000006</v>
      </c>
      <c r="DH25" s="472">
        <v>-6517.7</v>
      </c>
      <c r="DI25" s="472">
        <v>-9.3452999999999999</v>
      </c>
      <c r="DJ25" s="474">
        <v>7.1181999999999999E-6</v>
      </c>
      <c r="DK25" s="472">
        <v>2</v>
      </c>
      <c r="DL25" s="472">
        <v>278.68</v>
      </c>
      <c r="DM25" s="472">
        <v>562.16</v>
      </c>
      <c r="DN25" s="473">
        <v>101</v>
      </c>
      <c r="DO25" s="471">
        <v>47500000</v>
      </c>
      <c r="DP25" s="472">
        <v>0.45238</v>
      </c>
      <c r="DQ25" s="472">
        <v>5.3400000000000003E-2</v>
      </c>
      <c r="DR25" s="472">
        <v>-0.1181</v>
      </c>
      <c r="DS25" s="472">
        <v>0</v>
      </c>
      <c r="DT25" s="472">
        <v>278.68</v>
      </c>
      <c r="DU25" s="472">
        <v>562.16</v>
      </c>
      <c r="DV25" s="473">
        <v>106</v>
      </c>
      <c r="DW25" s="471">
        <v>7400</v>
      </c>
      <c r="DX25" s="472">
        <v>624.9</v>
      </c>
      <c r="DY25" s="472">
        <v>-2.6873999999999998</v>
      </c>
      <c r="DZ25" s="472">
        <v>7.3159999999999996E-3</v>
      </c>
      <c r="EA25" s="472">
        <v>0</v>
      </c>
      <c r="EB25" s="472">
        <v>40</v>
      </c>
      <c r="EC25" s="472">
        <v>278.68</v>
      </c>
      <c r="ED25" s="473">
        <v>100</v>
      </c>
      <c r="EE25" s="471">
        <v>129440</v>
      </c>
      <c r="EF25" s="472">
        <v>-169.5</v>
      </c>
      <c r="EG25" s="472">
        <v>0.64781</v>
      </c>
      <c r="EH25" s="472">
        <v>0</v>
      </c>
      <c r="EI25" s="472">
        <v>0</v>
      </c>
      <c r="EJ25" s="472">
        <v>278.68</v>
      </c>
      <c r="EK25" s="472">
        <v>353.24</v>
      </c>
      <c r="EL25" s="473">
        <v>100</v>
      </c>
      <c r="EM25" s="471">
        <v>44420</v>
      </c>
      <c r="EN25" s="472">
        <v>232050</v>
      </c>
      <c r="EO25" s="472">
        <v>1494.6</v>
      </c>
      <c r="EP25" s="472">
        <v>172130</v>
      </c>
      <c r="EQ25" s="472">
        <v>-678.15</v>
      </c>
      <c r="ER25" s="472">
        <v>200</v>
      </c>
      <c r="ES25" s="472">
        <v>1500</v>
      </c>
      <c r="ET25" s="473">
        <v>107</v>
      </c>
      <c r="EU25" s="471">
        <v>0.14380000000000001</v>
      </c>
      <c r="EV25" s="472">
        <v>-179.8</v>
      </c>
      <c r="EW25" s="472">
        <v>-24151000</v>
      </c>
      <c r="EX25" s="474">
        <v>-4E+17</v>
      </c>
      <c r="EY25" s="474">
        <v>-2.267E+21</v>
      </c>
      <c r="EZ25" s="472">
        <v>281.10000000000002</v>
      </c>
      <c r="FA25" s="472">
        <v>2810</v>
      </c>
      <c r="FB25" s="473">
        <v>104</v>
      </c>
      <c r="FC25" s="471">
        <v>-7.3703000000000003</v>
      </c>
      <c r="FD25" s="472">
        <v>1037.5999999999999</v>
      </c>
      <c r="FE25" s="472">
        <v>-0.61806000000000005</v>
      </c>
      <c r="FF25" s="474">
        <v>-1.1017000000000001E-28</v>
      </c>
      <c r="FG25" s="472">
        <v>10</v>
      </c>
      <c r="FH25" s="472">
        <v>278.68</v>
      </c>
      <c r="FI25" s="472">
        <v>545</v>
      </c>
      <c r="FJ25" s="473">
        <v>101</v>
      </c>
      <c r="FK25" s="475">
        <v>3.1340000000000001E-8</v>
      </c>
      <c r="FL25" s="472">
        <v>0.96760000000000002</v>
      </c>
      <c r="FM25" s="472">
        <v>7.9</v>
      </c>
      <c r="FN25" s="472">
        <v>0</v>
      </c>
      <c r="FO25" s="472">
        <v>0</v>
      </c>
      <c r="FP25" s="472">
        <v>278.68</v>
      </c>
      <c r="FQ25" s="472">
        <v>1000</v>
      </c>
      <c r="FR25" s="473">
        <v>102</v>
      </c>
      <c r="FS25" s="471">
        <v>0.23910000000000001</v>
      </c>
      <c r="FT25" s="472">
        <v>-3.1849999999999999E-4</v>
      </c>
      <c r="FU25" s="472">
        <v>0</v>
      </c>
      <c r="FV25" s="472">
        <v>0</v>
      </c>
      <c r="FW25" s="472">
        <v>0</v>
      </c>
      <c r="FX25" s="472">
        <v>273.10000000000002</v>
      </c>
      <c r="FY25" s="472">
        <v>413.1</v>
      </c>
      <c r="FZ25" s="473">
        <v>100</v>
      </c>
      <c r="GA25" s="471">
        <v>1.6520000000000001E-5</v>
      </c>
      <c r="GB25" s="472">
        <v>1.3117000000000001</v>
      </c>
      <c r="GC25" s="472">
        <v>491</v>
      </c>
      <c r="GD25" s="472">
        <v>0</v>
      </c>
      <c r="GE25" s="472">
        <v>0</v>
      </c>
      <c r="GF25" s="472">
        <v>339.15</v>
      </c>
      <c r="GG25" s="472">
        <v>1000</v>
      </c>
      <c r="GH25" s="473">
        <v>102</v>
      </c>
      <c r="GI25" s="471">
        <v>7.195E-2</v>
      </c>
      <c r="GJ25" s="472">
        <v>1.2388999999999999</v>
      </c>
      <c r="GK25" s="472">
        <v>0</v>
      </c>
      <c r="GL25" s="472">
        <v>0</v>
      </c>
      <c r="GM25" s="472">
        <v>0</v>
      </c>
      <c r="GN25" s="472">
        <v>278.68</v>
      </c>
      <c r="GO25" s="472">
        <v>562.16</v>
      </c>
      <c r="GP25" s="473">
        <v>106</v>
      </c>
      <c r="GQ25" s="471" t="e">
        <v>#N/A</v>
      </c>
      <c r="GR25" s="472" t="e">
        <v>#N/A</v>
      </c>
      <c r="GS25" s="472" t="e">
        <v>#N/A</v>
      </c>
      <c r="GT25" s="472" t="e">
        <v>#N/A</v>
      </c>
      <c r="GU25" s="472" t="e">
        <v>#N/A</v>
      </c>
      <c r="GV25" s="473" t="e">
        <v>#N/A</v>
      </c>
    </row>
    <row r="26" spans="1:204" ht="15.75">
      <c r="A26" s="304">
        <v>10</v>
      </c>
      <c r="B26" s="349" t="str">
        <v>Asph1</v>
      </c>
      <c r="C26" s="392">
        <v>1.7215019696782443</v>
      </c>
      <c r="D26" s="393">
        <v>2.0000181156275301</v>
      </c>
      <c r="E26" s="394">
        <v>0</v>
      </c>
      <c r="F26" s="395">
        <v>0</v>
      </c>
      <c r="G26" s="396"/>
      <c r="H26" s="396"/>
      <c r="I26" s="396"/>
      <c r="J26" s="396"/>
      <c r="K26" s="396"/>
      <c r="L26" s="397"/>
      <c r="M26" s="304">
        <v>10</v>
      </c>
      <c r="N26" s="439">
        <v>59</v>
      </c>
      <c r="O26" s="440" t="s">
        <v>509</v>
      </c>
      <c r="P26" s="349" t="s">
        <v>510</v>
      </c>
      <c r="Q26" s="441" t="s">
        <v>510</v>
      </c>
      <c r="R26" s="401" t="s">
        <v>37</v>
      </c>
      <c r="S26" s="442">
        <v>742.27465954131333</v>
      </c>
      <c r="T26" s="443">
        <v>0.29391626660838488</v>
      </c>
      <c r="U26" s="443">
        <v>1.1749818825384253</v>
      </c>
      <c r="V26" s="443">
        <v>167.078</v>
      </c>
      <c r="W26" s="443">
        <v>20.0671</v>
      </c>
      <c r="X26" s="443">
        <v>372.38</v>
      </c>
      <c r="Y26" s="443">
        <v>613.45000000000005</v>
      </c>
      <c r="Z26" s="443">
        <v>372.38</v>
      </c>
      <c r="AA26" s="476">
        <v>2.9042683425000001E-4</v>
      </c>
      <c r="AB26" s="443">
        <v>207100</v>
      </c>
      <c r="AC26" s="443">
        <v>308100</v>
      </c>
      <c r="AD26" s="444">
        <v>394.5</v>
      </c>
      <c r="AE26" s="480">
        <v>1298.1167195294481</v>
      </c>
      <c r="AF26" s="447">
        <v>8.8443293137226959</v>
      </c>
      <c r="AG26" s="447">
        <v>2807.0253168314248</v>
      </c>
      <c r="AH26" s="447">
        <v>0.23001883556531358</v>
      </c>
      <c r="AI26" s="481">
        <v>1.6416462455643259</v>
      </c>
      <c r="AJ26" s="482">
        <v>700</v>
      </c>
      <c r="AK26" s="483">
        <v>0</v>
      </c>
      <c r="AL26" s="483">
        <v>0</v>
      </c>
      <c r="AM26" s="483">
        <v>0</v>
      </c>
      <c r="AN26" s="483">
        <v>300</v>
      </c>
      <c r="AO26" s="483">
        <v>0</v>
      </c>
      <c r="AP26" s="483">
        <v>336.36578039202215</v>
      </c>
      <c r="AQ26" s="483">
        <v>8.5596870913367401E-2</v>
      </c>
      <c r="AR26" s="483">
        <v>0</v>
      </c>
      <c r="AS26" s="484">
        <v>0</v>
      </c>
      <c r="AT26" s="485">
        <v>0</v>
      </c>
      <c r="AU26" s="486">
        <v>0</v>
      </c>
      <c r="AV26" s="487">
        <v>0</v>
      </c>
      <c r="AW26" s="485">
        <v>0</v>
      </c>
      <c r="AX26" s="486">
        <v>0</v>
      </c>
      <c r="AY26" s="487">
        <v>0</v>
      </c>
      <c r="AZ26" s="477">
        <v>12.790672973743234</v>
      </c>
      <c r="BA26" s="478">
        <v>4.3082163098198807</v>
      </c>
      <c r="BB26" s="479">
        <v>361.02443614353194</v>
      </c>
      <c r="BC26" s="458">
        <v>0</v>
      </c>
      <c r="BD26" s="458">
        <v>0</v>
      </c>
      <c r="BE26" s="459">
        <v>0</v>
      </c>
      <c r="BF26" s="460">
        <v>0</v>
      </c>
      <c r="BG26" s="461">
        <v>0</v>
      </c>
      <c r="BH26" s="461">
        <v>0</v>
      </c>
      <c r="BI26" s="461">
        <v>0</v>
      </c>
      <c r="BJ26" s="461">
        <v>0</v>
      </c>
      <c r="BK26" s="462">
        <v>0</v>
      </c>
      <c r="BL26" s="460">
        <v>0</v>
      </c>
      <c r="BM26" s="461">
        <v>0</v>
      </c>
      <c r="BN26" s="461">
        <v>0</v>
      </c>
      <c r="BO26" s="461">
        <v>0</v>
      </c>
      <c r="BP26" s="461">
        <v>0</v>
      </c>
      <c r="BQ26" s="463">
        <v>0</v>
      </c>
      <c r="BR26" s="464">
        <v>0</v>
      </c>
      <c r="BS26" s="465">
        <v>0</v>
      </c>
      <c r="BT26" s="465">
        <v>0</v>
      </c>
      <c r="BU26" s="466">
        <v>0</v>
      </c>
      <c r="BV26" s="464">
        <v>0</v>
      </c>
      <c r="BW26" s="465">
        <v>0</v>
      </c>
      <c r="BX26" s="465">
        <v>0</v>
      </c>
      <c r="BY26" s="465">
        <v>0</v>
      </c>
      <c r="BZ26" s="465">
        <v>0</v>
      </c>
      <c r="CA26" s="465">
        <v>416.84433841188115</v>
      </c>
      <c r="CB26" s="466">
        <v>0</v>
      </c>
      <c r="CC26" s="464">
        <v>0</v>
      </c>
      <c r="CD26" s="465">
        <v>0</v>
      </c>
      <c r="CE26" s="465">
        <v>0</v>
      </c>
      <c r="CF26" s="465">
        <v>0</v>
      </c>
      <c r="CG26" s="465">
        <v>0</v>
      </c>
      <c r="CH26" s="465">
        <v>0</v>
      </c>
      <c r="CI26" s="466">
        <v>0</v>
      </c>
      <c r="CJ26" s="467">
        <v>77.753699343225819</v>
      </c>
      <c r="CK26" s="468">
        <v>9.0802483862253064E-2</v>
      </c>
      <c r="CL26" s="468">
        <v>-34.952676997867748</v>
      </c>
      <c r="CM26" s="469">
        <v>0.2931987895037429</v>
      </c>
      <c r="CN26" s="467">
        <v>158.65602300956161</v>
      </c>
      <c r="CO26" s="469">
        <v>-117.77546061162573</v>
      </c>
      <c r="CP26" s="488">
        <v>0</v>
      </c>
      <c r="CQ26" s="471">
        <v>7.1189999999999998</v>
      </c>
      <c r="CR26" s="472">
        <v>-1.786E-3</v>
      </c>
      <c r="CS26" s="472">
        <v>0</v>
      </c>
      <c r="CT26" s="472">
        <v>0</v>
      </c>
      <c r="CU26" s="472">
        <v>0</v>
      </c>
      <c r="CV26" s="472">
        <v>293.14999999999998</v>
      </c>
      <c r="CW26" s="472">
        <v>372.38</v>
      </c>
      <c r="CX26" s="473">
        <v>100</v>
      </c>
      <c r="CY26" s="471">
        <v>0.45550000000000002</v>
      </c>
      <c r="CZ26" s="472">
        <v>0.25228</v>
      </c>
      <c r="DA26" s="472">
        <v>869.25</v>
      </c>
      <c r="DB26" s="472">
        <v>0.24859999999999999</v>
      </c>
      <c r="DC26" s="472">
        <v>0</v>
      </c>
      <c r="DD26" s="472">
        <v>372.38</v>
      </c>
      <c r="DE26" s="472">
        <v>869.25</v>
      </c>
      <c r="DF26" s="473">
        <v>105</v>
      </c>
      <c r="DG26" s="471">
        <v>120.68</v>
      </c>
      <c r="DH26" s="472">
        <v>-13219</v>
      </c>
      <c r="DI26" s="472">
        <v>-13.935</v>
      </c>
      <c r="DJ26" s="474">
        <v>4.9143999999999999E-6</v>
      </c>
      <c r="DK26" s="472">
        <v>2</v>
      </c>
      <c r="DL26" s="472">
        <v>372.38</v>
      </c>
      <c r="DM26" s="472">
        <v>869.25</v>
      </c>
      <c r="DN26" s="473">
        <v>101</v>
      </c>
      <c r="DO26" s="471">
        <v>87919000</v>
      </c>
      <c r="DP26" s="472">
        <v>0.39792</v>
      </c>
      <c r="DQ26" s="472">
        <v>0</v>
      </c>
      <c r="DR26" s="472">
        <v>0</v>
      </c>
      <c r="DS26" s="472">
        <v>0</v>
      </c>
      <c r="DT26" s="472">
        <v>372.38</v>
      </c>
      <c r="DU26" s="472">
        <v>869.25</v>
      </c>
      <c r="DV26" s="473">
        <v>106</v>
      </c>
      <c r="DW26" s="471">
        <v>-6759.1</v>
      </c>
      <c r="DX26" s="472">
        <v>1376</v>
      </c>
      <c r="DY26" s="472">
        <v>-9.0216999999999992</v>
      </c>
      <c r="DZ26" s="472">
        <v>4.0749E-2</v>
      </c>
      <c r="EA26" s="474">
        <v>-6.0337999999999997E-5</v>
      </c>
      <c r="EB26" s="472">
        <v>20</v>
      </c>
      <c r="EC26" s="472">
        <v>270</v>
      </c>
      <c r="ED26" s="473">
        <v>100</v>
      </c>
      <c r="EE26" s="471">
        <v>103370</v>
      </c>
      <c r="EF26" s="472">
        <v>527.03</v>
      </c>
      <c r="EG26" s="472">
        <v>0</v>
      </c>
      <c r="EH26" s="472">
        <v>0</v>
      </c>
      <c r="EI26" s="472">
        <v>0</v>
      </c>
      <c r="EJ26" s="472">
        <v>372.39</v>
      </c>
      <c r="EK26" s="472">
        <v>500</v>
      </c>
      <c r="EL26" s="473">
        <v>100</v>
      </c>
      <c r="EM26" s="471">
        <v>93740</v>
      </c>
      <c r="EN26" s="472">
        <v>475800</v>
      </c>
      <c r="EO26" s="472">
        <v>1382</v>
      </c>
      <c r="EP26" s="472">
        <v>348500</v>
      </c>
      <c r="EQ26" s="472">
        <v>627.4</v>
      </c>
      <c r="ER26" s="472">
        <v>200</v>
      </c>
      <c r="ES26" s="472">
        <v>1500</v>
      </c>
      <c r="ET26" s="473">
        <v>107</v>
      </c>
      <c r="EU26" s="471">
        <v>0.42568</v>
      </c>
      <c r="EV26" s="472">
        <v>-671.56</v>
      </c>
      <c r="EW26" s="472">
        <v>-344880000</v>
      </c>
      <c r="EX26" s="474">
        <v>-4.0336999999999999E+21</v>
      </c>
      <c r="EY26" s="474">
        <v>1.1446E+23</v>
      </c>
      <c r="EZ26" s="472">
        <v>434.62</v>
      </c>
      <c r="FA26" s="472">
        <v>1500</v>
      </c>
      <c r="FB26" s="473">
        <v>104</v>
      </c>
      <c r="FC26" s="471">
        <v>-22.472000000000001</v>
      </c>
      <c r="FD26" s="472">
        <v>2566.9</v>
      </c>
      <c r="FE26" s="472">
        <v>1.5749</v>
      </c>
      <c r="FF26" s="472">
        <v>0</v>
      </c>
      <c r="FG26" s="472">
        <v>0</v>
      </c>
      <c r="FH26" s="472">
        <v>372.38</v>
      </c>
      <c r="FI26" s="472">
        <v>613.45000000000005</v>
      </c>
      <c r="FJ26" s="473">
        <v>101</v>
      </c>
      <c r="FK26" s="475">
        <v>4.3477999999999998E-7</v>
      </c>
      <c r="FL26" s="472">
        <v>0.5272</v>
      </c>
      <c r="FM26" s="472">
        <v>238.27</v>
      </c>
      <c r="FN26" s="472">
        <v>0</v>
      </c>
      <c r="FO26" s="472">
        <v>0</v>
      </c>
      <c r="FP26" s="472">
        <v>372.38</v>
      </c>
      <c r="FQ26" s="472">
        <v>1000</v>
      </c>
      <c r="FR26" s="473">
        <v>102</v>
      </c>
      <c r="FS26" s="471">
        <v>0.13753000000000001</v>
      </c>
      <c r="FT26" s="474">
        <v>-2.5247000000000001E-5</v>
      </c>
      <c r="FU26" s="472">
        <v>0</v>
      </c>
      <c r="FV26" s="472">
        <v>0</v>
      </c>
      <c r="FW26" s="472">
        <v>0</v>
      </c>
      <c r="FX26" s="472">
        <v>372.38</v>
      </c>
      <c r="FY26" s="472">
        <v>613.45000000000005</v>
      </c>
      <c r="FZ26" s="473">
        <v>100</v>
      </c>
      <c r="GA26" s="471">
        <v>1.0166999999999999E-4</v>
      </c>
      <c r="GB26" s="472">
        <v>0.98799999999999999</v>
      </c>
      <c r="GC26" s="472">
        <v>797</v>
      </c>
      <c r="GD26" s="472">
        <v>0</v>
      </c>
      <c r="GE26" s="472">
        <v>0</v>
      </c>
      <c r="GF26" s="472">
        <v>613.45000000000005</v>
      </c>
      <c r="GG26" s="472">
        <v>1000</v>
      </c>
      <c r="GH26" s="473">
        <v>102</v>
      </c>
      <c r="GI26" s="471">
        <v>7.0557999999999996E-2</v>
      </c>
      <c r="GJ26" s="472">
        <v>1.0968</v>
      </c>
      <c r="GK26" s="472">
        <v>0</v>
      </c>
      <c r="GL26" s="472">
        <v>0</v>
      </c>
      <c r="GM26" s="472">
        <v>0</v>
      </c>
      <c r="GN26" s="472">
        <v>372.38</v>
      </c>
      <c r="GO26" s="472">
        <v>869.25</v>
      </c>
      <c r="GP26" s="473">
        <v>106</v>
      </c>
      <c r="GQ26" s="471" t="e">
        <v>#N/A</v>
      </c>
      <c r="GR26" s="472" t="e">
        <v>#N/A</v>
      </c>
      <c r="GS26" s="472" t="e">
        <v>#N/A</v>
      </c>
      <c r="GT26" s="472" t="e">
        <v>#N/A</v>
      </c>
      <c r="GU26" s="472" t="e">
        <v>#N/A</v>
      </c>
      <c r="GV26" s="473" t="e">
        <v>#N/A</v>
      </c>
    </row>
    <row r="27" spans="1:204" ht="15.75">
      <c r="A27" s="304">
        <v>11</v>
      </c>
      <c r="B27" s="349" t="str">
        <v>Asph2</v>
      </c>
      <c r="C27" s="392">
        <v>1.7215019696782443</v>
      </c>
      <c r="D27" s="393">
        <v>2.0000181156275301</v>
      </c>
      <c r="E27" s="394">
        <v>0</v>
      </c>
      <c r="F27" s="395">
        <v>0</v>
      </c>
      <c r="G27" s="396"/>
      <c r="H27" s="396"/>
      <c r="I27" s="396"/>
      <c r="J27" s="396"/>
      <c r="K27" s="396"/>
      <c r="L27" s="397"/>
      <c r="M27" s="304">
        <v>11</v>
      </c>
      <c r="N27" s="439">
        <v>59</v>
      </c>
      <c r="O27" s="440" t="s">
        <v>509</v>
      </c>
      <c r="P27" s="349" t="s">
        <v>511</v>
      </c>
      <c r="Q27" s="441" t="s">
        <v>511</v>
      </c>
      <c r="R27" s="401" t="s">
        <v>37</v>
      </c>
      <c r="S27" s="442">
        <v>970.76864687248394</v>
      </c>
      <c r="T27" s="443">
        <v>0.29391626660838488</v>
      </c>
      <c r="U27" s="443">
        <v>1.2294510535538801</v>
      </c>
      <c r="V27" s="443">
        <v>167.078</v>
      </c>
      <c r="W27" s="443">
        <v>20.0671</v>
      </c>
      <c r="X27" s="443">
        <v>372.38</v>
      </c>
      <c r="Y27" s="443">
        <v>613.45000000000005</v>
      </c>
      <c r="Z27" s="443">
        <v>372.38</v>
      </c>
      <c r="AA27" s="476">
        <v>2.9042683425000001E-4</v>
      </c>
      <c r="AB27" s="443">
        <v>207100</v>
      </c>
      <c r="AC27" s="443">
        <v>308100</v>
      </c>
      <c r="AD27" s="444">
        <v>394.5</v>
      </c>
      <c r="AE27" s="480">
        <v>1437.7365434587439</v>
      </c>
      <c r="AF27" s="447">
        <v>7.3092091132373662</v>
      </c>
      <c r="AG27" s="447">
        <v>3641.8577845150826</v>
      </c>
      <c r="AH27" s="447">
        <v>0.2226793738867425</v>
      </c>
      <c r="AI27" s="481">
        <v>2.0595587823505626</v>
      </c>
      <c r="AJ27" s="482">
        <v>700</v>
      </c>
      <c r="AK27" s="483">
        <v>0</v>
      </c>
      <c r="AL27" s="483">
        <v>0</v>
      </c>
      <c r="AM27" s="483">
        <v>0</v>
      </c>
      <c r="AN27" s="483">
        <v>300</v>
      </c>
      <c r="AO27" s="483">
        <v>0</v>
      </c>
      <c r="AP27" s="483">
        <v>501.93249226019122</v>
      </c>
      <c r="AQ27" s="483">
        <v>0.104911355916793</v>
      </c>
      <c r="AR27" s="483">
        <v>0</v>
      </c>
      <c r="AS27" s="484">
        <v>0</v>
      </c>
      <c r="AT27" s="485">
        <v>0</v>
      </c>
      <c r="AU27" s="486">
        <v>0</v>
      </c>
      <c r="AV27" s="487">
        <v>0</v>
      </c>
      <c r="AW27" s="485">
        <v>0</v>
      </c>
      <c r="AX27" s="486">
        <v>0</v>
      </c>
      <c r="AY27" s="487">
        <v>0</v>
      </c>
      <c r="AZ27" s="477">
        <v>15.508265025531943</v>
      </c>
      <c r="BA27" s="478">
        <v>4.3868418977175505</v>
      </c>
      <c r="BB27" s="479">
        <v>373.33496000701604</v>
      </c>
      <c r="BC27" s="458">
        <v>0</v>
      </c>
      <c r="BD27" s="458">
        <v>0</v>
      </c>
      <c r="BE27" s="459">
        <v>0</v>
      </c>
      <c r="BF27" s="460">
        <v>0</v>
      </c>
      <c r="BG27" s="461">
        <v>0</v>
      </c>
      <c r="BH27" s="461">
        <v>0</v>
      </c>
      <c r="BI27" s="461">
        <v>0</v>
      </c>
      <c r="BJ27" s="461">
        <v>0</v>
      </c>
      <c r="BK27" s="462">
        <v>0</v>
      </c>
      <c r="BL27" s="460">
        <v>0</v>
      </c>
      <c r="BM27" s="461">
        <v>0</v>
      </c>
      <c r="BN27" s="461">
        <v>0</v>
      </c>
      <c r="BO27" s="461">
        <v>0</v>
      </c>
      <c r="BP27" s="461">
        <v>0</v>
      </c>
      <c r="BQ27" s="463">
        <v>0</v>
      </c>
      <c r="BR27" s="464">
        <v>0</v>
      </c>
      <c r="BS27" s="465">
        <v>0</v>
      </c>
      <c r="BT27" s="465">
        <v>0</v>
      </c>
      <c r="BU27" s="466">
        <v>0</v>
      </c>
      <c r="BV27" s="464">
        <v>0</v>
      </c>
      <c r="BW27" s="465">
        <v>0</v>
      </c>
      <c r="BX27" s="465">
        <v>0</v>
      </c>
      <c r="BY27" s="465">
        <v>0</v>
      </c>
      <c r="BZ27" s="465">
        <v>0</v>
      </c>
      <c r="CA27" s="465">
        <v>416.84433841188115</v>
      </c>
      <c r="CB27" s="466">
        <v>0</v>
      </c>
      <c r="CC27" s="464">
        <v>0</v>
      </c>
      <c r="CD27" s="465">
        <v>0</v>
      </c>
      <c r="CE27" s="465">
        <v>0</v>
      </c>
      <c r="CF27" s="465">
        <v>0</v>
      </c>
      <c r="CG27" s="465">
        <v>0</v>
      </c>
      <c r="CH27" s="465">
        <v>0</v>
      </c>
      <c r="CI27" s="466">
        <v>0</v>
      </c>
      <c r="CJ27" s="467">
        <v>76.984981157681204</v>
      </c>
      <c r="CK27" s="468">
        <v>9.0802483862253064E-2</v>
      </c>
      <c r="CL27" s="468">
        <v>-38.223531785465809</v>
      </c>
      <c r="CM27" s="469">
        <v>0.2931987895037429</v>
      </c>
      <c r="CN27" s="467">
        <v>159.71024515430068</v>
      </c>
      <c r="CO27" s="469">
        <v>-119.85639791984597</v>
      </c>
      <c r="CP27" s="488">
        <v>0</v>
      </c>
      <c r="CQ27" s="471">
        <v>7.1189999999999998</v>
      </c>
      <c r="CR27" s="472">
        <v>-1.786E-3</v>
      </c>
      <c r="CS27" s="472">
        <v>0</v>
      </c>
      <c r="CT27" s="472">
        <v>0</v>
      </c>
      <c r="CU27" s="472">
        <v>0</v>
      </c>
      <c r="CV27" s="472">
        <v>293.14999999999998</v>
      </c>
      <c r="CW27" s="472">
        <v>372.38</v>
      </c>
      <c r="CX27" s="473">
        <v>100</v>
      </c>
      <c r="CY27" s="471">
        <v>0.45550000000000002</v>
      </c>
      <c r="CZ27" s="472">
        <v>0.25228</v>
      </c>
      <c r="DA27" s="472">
        <v>869.25</v>
      </c>
      <c r="DB27" s="472">
        <v>0.24859999999999999</v>
      </c>
      <c r="DC27" s="472">
        <v>0</v>
      </c>
      <c r="DD27" s="472">
        <v>372.38</v>
      </c>
      <c r="DE27" s="472">
        <v>869.25</v>
      </c>
      <c r="DF27" s="473">
        <v>105</v>
      </c>
      <c r="DG27" s="471">
        <v>120.68</v>
      </c>
      <c r="DH27" s="472">
        <v>-13219</v>
      </c>
      <c r="DI27" s="472">
        <v>-13.935</v>
      </c>
      <c r="DJ27" s="474">
        <v>4.9143999999999999E-6</v>
      </c>
      <c r="DK27" s="472">
        <v>2</v>
      </c>
      <c r="DL27" s="472">
        <v>372.38</v>
      </c>
      <c r="DM27" s="472">
        <v>869.25</v>
      </c>
      <c r="DN27" s="473">
        <v>101</v>
      </c>
      <c r="DO27" s="471">
        <v>87919000</v>
      </c>
      <c r="DP27" s="472">
        <v>0.39792</v>
      </c>
      <c r="DQ27" s="472">
        <v>0</v>
      </c>
      <c r="DR27" s="472">
        <v>0</v>
      </c>
      <c r="DS27" s="472">
        <v>0</v>
      </c>
      <c r="DT27" s="472">
        <v>372.38</v>
      </c>
      <c r="DU27" s="472">
        <v>869.25</v>
      </c>
      <c r="DV27" s="473">
        <v>106</v>
      </c>
      <c r="DW27" s="471">
        <v>-6759.1</v>
      </c>
      <c r="DX27" s="472">
        <v>1376</v>
      </c>
      <c r="DY27" s="472">
        <v>-9.0216999999999992</v>
      </c>
      <c r="DZ27" s="472">
        <v>4.0749E-2</v>
      </c>
      <c r="EA27" s="474">
        <v>-6.0337999999999997E-5</v>
      </c>
      <c r="EB27" s="472">
        <v>20</v>
      </c>
      <c r="EC27" s="472">
        <v>270</v>
      </c>
      <c r="ED27" s="473">
        <v>100</v>
      </c>
      <c r="EE27" s="471">
        <v>103370</v>
      </c>
      <c r="EF27" s="472">
        <v>527.03</v>
      </c>
      <c r="EG27" s="472">
        <v>0</v>
      </c>
      <c r="EH27" s="472">
        <v>0</v>
      </c>
      <c r="EI27" s="472">
        <v>0</v>
      </c>
      <c r="EJ27" s="472">
        <v>372.39</v>
      </c>
      <c r="EK27" s="472">
        <v>500</v>
      </c>
      <c r="EL27" s="473">
        <v>100</v>
      </c>
      <c r="EM27" s="471">
        <v>93740</v>
      </c>
      <c r="EN27" s="472">
        <v>475800</v>
      </c>
      <c r="EO27" s="472">
        <v>1382</v>
      </c>
      <c r="EP27" s="472">
        <v>348500</v>
      </c>
      <c r="EQ27" s="472">
        <v>627.4</v>
      </c>
      <c r="ER27" s="472">
        <v>200</v>
      </c>
      <c r="ES27" s="472">
        <v>1500</v>
      </c>
      <c r="ET27" s="473">
        <v>107</v>
      </c>
      <c r="EU27" s="471">
        <v>0.42568</v>
      </c>
      <c r="EV27" s="472">
        <v>-671.56</v>
      </c>
      <c r="EW27" s="472">
        <v>-344880000</v>
      </c>
      <c r="EX27" s="474">
        <v>-4.0336999999999999E+21</v>
      </c>
      <c r="EY27" s="474">
        <v>1.1446E+23</v>
      </c>
      <c r="EZ27" s="472">
        <v>434.62</v>
      </c>
      <c r="FA27" s="472">
        <v>1500</v>
      </c>
      <c r="FB27" s="473">
        <v>104</v>
      </c>
      <c r="FC27" s="471">
        <v>-22.472000000000001</v>
      </c>
      <c r="FD27" s="472">
        <v>2566.9</v>
      </c>
      <c r="FE27" s="472">
        <v>1.5749</v>
      </c>
      <c r="FF27" s="472">
        <v>0</v>
      </c>
      <c r="FG27" s="472">
        <v>0</v>
      </c>
      <c r="FH27" s="472">
        <v>372.38</v>
      </c>
      <c r="FI27" s="472">
        <v>613.45000000000005</v>
      </c>
      <c r="FJ27" s="473">
        <v>101</v>
      </c>
      <c r="FK27" s="475">
        <v>4.3477999999999998E-7</v>
      </c>
      <c r="FL27" s="472">
        <v>0.5272</v>
      </c>
      <c r="FM27" s="472">
        <v>238.27</v>
      </c>
      <c r="FN27" s="472">
        <v>0</v>
      </c>
      <c r="FO27" s="472">
        <v>0</v>
      </c>
      <c r="FP27" s="472">
        <v>372.38</v>
      </c>
      <c r="FQ27" s="472">
        <v>1000</v>
      </c>
      <c r="FR27" s="473">
        <v>102</v>
      </c>
      <c r="FS27" s="471">
        <v>0.13753000000000001</v>
      </c>
      <c r="FT27" s="474">
        <v>-2.5247000000000001E-5</v>
      </c>
      <c r="FU27" s="472">
        <v>0</v>
      </c>
      <c r="FV27" s="472">
        <v>0</v>
      </c>
      <c r="FW27" s="472">
        <v>0</v>
      </c>
      <c r="FX27" s="472">
        <v>372.38</v>
      </c>
      <c r="FY27" s="472">
        <v>613.45000000000005</v>
      </c>
      <c r="FZ27" s="473">
        <v>100</v>
      </c>
      <c r="GA27" s="471">
        <v>1.0166999999999999E-4</v>
      </c>
      <c r="GB27" s="472">
        <v>0.98799999999999999</v>
      </c>
      <c r="GC27" s="472">
        <v>797</v>
      </c>
      <c r="GD27" s="472">
        <v>0</v>
      </c>
      <c r="GE27" s="472">
        <v>0</v>
      </c>
      <c r="GF27" s="472">
        <v>613.45000000000005</v>
      </c>
      <c r="GG27" s="472">
        <v>1000</v>
      </c>
      <c r="GH27" s="473">
        <v>102</v>
      </c>
      <c r="GI27" s="471">
        <v>7.0557999999999996E-2</v>
      </c>
      <c r="GJ27" s="472">
        <v>1.0968</v>
      </c>
      <c r="GK27" s="472">
        <v>0</v>
      </c>
      <c r="GL27" s="472">
        <v>0</v>
      </c>
      <c r="GM27" s="472">
        <v>0</v>
      </c>
      <c r="GN27" s="472">
        <v>372.38</v>
      </c>
      <c r="GO27" s="472">
        <v>869.25</v>
      </c>
      <c r="GP27" s="473">
        <v>106</v>
      </c>
      <c r="GQ27" s="471" t="e">
        <v>#N/A</v>
      </c>
      <c r="GR27" s="472" t="e">
        <v>#N/A</v>
      </c>
      <c r="GS27" s="472" t="e">
        <v>#N/A</v>
      </c>
      <c r="GT27" s="472" t="e">
        <v>#N/A</v>
      </c>
      <c r="GU27" s="472" t="e">
        <v>#N/A</v>
      </c>
      <c r="GV27" s="473" t="e">
        <v>#N/A</v>
      </c>
    </row>
    <row r="28" spans="1:204" ht="15.75">
      <c r="A28" s="304">
        <v>12</v>
      </c>
      <c r="B28" s="349" t="str">
        <v/>
      </c>
      <c r="C28" s="392"/>
      <c r="D28" s="393"/>
      <c r="E28" s="394"/>
      <c r="F28" s="395"/>
      <c r="G28" s="396"/>
      <c r="H28" s="396"/>
      <c r="I28" s="396"/>
      <c r="J28" s="396"/>
      <c r="K28" s="396"/>
      <c r="L28" s="397"/>
      <c r="M28" s="304">
        <v>12</v>
      </c>
      <c r="N28" s="439"/>
      <c r="O28" s="440"/>
      <c r="P28" s="349"/>
      <c r="Q28" s="441"/>
      <c r="R28" s="401"/>
      <c r="S28" s="442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4"/>
      <c r="AE28" s="480"/>
      <c r="AF28" s="447"/>
      <c r="AG28" s="447"/>
      <c r="AH28" s="447"/>
      <c r="AI28" s="481"/>
      <c r="AJ28" s="482"/>
      <c r="AK28" s="483"/>
      <c r="AL28" s="483"/>
      <c r="AM28" s="483"/>
      <c r="AN28" s="483"/>
      <c r="AO28" s="483"/>
      <c r="AP28" s="483"/>
      <c r="AQ28" s="483"/>
      <c r="AR28" s="483"/>
      <c r="AS28" s="484"/>
      <c r="AT28" s="485"/>
      <c r="AU28" s="486"/>
      <c r="AV28" s="487"/>
      <c r="AW28" s="485"/>
      <c r="AX28" s="486"/>
      <c r="AY28" s="487"/>
      <c r="AZ28" s="477"/>
      <c r="BA28" s="478"/>
      <c r="BB28" s="479"/>
      <c r="BC28" s="458"/>
      <c r="BD28" s="458"/>
      <c r="BE28" s="459"/>
      <c r="BF28" s="460"/>
      <c r="BG28" s="461"/>
      <c r="BH28" s="461"/>
      <c r="BI28" s="461"/>
      <c r="BJ28" s="461"/>
      <c r="BK28" s="462"/>
      <c r="BL28" s="460"/>
      <c r="BM28" s="461"/>
      <c r="BN28" s="461"/>
      <c r="BO28" s="461"/>
      <c r="BP28" s="461"/>
      <c r="BQ28" s="463"/>
      <c r="BR28" s="464"/>
      <c r="BS28" s="465"/>
      <c r="BT28" s="465"/>
      <c r="BU28" s="466"/>
      <c r="BV28" s="464"/>
      <c r="BW28" s="465"/>
      <c r="BX28" s="465"/>
      <c r="BY28" s="465"/>
      <c r="BZ28" s="465"/>
      <c r="CA28" s="465"/>
      <c r="CB28" s="466"/>
      <c r="CC28" s="464"/>
      <c r="CD28" s="465"/>
      <c r="CE28" s="465"/>
      <c r="CF28" s="465"/>
      <c r="CG28" s="465"/>
      <c r="CH28" s="465"/>
      <c r="CI28" s="466"/>
      <c r="CJ28" s="467"/>
      <c r="CK28" s="468"/>
      <c r="CL28" s="468"/>
      <c r="CM28" s="469"/>
      <c r="CN28" s="467"/>
      <c r="CO28" s="469"/>
      <c r="CP28" s="488"/>
      <c r="CQ28" s="471"/>
      <c r="CR28" s="472"/>
      <c r="CS28" s="472"/>
      <c r="CT28" s="472"/>
      <c r="CU28" s="472"/>
      <c r="CV28" s="472"/>
      <c r="CW28" s="472"/>
      <c r="CX28" s="473"/>
      <c r="CY28" s="471"/>
      <c r="CZ28" s="472"/>
      <c r="DA28" s="472"/>
      <c r="DB28" s="472"/>
      <c r="DC28" s="472"/>
      <c r="DD28" s="472"/>
      <c r="DE28" s="472"/>
      <c r="DF28" s="473"/>
      <c r="DG28" s="471"/>
      <c r="DH28" s="472"/>
      <c r="DI28" s="472"/>
      <c r="DJ28" s="474"/>
      <c r="DK28" s="472"/>
      <c r="DL28" s="472"/>
      <c r="DM28" s="472"/>
      <c r="DN28" s="473"/>
      <c r="DO28" s="471"/>
      <c r="DP28" s="472"/>
      <c r="DQ28" s="472"/>
      <c r="DR28" s="472"/>
      <c r="DS28" s="472"/>
      <c r="DT28" s="472"/>
      <c r="DU28" s="472"/>
      <c r="DV28" s="473"/>
      <c r="DW28" s="471"/>
      <c r="DX28" s="472"/>
      <c r="DY28" s="472"/>
      <c r="DZ28" s="472"/>
      <c r="EA28" s="474"/>
      <c r="EB28" s="472"/>
      <c r="EC28" s="472"/>
      <c r="ED28" s="473"/>
      <c r="EE28" s="471"/>
      <c r="EF28" s="472"/>
      <c r="EG28" s="472"/>
      <c r="EH28" s="472"/>
      <c r="EI28" s="472"/>
      <c r="EJ28" s="472"/>
      <c r="EK28" s="472"/>
      <c r="EL28" s="473"/>
      <c r="EM28" s="471"/>
      <c r="EN28" s="472"/>
      <c r="EO28" s="472"/>
      <c r="EP28" s="472"/>
      <c r="EQ28" s="472"/>
      <c r="ER28" s="472"/>
      <c r="ES28" s="472"/>
      <c r="ET28" s="473"/>
      <c r="EU28" s="471"/>
      <c r="EV28" s="472"/>
      <c r="EW28" s="472"/>
      <c r="EX28" s="474"/>
      <c r="EY28" s="474"/>
      <c r="EZ28" s="472"/>
      <c r="FA28" s="472"/>
      <c r="FB28" s="473"/>
      <c r="FC28" s="471"/>
      <c r="FD28" s="472"/>
      <c r="FE28" s="472"/>
      <c r="FF28" s="472"/>
      <c r="FG28" s="472"/>
      <c r="FH28" s="472"/>
      <c r="FI28" s="472"/>
      <c r="FJ28" s="473"/>
      <c r="FK28" s="475"/>
      <c r="FL28" s="472"/>
      <c r="FM28" s="472"/>
      <c r="FN28" s="472"/>
      <c r="FO28" s="472"/>
      <c r="FP28" s="472"/>
      <c r="FQ28" s="472"/>
      <c r="FR28" s="473"/>
      <c r="FS28" s="471"/>
      <c r="FT28" s="474"/>
      <c r="FU28" s="472"/>
      <c r="FV28" s="472"/>
      <c r="FW28" s="472"/>
      <c r="FX28" s="472"/>
      <c r="FY28" s="472"/>
      <c r="FZ28" s="473"/>
      <c r="GA28" s="471"/>
      <c r="GB28" s="472"/>
      <c r="GC28" s="472"/>
      <c r="GD28" s="472"/>
      <c r="GE28" s="472"/>
      <c r="GF28" s="472"/>
      <c r="GG28" s="472"/>
      <c r="GH28" s="473"/>
      <c r="GI28" s="471"/>
      <c r="GJ28" s="472"/>
      <c r="GK28" s="472"/>
      <c r="GL28" s="472"/>
      <c r="GM28" s="472"/>
      <c r="GN28" s="472"/>
      <c r="GO28" s="472"/>
      <c r="GP28" s="473"/>
      <c r="GQ28" s="471" t="e">
        <v>#N/A</v>
      </c>
      <c r="GR28" s="472" t="e">
        <v>#N/A</v>
      </c>
      <c r="GS28" s="472" t="e">
        <v>#N/A</v>
      </c>
      <c r="GT28" s="472" t="e">
        <v>#N/A</v>
      </c>
      <c r="GU28" s="472" t="e">
        <v>#N/A</v>
      </c>
      <c r="GV28" s="473" t="e">
        <v>#N/A</v>
      </c>
    </row>
    <row r="29" spans="1:204" ht="15.75">
      <c r="A29" s="304">
        <v>13</v>
      </c>
      <c r="B29" s="349" t="str">
        <v/>
      </c>
      <c r="C29" s="392"/>
      <c r="D29" s="393"/>
      <c r="E29" s="394"/>
      <c r="F29" s="395"/>
      <c r="G29" s="396"/>
      <c r="H29" s="396"/>
      <c r="I29" s="396"/>
      <c r="J29" s="396"/>
      <c r="K29" s="396"/>
      <c r="L29" s="397"/>
      <c r="M29" s="304">
        <v>13</v>
      </c>
      <c r="N29" s="439"/>
      <c r="O29" s="440"/>
      <c r="P29" s="349"/>
      <c r="Q29" s="441"/>
      <c r="R29" s="401"/>
      <c r="S29" s="442"/>
      <c r="T29" s="443"/>
      <c r="U29" s="443"/>
      <c r="V29" s="443"/>
      <c r="W29" s="443"/>
      <c r="X29" s="443"/>
      <c r="Y29" s="443"/>
      <c r="Z29" s="443"/>
      <c r="AA29" s="443"/>
      <c r="AB29" s="443"/>
      <c r="AC29" s="443"/>
      <c r="AD29" s="444"/>
      <c r="AE29" s="480"/>
      <c r="AF29" s="447"/>
      <c r="AG29" s="447"/>
      <c r="AH29" s="447"/>
      <c r="AI29" s="481"/>
      <c r="AJ29" s="482"/>
      <c r="AK29" s="483"/>
      <c r="AL29" s="483"/>
      <c r="AM29" s="483"/>
      <c r="AN29" s="483"/>
      <c r="AO29" s="483"/>
      <c r="AP29" s="483"/>
      <c r="AQ29" s="483"/>
      <c r="AR29" s="483"/>
      <c r="AS29" s="484"/>
      <c r="AT29" s="485"/>
      <c r="AU29" s="486"/>
      <c r="AV29" s="487"/>
      <c r="AW29" s="485"/>
      <c r="AX29" s="486"/>
      <c r="AY29" s="487"/>
      <c r="AZ29" s="477"/>
      <c r="BA29" s="478"/>
      <c r="BB29" s="479"/>
      <c r="BC29" s="458"/>
      <c r="BD29" s="458"/>
      <c r="BE29" s="459"/>
      <c r="BF29" s="460"/>
      <c r="BG29" s="461"/>
      <c r="BH29" s="461"/>
      <c r="BI29" s="461"/>
      <c r="BJ29" s="461"/>
      <c r="BK29" s="462"/>
      <c r="BL29" s="460"/>
      <c r="BM29" s="461"/>
      <c r="BN29" s="461"/>
      <c r="BO29" s="461"/>
      <c r="BP29" s="461"/>
      <c r="BQ29" s="463"/>
      <c r="BR29" s="464"/>
      <c r="BS29" s="465"/>
      <c r="BT29" s="465"/>
      <c r="BU29" s="466"/>
      <c r="BV29" s="464"/>
      <c r="BW29" s="465"/>
      <c r="BX29" s="465"/>
      <c r="BY29" s="465"/>
      <c r="BZ29" s="465"/>
      <c r="CA29" s="465"/>
      <c r="CB29" s="466"/>
      <c r="CC29" s="464"/>
      <c r="CD29" s="465"/>
      <c r="CE29" s="465"/>
      <c r="CF29" s="465"/>
      <c r="CG29" s="465"/>
      <c r="CH29" s="465"/>
      <c r="CI29" s="466"/>
      <c r="CJ29" s="467"/>
      <c r="CK29" s="468"/>
      <c r="CL29" s="468"/>
      <c r="CM29" s="469"/>
      <c r="CN29" s="467"/>
      <c r="CO29" s="469"/>
      <c r="CP29" s="488"/>
      <c r="CQ29" s="471"/>
      <c r="CR29" s="472"/>
      <c r="CS29" s="472"/>
      <c r="CT29" s="472"/>
      <c r="CU29" s="472"/>
      <c r="CV29" s="472"/>
      <c r="CW29" s="472"/>
      <c r="CX29" s="473"/>
      <c r="CY29" s="471"/>
      <c r="CZ29" s="472"/>
      <c r="DA29" s="472"/>
      <c r="DB29" s="472"/>
      <c r="DC29" s="472"/>
      <c r="DD29" s="472"/>
      <c r="DE29" s="472"/>
      <c r="DF29" s="473"/>
      <c r="DG29" s="471"/>
      <c r="DH29" s="472"/>
      <c r="DI29" s="472"/>
      <c r="DJ29" s="472"/>
      <c r="DK29" s="472"/>
      <c r="DL29" s="472"/>
      <c r="DM29" s="472"/>
      <c r="DN29" s="473"/>
      <c r="DO29" s="471"/>
      <c r="DP29" s="472"/>
      <c r="DQ29" s="472"/>
      <c r="DR29" s="472"/>
      <c r="DS29" s="472"/>
      <c r="DT29" s="472"/>
      <c r="DU29" s="472"/>
      <c r="DV29" s="473"/>
      <c r="DW29" s="471"/>
      <c r="DX29" s="472"/>
      <c r="DY29" s="472"/>
      <c r="DZ29" s="472"/>
      <c r="EA29" s="472"/>
      <c r="EB29" s="472"/>
      <c r="EC29" s="472"/>
      <c r="ED29" s="473"/>
      <c r="EE29" s="471"/>
      <c r="EF29" s="472"/>
      <c r="EG29" s="472"/>
      <c r="EH29" s="472"/>
      <c r="EI29" s="472"/>
      <c r="EJ29" s="472"/>
      <c r="EK29" s="472"/>
      <c r="EL29" s="473"/>
      <c r="EM29" s="471"/>
      <c r="EN29" s="472"/>
      <c r="EO29" s="472"/>
      <c r="EP29" s="472"/>
      <c r="EQ29" s="472"/>
      <c r="ER29" s="472"/>
      <c r="ES29" s="472"/>
      <c r="ET29" s="473"/>
      <c r="EU29" s="471"/>
      <c r="EV29" s="472"/>
      <c r="EW29" s="472"/>
      <c r="EX29" s="472"/>
      <c r="EY29" s="472"/>
      <c r="EZ29" s="472"/>
      <c r="FA29" s="472"/>
      <c r="FB29" s="473"/>
      <c r="FC29" s="471"/>
      <c r="FD29" s="472"/>
      <c r="FE29" s="472"/>
      <c r="FF29" s="472"/>
      <c r="FG29" s="472"/>
      <c r="FH29" s="472"/>
      <c r="FI29" s="472"/>
      <c r="FJ29" s="473"/>
      <c r="FK29" s="471"/>
      <c r="FL29" s="472"/>
      <c r="FM29" s="472"/>
      <c r="FN29" s="472"/>
      <c r="FO29" s="472"/>
      <c r="FP29" s="472"/>
      <c r="FQ29" s="472"/>
      <c r="FR29" s="473"/>
      <c r="FS29" s="471"/>
      <c r="FT29" s="472"/>
      <c r="FU29" s="472"/>
      <c r="FV29" s="472"/>
      <c r="FW29" s="472"/>
      <c r="FX29" s="472"/>
      <c r="FY29" s="472"/>
      <c r="FZ29" s="473"/>
      <c r="GA29" s="471"/>
      <c r="GB29" s="472"/>
      <c r="GC29" s="472"/>
      <c r="GD29" s="472"/>
      <c r="GE29" s="472"/>
      <c r="GF29" s="472"/>
      <c r="GG29" s="472"/>
      <c r="GH29" s="473"/>
      <c r="GI29" s="471"/>
      <c r="GJ29" s="472"/>
      <c r="GK29" s="472"/>
      <c r="GL29" s="472"/>
      <c r="GM29" s="472"/>
      <c r="GN29" s="472"/>
      <c r="GO29" s="472"/>
      <c r="GP29" s="473"/>
      <c r="GQ29" s="471" t="e">
        <v>#N/A</v>
      </c>
      <c r="GR29" s="472" t="e">
        <v>#N/A</v>
      </c>
      <c r="GS29" s="472" t="e">
        <v>#N/A</v>
      </c>
      <c r="GT29" s="472" t="e">
        <v>#N/A</v>
      </c>
      <c r="GU29" s="472" t="e">
        <v>#N/A</v>
      </c>
      <c r="GV29" s="473" t="e">
        <v>#N/A</v>
      </c>
    </row>
    <row r="30" spans="1:204" ht="15.75">
      <c r="A30" s="304">
        <v>14</v>
      </c>
      <c r="B30" s="349" t="str">
        <v/>
      </c>
      <c r="C30" s="392"/>
      <c r="D30" s="393"/>
      <c r="E30" s="394"/>
      <c r="F30" s="395"/>
      <c r="G30" s="396"/>
      <c r="H30" s="396"/>
      <c r="I30" s="396"/>
      <c r="J30" s="396"/>
      <c r="K30" s="396"/>
      <c r="L30" s="397"/>
      <c r="M30" s="304">
        <v>14</v>
      </c>
      <c r="N30" s="439"/>
      <c r="O30" s="440"/>
      <c r="P30" s="349"/>
      <c r="Q30" s="441"/>
      <c r="R30" s="401"/>
      <c r="S30" s="442"/>
      <c r="T30" s="443"/>
      <c r="U30" s="443"/>
      <c r="V30" s="443"/>
      <c r="W30" s="443"/>
      <c r="X30" s="443"/>
      <c r="Y30" s="443"/>
      <c r="Z30" s="443"/>
      <c r="AA30" s="443"/>
      <c r="AB30" s="443"/>
      <c r="AC30" s="443"/>
      <c r="AD30" s="444"/>
      <c r="AE30" s="480"/>
      <c r="AF30" s="447"/>
      <c r="AG30" s="447"/>
      <c r="AH30" s="447"/>
      <c r="AI30" s="481"/>
      <c r="AJ30" s="482"/>
      <c r="AK30" s="483"/>
      <c r="AL30" s="483"/>
      <c r="AM30" s="483"/>
      <c r="AN30" s="483"/>
      <c r="AO30" s="483"/>
      <c r="AP30" s="483"/>
      <c r="AQ30" s="483"/>
      <c r="AR30" s="483"/>
      <c r="AS30" s="484"/>
      <c r="AT30" s="485"/>
      <c r="AU30" s="486"/>
      <c r="AV30" s="487"/>
      <c r="AW30" s="485"/>
      <c r="AX30" s="486"/>
      <c r="AY30" s="487"/>
      <c r="AZ30" s="477"/>
      <c r="BA30" s="478"/>
      <c r="BB30" s="479"/>
      <c r="BC30" s="458"/>
      <c r="BD30" s="458"/>
      <c r="BE30" s="459"/>
      <c r="BF30" s="460"/>
      <c r="BG30" s="461"/>
      <c r="BH30" s="461"/>
      <c r="BI30" s="461"/>
      <c r="BJ30" s="461"/>
      <c r="BK30" s="462"/>
      <c r="BL30" s="460"/>
      <c r="BM30" s="461"/>
      <c r="BN30" s="461"/>
      <c r="BO30" s="461"/>
      <c r="BP30" s="461"/>
      <c r="BQ30" s="463"/>
      <c r="BR30" s="464"/>
      <c r="BS30" s="465"/>
      <c r="BT30" s="465"/>
      <c r="BU30" s="466"/>
      <c r="BV30" s="464"/>
      <c r="BW30" s="465"/>
      <c r="BX30" s="465"/>
      <c r="BY30" s="465"/>
      <c r="BZ30" s="465"/>
      <c r="CA30" s="465"/>
      <c r="CB30" s="466"/>
      <c r="CC30" s="464"/>
      <c r="CD30" s="465"/>
      <c r="CE30" s="465"/>
      <c r="CF30" s="465"/>
      <c r="CG30" s="465"/>
      <c r="CH30" s="465"/>
      <c r="CI30" s="466"/>
      <c r="CJ30" s="467"/>
      <c r="CK30" s="468"/>
      <c r="CL30" s="468"/>
      <c r="CM30" s="469"/>
      <c r="CN30" s="467"/>
      <c r="CO30" s="469"/>
      <c r="CP30" s="488"/>
      <c r="CQ30" s="471"/>
      <c r="CR30" s="472"/>
      <c r="CS30" s="472"/>
      <c r="CT30" s="472"/>
      <c r="CU30" s="472"/>
      <c r="CV30" s="472"/>
      <c r="CW30" s="472"/>
      <c r="CX30" s="473"/>
      <c r="CY30" s="471"/>
      <c r="CZ30" s="472"/>
      <c r="DA30" s="472"/>
      <c r="DB30" s="472"/>
      <c r="DC30" s="472"/>
      <c r="DD30" s="472"/>
      <c r="DE30" s="472"/>
      <c r="DF30" s="473"/>
      <c r="DG30" s="471"/>
      <c r="DH30" s="472"/>
      <c r="DI30" s="472"/>
      <c r="DJ30" s="472"/>
      <c r="DK30" s="472"/>
      <c r="DL30" s="472"/>
      <c r="DM30" s="472"/>
      <c r="DN30" s="473"/>
      <c r="DO30" s="471"/>
      <c r="DP30" s="472"/>
      <c r="DQ30" s="472"/>
      <c r="DR30" s="472"/>
      <c r="DS30" s="472"/>
      <c r="DT30" s="472"/>
      <c r="DU30" s="472"/>
      <c r="DV30" s="473"/>
      <c r="DW30" s="471"/>
      <c r="DX30" s="472"/>
      <c r="DY30" s="472"/>
      <c r="DZ30" s="472"/>
      <c r="EA30" s="472"/>
      <c r="EB30" s="472"/>
      <c r="EC30" s="472"/>
      <c r="ED30" s="473"/>
      <c r="EE30" s="471"/>
      <c r="EF30" s="472"/>
      <c r="EG30" s="472"/>
      <c r="EH30" s="472"/>
      <c r="EI30" s="472"/>
      <c r="EJ30" s="472"/>
      <c r="EK30" s="472"/>
      <c r="EL30" s="473"/>
      <c r="EM30" s="471"/>
      <c r="EN30" s="472"/>
      <c r="EO30" s="472"/>
      <c r="EP30" s="472"/>
      <c r="EQ30" s="472"/>
      <c r="ER30" s="472"/>
      <c r="ES30" s="472"/>
      <c r="ET30" s="473"/>
      <c r="EU30" s="471"/>
      <c r="EV30" s="472"/>
      <c r="EW30" s="472"/>
      <c r="EX30" s="472"/>
      <c r="EY30" s="472"/>
      <c r="EZ30" s="472"/>
      <c r="FA30" s="472"/>
      <c r="FB30" s="473"/>
      <c r="FC30" s="471"/>
      <c r="FD30" s="472"/>
      <c r="FE30" s="472"/>
      <c r="FF30" s="472"/>
      <c r="FG30" s="472"/>
      <c r="FH30" s="472"/>
      <c r="FI30" s="472"/>
      <c r="FJ30" s="473"/>
      <c r="FK30" s="471"/>
      <c r="FL30" s="472"/>
      <c r="FM30" s="472"/>
      <c r="FN30" s="472"/>
      <c r="FO30" s="472"/>
      <c r="FP30" s="472"/>
      <c r="FQ30" s="472"/>
      <c r="FR30" s="473"/>
      <c r="FS30" s="471"/>
      <c r="FT30" s="472"/>
      <c r="FU30" s="472"/>
      <c r="FV30" s="472"/>
      <c r="FW30" s="472"/>
      <c r="FX30" s="472"/>
      <c r="FY30" s="472"/>
      <c r="FZ30" s="473"/>
      <c r="GA30" s="471"/>
      <c r="GB30" s="472"/>
      <c r="GC30" s="472"/>
      <c r="GD30" s="472"/>
      <c r="GE30" s="472"/>
      <c r="GF30" s="472"/>
      <c r="GG30" s="472"/>
      <c r="GH30" s="473"/>
      <c r="GI30" s="471"/>
      <c r="GJ30" s="472"/>
      <c r="GK30" s="472"/>
      <c r="GL30" s="472"/>
      <c r="GM30" s="472"/>
      <c r="GN30" s="472"/>
      <c r="GO30" s="472"/>
      <c r="GP30" s="473"/>
      <c r="GQ30" s="471" t="e">
        <v>#N/A</v>
      </c>
      <c r="GR30" s="472" t="e">
        <v>#N/A</v>
      </c>
      <c r="GS30" s="472" t="e">
        <v>#N/A</v>
      </c>
      <c r="GT30" s="472" t="e">
        <v>#N/A</v>
      </c>
      <c r="GU30" s="472" t="e">
        <v>#N/A</v>
      </c>
      <c r="GV30" s="473" t="e">
        <v>#N/A</v>
      </c>
    </row>
    <row r="31" spans="1:204" ht="15.75">
      <c r="A31" s="304">
        <v>15</v>
      </c>
      <c r="B31" s="349" t="str">
        <v/>
      </c>
      <c r="C31" s="392"/>
      <c r="D31" s="393"/>
      <c r="E31" s="394"/>
      <c r="F31" s="395"/>
      <c r="G31" s="396"/>
      <c r="H31" s="396"/>
      <c r="I31" s="396"/>
      <c r="J31" s="396"/>
      <c r="K31" s="396"/>
      <c r="L31" s="397"/>
      <c r="M31" s="304">
        <v>15</v>
      </c>
      <c r="N31" s="439"/>
      <c r="O31" s="440"/>
      <c r="P31" s="349"/>
      <c r="Q31" s="441"/>
      <c r="R31" s="401"/>
      <c r="S31" s="442"/>
      <c r="T31" s="443"/>
      <c r="U31" s="443"/>
      <c r="V31" s="443"/>
      <c r="W31" s="443"/>
      <c r="X31" s="443"/>
      <c r="Y31" s="443"/>
      <c r="Z31" s="443"/>
      <c r="AA31" s="443"/>
      <c r="AB31" s="443"/>
      <c r="AC31" s="443"/>
      <c r="AD31" s="444"/>
      <c r="AE31" s="480"/>
      <c r="AF31" s="447"/>
      <c r="AG31" s="447"/>
      <c r="AH31" s="447"/>
      <c r="AI31" s="481"/>
      <c r="AJ31" s="482"/>
      <c r="AK31" s="483"/>
      <c r="AL31" s="483"/>
      <c r="AM31" s="483"/>
      <c r="AN31" s="483"/>
      <c r="AO31" s="483"/>
      <c r="AP31" s="483"/>
      <c r="AQ31" s="483"/>
      <c r="AR31" s="483"/>
      <c r="AS31" s="484"/>
      <c r="AT31" s="485"/>
      <c r="AU31" s="486"/>
      <c r="AV31" s="487"/>
      <c r="AW31" s="485"/>
      <c r="AX31" s="486"/>
      <c r="AY31" s="487"/>
      <c r="AZ31" s="477"/>
      <c r="BA31" s="478"/>
      <c r="BB31" s="479"/>
      <c r="BC31" s="458"/>
      <c r="BD31" s="458"/>
      <c r="BE31" s="459"/>
      <c r="BF31" s="460"/>
      <c r="BG31" s="461"/>
      <c r="BH31" s="461"/>
      <c r="BI31" s="461"/>
      <c r="BJ31" s="461"/>
      <c r="BK31" s="462"/>
      <c r="BL31" s="460"/>
      <c r="BM31" s="461"/>
      <c r="BN31" s="461"/>
      <c r="BO31" s="461"/>
      <c r="BP31" s="461"/>
      <c r="BQ31" s="463"/>
      <c r="BR31" s="464"/>
      <c r="BS31" s="465"/>
      <c r="BT31" s="465"/>
      <c r="BU31" s="466"/>
      <c r="BV31" s="464"/>
      <c r="BW31" s="465"/>
      <c r="BX31" s="465"/>
      <c r="BY31" s="465"/>
      <c r="BZ31" s="465"/>
      <c r="CA31" s="465"/>
      <c r="CB31" s="466"/>
      <c r="CC31" s="464"/>
      <c r="CD31" s="465"/>
      <c r="CE31" s="465"/>
      <c r="CF31" s="465"/>
      <c r="CG31" s="465"/>
      <c r="CH31" s="465"/>
      <c r="CI31" s="466"/>
      <c r="CJ31" s="467"/>
      <c r="CK31" s="468"/>
      <c r="CL31" s="468"/>
      <c r="CM31" s="469"/>
      <c r="CN31" s="467"/>
      <c r="CO31" s="469"/>
      <c r="CP31" s="488"/>
      <c r="CQ31" s="471"/>
      <c r="CR31" s="472"/>
      <c r="CS31" s="472"/>
      <c r="CT31" s="472"/>
      <c r="CU31" s="472"/>
      <c r="CV31" s="472"/>
      <c r="CW31" s="472"/>
      <c r="CX31" s="473"/>
      <c r="CY31" s="471"/>
      <c r="CZ31" s="472"/>
      <c r="DA31" s="472"/>
      <c r="DB31" s="472"/>
      <c r="DC31" s="472"/>
      <c r="DD31" s="472"/>
      <c r="DE31" s="472"/>
      <c r="DF31" s="473"/>
      <c r="DG31" s="471"/>
      <c r="DH31" s="472"/>
      <c r="DI31" s="472"/>
      <c r="DJ31" s="472"/>
      <c r="DK31" s="472"/>
      <c r="DL31" s="472"/>
      <c r="DM31" s="472"/>
      <c r="DN31" s="473"/>
      <c r="DO31" s="471"/>
      <c r="DP31" s="472"/>
      <c r="DQ31" s="472"/>
      <c r="DR31" s="472"/>
      <c r="DS31" s="472"/>
      <c r="DT31" s="472"/>
      <c r="DU31" s="472"/>
      <c r="DV31" s="473"/>
      <c r="DW31" s="471"/>
      <c r="DX31" s="472"/>
      <c r="DY31" s="472"/>
      <c r="DZ31" s="472"/>
      <c r="EA31" s="472"/>
      <c r="EB31" s="472"/>
      <c r="EC31" s="472"/>
      <c r="ED31" s="473"/>
      <c r="EE31" s="471"/>
      <c r="EF31" s="472"/>
      <c r="EG31" s="472"/>
      <c r="EH31" s="472"/>
      <c r="EI31" s="472"/>
      <c r="EJ31" s="472"/>
      <c r="EK31" s="472"/>
      <c r="EL31" s="473"/>
      <c r="EM31" s="471"/>
      <c r="EN31" s="472"/>
      <c r="EO31" s="472"/>
      <c r="EP31" s="472"/>
      <c r="EQ31" s="472"/>
      <c r="ER31" s="472"/>
      <c r="ES31" s="472"/>
      <c r="ET31" s="473"/>
      <c r="EU31" s="471"/>
      <c r="EV31" s="472"/>
      <c r="EW31" s="472"/>
      <c r="EX31" s="472"/>
      <c r="EY31" s="472"/>
      <c r="EZ31" s="472"/>
      <c r="FA31" s="472"/>
      <c r="FB31" s="473"/>
      <c r="FC31" s="471"/>
      <c r="FD31" s="472"/>
      <c r="FE31" s="472"/>
      <c r="FF31" s="472"/>
      <c r="FG31" s="472"/>
      <c r="FH31" s="472"/>
      <c r="FI31" s="472"/>
      <c r="FJ31" s="473"/>
      <c r="FK31" s="471"/>
      <c r="FL31" s="472"/>
      <c r="FM31" s="472"/>
      <c r="FN31" s="472"/>
      <c r="FO31" s="472"/>
      <c r="FP31" s="472"/>
      <c r="FQ31" s="472"/>
      <c r="FR31" s="473"/>
      <c r="FS31" s="471"/>
      <c r="FT31" s="472"/>
      <c r="FU31" s="472"/>
      <c r="FV31" s="472"/>
      <c r="FW31" s="472"/>
      <c r="FX31" s="472"/>
      <c r="FY31" s="472"/>
      <c r="FZ31" s="473"/>
      <c r="GA31" s="471"/>
      <c r="GB31" s="472"/>
      <c r="GC31" s="472"/>
      <c r="GD31" s="472"/>
      <c r="GE31" s="472"/>
      <c r="GF31" s="472"/>
      <c r="GG31" s="472"/>
      <c r="GH31" s="473"/>
      <c r="GI31" s="471"/>
      <c r="GJ31" s="472"/>
      <c r="GK31" s="472"/>
      <c r="GL31" s="472"/>
      <c r="GM31" s="472"/>
      <c r="GN31" s="472"/>
      <c r="GO31" s="472"/>
      <c r="GP31" s="473"/>
      <c r="GQ31" s="471" t="e">
        <v>#N/A</v>
      </c>
      <c r="GR31" s="472" t="e">
        <v>#N/A</v>
      </c>
      <c r="GS31" s="472" t="e">
        <v>#N/A</v>
      </c>
      <c r="GT31" s="472" t="e">
        <v>#N/A</v>
      </c>
      <c r="GU31" s="472" t="e">
        <v>#N/A</v>
      </c>
      <c r="GV31" s="473" t="e">
        <v>#N/A</v>
      </c>
    </row>
    <row r="32" spans="1:204" ht="15.75">
      <c r="A32" s="304">
        <v>16</v>
      </c>
      <c r="B32" s="349" t="str">
        <v/>
      </c>
      <c r="C32" s="392"/>
      <c r="D32" s="393"/>
      <c r="E32" s="394"/>
      <c r="F32" s="395"/>
      <c r="G32" s="396"/>
      <c r="H32" s="396"/>
      <c r="I32" s="396"/>
      <c r="J32" s="396"/>
      <c r="K32" s="396"/>
      <c r="L32" s="397"/>
      <c r="M32" s="304">
        <v>16</v>
      </c>
      <c r="N32" s="439"/>
      <c r="O32" s="440"/>
      <c r="P32" s="349"/>
      <c r="Q32" s="441"/>
      <c r="R32" s="401"/>
      <c r="S32" s="442"/>
      <c r="T32" s="443"/>
      <c r="U32" s="443"/>
      <c r="V32" s="443"/>
      <c r="W32" s="443"/>
      <c r="X32" s="443"/>
      <c r="Y32" s="443"/>
      <c r="Z32" s="443"/>
      <c r="AA32" s="443"/>
      <c r="AB32" s="443"/>
      <c r="AC32" s="443"/>
      <c r="AD32" s="444"/>
      <c r="AE32" s="480"/>
      <c r="AF32" s="447"/>
      <c r="AG32" s="447"/>
      <c r="AH32" s="447"/>
      <c r="AI32" s="481"/>
      <c r="AJ32" s="482"/>
      <c r="AK32" s="483"/>
      <c r="AL32" s="483"/>
      <c r="AM32" s="483"/>
      <c r="AN32" s="483"/>
      <c r="AO32" s="483"/>
      <c r="AP32" s="483"/>
      <c r="AQ32" s="483"/>
      <c r="AR32" s="483"/>
      <c r="AS32" s="484"/>
      <c r="AT32" s="485"/>
      <c r="AU32" s="486"/>
      <c r="AV32" s="487"/>
      <c r="AW32" s="485"/>
      <c r="AX32" s="486"/>
      <c r="AY32" s="487"/>
      <c r="AZ32" s="477"/>
      <c r="BA32" s="478"/>
      <c r="BB32" s="479"/>
      <c r="BC32" s="458"/>
      <c r="BD32" s="458"/>
      <c r="BE32" s="459"/>
      <c r="BF32" s="460"/>
      <c r="BG32" s="461"/>
      <c r="BH32" s="461"/>
      <c r="BI32" s="461"/>
      <c r="BJ32" s="461"/>
      <c r="BK32" s="462"/>
      <c r="BL32" s="460"/>
      <c r="BM32" s="461"/>
      <c r="BN32" s="461"/>
      <c r="BO32" s="461"/>
      <c r="BP32" s="461"/>
      <c r="BQ32" s="463"/>
      <c r="BR32" s="464"/>
      <c r="BS32" s="465"/>
      <c r="BT32" s="465"/>
      <c r="BU32" s="466"/>
      <c r="BV32" s="464"/>
      <c r="BW32" s="465"/>
      <c r="BX32" s="465"/>
      <c r="BY32" s="465"/>
      <c r="BZ32" s="465"/>
      <c r="CA32" s="465"/>
      <c r="CB32" s="466"/>
      <c r="CC32" s="464"/>
      <c r="CD32" s="465"/>
      <c r="CE32" s="465"/>
      <c r="CF32" s="465"/>
      <c r="CG32" s="465"/>
      <c r="CH32" s="465"/>
      <c r="CI32" s="466"/>
      <c r="CJ32" s="467"/>
      <c r="CK32" s="468"/>
      <c r="CL32" s="468"/>
      <c r="CM32" s="469"/>
      <c r="CN32" s="467"/>
      <c r="CO32" s="469"/>
      <c r="CP32" s="488"/>
      <c r="CQ32" s="471"/>
      <c r="CR32" s="472"/>
      <c r="CS32" s="472"/>
      <c r="CT32" s="472"/>
      <c r="CU32" s="472"/>
      <c r="CV32" s="472"/>
      <c r="CW32" s="472"/>
      <c r="CX32" s="473"/>
      <c r="CY32" s="471"/>
      <c r="CZ32" s="472"/>
      <c r="DA32" s="472"/>
      <c r="DB32" s="472"/>
      <c r="DC32" s="472"/>
      <c r="DD32" s="472"/>
      <c r="DE32" s="472"/>
      <c r="DF32" s="473"/>
      <c r="DG32" s="471"/>
      <c r="DH32" s="472"/>
      <c r="DI32" s="472"/>
      <c r="DJ32" s="472"/>
      <c r="DK32" s="472"/>
      <c r="DL32" s="472"/>
      <c r="DM32" s="472"/>
      <c r="DN32" s="473"/>
      <c r="DO32" s="471"/>
      <c r="DP32" s="472"/>
      <c r="DQ32" s="472"/>
      <c r="DR32" s="472"/>
      <c r="DS32" s="472"/>
      <c r="DT32" s="472"/>
      <c r="DU32" s="472"/>
      <c r="DV32" s="473"/>
      <c r="DW32" s="471"/>
      <c r="DX32" s="472"/>
      <c r="DY32" s="472"/>
      <c r="DZ32" s="472"/>
      <c r="EA32" s="472"/>
      <c r="EB32" s="472"/>
      <c r="EC32" s="472"/>
      <c r="ED32" s="473"/>
      <c r="EE32" s="471"/>
      <c r="EF32" s="472"/>
      <c r="EG32" s="472"/>
      <c r="EH32" s="472"/>
      <c r="EI32" s="472"/>
      <c r="EJ32" s="472"/>
      <c r="EK32" s="472"/>
      <c r="EL32" s="473"/>
      <c r="EM32" s="471"/>
      <c r="EN32" s="472"/>
      <c r="EO32" s="472"/>
      <c r="EP32" s="472"/>
      <c r="EQ32" s="472"/>
      <c r="ER32" s="472"/>
      <c r="ES32" s="472"/>
      <c r="ET32" s="473"/>
      <c r="EU32" s="471"/>
      <c r="EV32" s="472"/>
      <c r="EW32" s="472"/>
      <c r="EX32" s="472"/>
      <c r="EY32" s="472"/>
      <c r="EZ32" s="472"/>
      <c r="FA32" s="472"/>
      <c r="FB32" s="473"/>
      <c r="FC32" s="471"/>
      <c r="FD32" s="472"/>
      <c r="FE32" s="472"/>
      <c r="FF32" s="472"/>
      <c r="FG32" s="472"/>
      <c r="FH32" s="472"/>
      <c r="FI32" s="472"/>
      <c r="FJ32" s="473"/>
      <c r="FK32" s="471"/>
      <c r="FL32" s="472"/>
      <c r="FM32" s="472"/>
      <c r="FN32" s="472"/>
      <c r="FO32" s="472"/>
      <c r="FP32" s="472"/>
      <c r="FQ32" s="472"/>
      <c r="FR32" s="473"/>
      <c r="FS32" s="471"/>
      <c r="FT32" s="472"/>
      <c r="FU32" s="472"/>
      <c r="FV32" s="472"/>
      <c r="FW32" s="472"/>
      <c r="FX32" s="472"/>
      <c r="FY32" s="472"/>
      <c r="FZ32" s="473"/>
      <c r="GA32" s="471"/>
      <c r="GB32" s="472"/>
      <c r="GC32" s="472"/>
      <c r="GD32" s="472"/>
      <c r="GE32" s="472"/>
      <c r="GF32" s="472"/>
      <c r="GG32" s="472"/>
      <c r="GH32" s="473"/>
      <c r="GI32" s="471"/>
      <c r="GJ32" s="472"/>
      <c r="GK32" s="472"/>
      <c r="GL32" s="472"/>
      <c r="GM32" s="472"/>
      <c r="GN32" s="472"/>
      <c r="GO32" s="472"/>
      <c r="GP32" s="473"/>
      <c r="GQ32" s="471" t="e">
        <v>#N/A</v>
      </c>
      <c r="GR32" s="472" t="e">
        <v>#N/A</v>
      </c>
      <c r="GS32" s="472" t="e">
        <v>#N/A</v>
      </c>
      <c r="GT32" s="472" t="e">
        <v>#N/A</v>
      </c>
      <c r="GU32" s="472" t="e">
        <v>#N/A</v>
      </c>
      <c r="GV32" s="473" t="e">
        <v>#N/A</v>
      </c>
    </row>
    <row r="33" spans="1:204" ht="15.75">
      <c r="A33" s="304">
        <v>17</v>
      </c>
      <c r="B33" s="349" t="str">
        <v/>
      </c>
      <c r="C33" s="392"/>
      <c r="D33" s="393"/>
      <c r="E33" s="394"/>
      <c r="F33" s="395"/>
      <c r="G33" s="396"/>
      <c r="H33" s="396"/>
      <c r="I33" s="396"/>
      <c r="J33" s="396"/>
      <c r="K33" s="396"/>
      <c r="L33" s="397"/>
      <c r="M33" s="304">
        <v>17</v>
      </c>
      <c r="N33" s="439"/>
      <c r="O33" s="440"/>
      <c r="P33" s="349"/>
      <c r="Q33" s="441"/>
      <c r="R33" s="401"/>
      <c r="S33" s="442"/>
      <c r="T33" s="443"/>
      <c r="U33" s="443"/>
      <c r="V33" s="443"/>
      <c r="W33" s="443"/>
      <c r="X33" s="443"/>
      <c r="Y33" s="443"/>
      <c r="Z33" s="443"/>
      <c r="AA33" s="443"/>
      <c r="AB33" s="443"/>
      <c r="AC33" s="443"/>
      <c r="AD33" s="444"/>
      <c r="AE33" s="480"/>
      <c r="AF33" s="447"/>
      <c r="AG33" s="447"/>
      <c r="AH33" s="447"/>
      <c r="AI33" s="481"/>
      <c r="AJ33" s="482"/>
      <c r="AK33" s="483"/>
      <c r="AL33" s="483"/>
      <c r="AM33" s="483"/>
      <c r="AN33" s="483"/>
      <c r="AO33" s="483"/>
      <c r="AP33" s="483"/>
      <c r="AQ33" s="483"/>
      <c r="AR33" s="483"/>
      <c r="AS33" s="484"/>
      <c r="AT33" s="485"/>
      <c r="AU33" s="486"/>
      <c r="AV33" s="487"/>
      <c r="AW33" s="485"/>
      <c r="AX33" s="486"/>
      <c r="AY33" s="487"/>
      <c r="AZ33" s="477"/>
      <c r="BA33" s="478"/>
      <c r="BB33" s="479"/>
      <c r="BC33" s="458"/>
      <c r="BD33" s="458"/>
      <c r="BE33" s="459"/>
      <c r="BF33" s="460"/>
      <c r="BG33" s="461"/>
      <c r="BH33" s="461"/>
      <c r="BI33" s="461"/>
      <c r="BJ33" s="461"/>
      <c r="BK33" s="462"/>
      <c r="BL33" s="460"/>
      <c r="BM33" s="461"/>
      <c r="BN33" s="461"/>
      <c r="BO33" s="461"/>
      <c r="BP33" s="461"/>
      <c r="BQ33" s="463"/>
      <c r="BR33" s="464"/>
      <c r="BS33" s="465"/>
      <c r="BT33" s="465"/>
      <c r="BU33" s="466"/>
      <c r="BV33" s="464"/>
      <c r="BW33" s="465"/>
      <c r="BX33" s="465"/>
      <c r="BY33" s="465"/>
      <c r="BZ33" s="465"/>
      <c r="CA33" s="465"/>
      <c r="CB33" s="466"/>
      <c r="CC33" s="464"/>
      <c r="CD33" s="465"/>
      <c r="CE33" s="465"/>
      <c r="CF33" s="465"/>
      <c r="CG33" s="465"/>
      <c r="CH33" s="465"/>
      <c r="CI33" s="466"/>
      <c r="CJ33" s="467"/>
      <c r="CK33" s="468"/>
      <c r="CL33" s="468"/>
      <c r="CM33" s="469"/>
      <c r="CN33" s="467"/>
      <c r="CO33" s="469"/>
      <c r="CP33" s="488"/>
      <c r="CQ33" s="471"/>
      <c r="CR33" s="472"/>
      <c r="CS33" s="472"/>
      <c r="CT33" s="472"/>
      <c r="CU33" s="472"/>
      <c r="CV33" s="472"/>
      <c r="CW33" s="472"/>
      <c r="CX33" s="473"/>
      <c r="CY33" s="471"/>
      <c r="CZ33" s="472"/>
      <c r="DA33" s="472"/>
      <c r="DB33" s="472"/>
      <c r="DC33" s="472"/>
      <c r="DD33" s="472"/>
      <c r="DE33" s="472"/>
      <c r="DF33" s="473"/>
      <c r="DG33" s="471"/>
      <c r="DH33" s="472"/>
      <c r="DI33" s="472"/>
      <c r="DJ33" s="472"/>
      <c r="DK33" s="472"/>
      <c r="DL33" s="472"/>
      <c r="DM33" s="472"/>
      <c r="DN33" s="473"/>
      <c r="DO33" s="471"/>
      <c r="DP33" s="472"/>
      <c r="DQ33" s="472"/>
      <c r="DR33" s="472"/>
      <c r="DS33" s="472"/>
      <c r="DT33" s="472"/>
      <c r="DU33" s="472"/>
      <c r="DV33" s="473"/>
      <c r="DW33" s="471"/>
      <c r="DX33" s="472"/>
      <c r="DY33" s="472"/>
      <c r="DZ33" s="472"/>
      <c r="EA33" s="472"/>
      <c r="EB33" s="472"/>
      <c r="EC33" s="472"/>
      <c r="ED33" s="473"/>
      <c r="EE33" s="471"/>
      <c r="EF33" s="472"/>
      <c r="EG33" s="472"/>
      <c r="EH33" s="472"/>
      <c r="EI33" s="472"/>
      <c r="EJ33" s="472"/>
      <c r="EK33" s="472"/>
      <c r="EL33" s="473"/>
      <c r="EM33" s="471"/>
      <c r="EN33" s="472"/>
      <c r="EO33" s="472"/>
      <c r="EP33" s="472"/>
      <c r="EQ33" s="472"/>
      <c r="ER33" s="472"/>
      <c r="ES33" s="472"/>
      <c r="ET33" s="473"/>
      <c r="EU33" s="471"/>
      <c r="EV33" s="472"/>
      <c r="EW33" s="472"/>
      <c r="EX33" s="472"/>
      <c r="EY33" s="472"/>
      <c r="EZ33" s="472"/>
      <c r="FA33" s="472"/>
      <c r="FB33" s="473"/>
      <c r="FC33" s="471"/>
      <c r="FD33" s="472"/>
      <c r="FE33" s="472"/>
      <c r="FF33" s="472"/>
      <c r="FG33" s="472"/>
      <c r="FH33" s="472"/>
      <c r="FI33" s="472"/>
      <c r="FJ33" s="473"/>
      <c r="FK33" s="471"/>
      <c r="FL33" s="472"/>
      <c r="FM33" s="472"/>
      <c r="FN33" s="472"/>
      <c r="FO33" s="472"/>
      <c r="FP33" s="472"/>
      <c r="FQ33" s="472"/>
      <c r="FR33" s="473"/>
      <c r="FS33" s="471"/>
      <c r="FT33" s="472"/>
      <c r="FU33" s="472"/>
      <c r="FV33" s="472"/>
      <c r="FW33" s="472"/>
      <c r="FX33" s="472"/>
      <c r="FY33" s="472"/>
      <c r="FZ33" s="473"/>
      <c r="GA33" s="471"/>
      <c r="GB33" s="472"/>
      <c r="GC33" s="472"/>
      <c r="GD33" s="472"/>
      <c r="GE33" s="472"/>
      <c r="GF33" s="472"/>
      <c r="GG33" s="472"/>
      <c r="GH33" s="473"/>
      <c r="GI33" s="471"/>
      <c r="GJ33" s="472"/>
      <c r="GK33" s="472"/>
      <c r="GL33" s="472"/>
      <c r="GM33" s="472"/>
      <c r="GN33" s="472"/>
      <c r="GO33" s="472"/>
      <c r="GP33" s="473"/>
      <c r="GQ33" s="471" t="e">
        <v>#N/A</v>
      </c>
      <c r="GR33" s="472" t="e">
        <v>#N/A</v>
      </c>
      <c r="GS33" s="472" t="e">
        <v>#N/A</v>
      </c>
      <c r="GT33" s="472" t="e">
        <v>#N/A</v>
      </c>
      <c r="GU33" s="472" t="e">
        <v>#N/A</v>
      </c>
      <c r="GV33" s="473" t="e">
        <v>#N/A</v>
      </c>
    </row>
    <row r="34" spans="1:204" ht="15.75">
      <c r="A34" s="304">
        <v>18</v>
      </c>
      <c r="B34" s="349" t="str">
        <v/>
      </c>
      <c r="C34" s="392"/>
      <c r="D34" s="393"/>
      <c r="E34" s="394"/>
      <c r="F34" s="395"/>
      <c r="G34" s="396"/>
      <c r="H34" s="396"/>
      <c r="I34" s="396"/>
      <c r="J34" s="396"/>
      <c r="K34" s="396"/>
      <c r="L34" s="397"/>
      <c r="M34" s="304">
        <v>18</v>
      </c>
      <c r="N34" s="439"/>
      <c r="O34" s="440"/>
      <c r="P34" s="349"/>
      <c r="Q34" s="441"/>
      <c r="R34" s="401"/>
      <c r="S34" s="442"/>
      <c r="T34" s="443"/>
      <c r="U34" s="443"/>
      <c r="V34" s="443"/>
      <c r="W34" s="443"/>
      <c r="X34" s="443"/>
      <c r="Y34" s="443"/>
      <c r="Z34" s="443"/>
      <c r="AA34" s="443"/>
      <c r="AB34" s="443"/>
      <c r="AC34" s="443"/>
      <c r="AD34" s="444"/>
      <c r="AE34" s="480"/>
      <c r="AF34" s="447"/>
      <c r="AG34" s="447"/>
      <c r="AH34" s="447"/>
      <c r="AI34" s="481"/>
      <c r="AJ34" s="482"/>
      <c r="AK34" s="483"/>
      <c r="AL34" s="483"/>
      <c r="AM34" s="483"/>
      <c r="AN34" s="483"/>
      <c r="AO34" s="483"/>
      <c r="AP34" s="483"/>
      <c r="AQ34" s="483"/>
      <c r="AR34" s="483"/>
      <c r="AS34" s="484"/>
      <c r="AT34" s="485"/>
      <c r="AU34" s="486"/>
      <c r="AV34" s="487"/>
      <c r="AW34" s="485"/>
      <c r="AX34" s="486"/>
      <c r="AY34" s="487"/>
      <c r="AZ34" s="477"/>
      <c r="BA34" s="478"/>
      <c r="BB34" s="479"/>
      <c r="BC34" s="458"/>
      <c r="BD34" s="458"/>
      <c r="BE34" s="459"/>
      <c r="BF34" s="460"/>
      <c r="BG34" s="461"/>
      <c r="BH34" s="461"/>
      <c r="BI34" s="461"/>
      <c r="BJ34" s="461"/>
      <c r="BK34" s="462"/>
      <c r="BL34" s="460"/>
      <c r="BM34" s="461"/>
      <c r="BN34" s="461"/>
      <c r="BO34" s="461"/>
      <c r="BP34" s="461"/>
      <c r="BQ34" s="463"/>
      <c r="BR34" s="464"/>
      <c r="BS34" s="465"/>
      <c r="BT34" s="465"/>
      <c r="BU34" s="466"/>
      <c r="BV34" s="464"/>
      <c r="BW34" s="465"/>
      <c r="BX34" s="465"/>
      <c r="BY34" s="465"/>
      <c r="BZ34" s="465"/>
      <c r="CA34" s="465"/>
      <c r="CB34" s="466"/>
      <c r="CC34" s="464"/>
      <c r="CD34" s="465"/>
      <c r="CE34" s="465"/>
      <c r="CF34" s="465"/>
      <c r="CG34" s="465"/>
      <c r="CH34" s="465"/>
      <c r="CI34" s="466"/>
      <c r="CJ34" s="467"/>
      <c r="CK34" s="468"/>
      <c r="CL34" s="468"/>
      <c r="CM34" s="469"/>
      <c r="CN34" s="467"/>
      <c r="CO34" s="469"/>
      <c r="CP34" s="488"/>
      <c r="CQ34" s="471"/>
      <c r="CR34" s="472"/>
      <c r="CS34" s="472"/>
      <c r="CT34" s="472"/>
      <c r="CU34" s="472"/>
      <c r="CV34" s="472"/>
      <c r="CW34" s="472"/>
      <c r="CX34" s="473"/>
      <c r="CY34" s="471"/>
      <c r="CZ34" s="472"/>
      <c r="DA34" s="472"/>
      <c r="DB34" s="472"/>
      <c r="DC34" s="472"/>
      <c r="DD34" s="472"/>
      <c r="DE34" s="472"/>
      <c r="DF34" s="473"/>
      <c r="DG34" s="471"/>
      <c r="DH34" s="472"/>
      <c r="DI34" s="472"/>
      <c r="DJ34" s="472"/>
      <c r="DK34" s="472"/>
      <c r="DL34" s="472"/>
      <c r="DM34" s="472"/>
      <c r="DN34" s="473"/>
      <c r="DO34" s="471"/>
      <c r="DP34" s="472"/>
      <c r="DQ34" s="472"/>
      <c r="DR34" s="472"/>
      <c r="DS34" s="472"/>
      <c r="DT34" s="472"/>
      <c r="DU34" s="472"/>
      <c r="DV34" s="473"/>
      <c r="DW34" s="471"/>
      <c r="DX34" s="472"/>
      <c r="DY34" s="472"/>
      <c r="DZ34" s="472"/>
      <c r="EA34" s="472"/>
      <c r="EB34" s="472"/>
      <c r="EC34" s="472"/>
      <c r="ED34" s="473"/>
      <c r="EE34" s="471"/>
      <c r="EF34" s="472"/>
      <c r="EG34" s="472"/>
      <c r="EH34" s="472"/>
      <c r="EI34" s="472"/>
      <c r="EJ34" s="472"/>
      <c r="EK34" s="472"/>
      <c r="EL34" s="473"/>
      <c r="EM34" s="471"/>
      <c r="EN34" s="472"/>
      <c r="EO34" s="472"/>
      <c r="EP34" s="472"/>
      <c r="EQ34" s="472"/>
      <c r="ER34" s="472"/>
      <c r="ES34" s="472"/>
      <c r="ET34" s="473"/>
      <c r="EU34" s="471"/>
      <c r="EV34" s="472"/>
      <c r="EW34" s="472"/>
      <c r="EX34" s="472"/>
      <c r="EY34" s="472"/>
      <c r="EZ34" s="472"/>
      <c r="FA34" s="472"/>
      <c r="FB34" s="473"/>
      <c r="FC34" s="471"/>
      <c r="FD34" s="472"/>
      <c r="FE34" s="472"/>
      <c r="FF34" s="472"/>
      <c r="FG34" s="472"/>
      <c r="FH34" s="472"/>
      <c r="FI34" s="472"/>
      <c r="FJ34" s="473"/>
      <c r="FK34" s="471"/>
      <c r="FL34" s="472"/>
      <c r="FM34" s="472"/>
      <c r="FN34" s="472"/>
      <c r="FO34" s="472"/>
      <c r="FP34" s="472"/>
      <c r="FQ34" s="472"/>
      <c r="FR34" s="473"/>
      <c r="FS34" s="471"/>
      <c r="FT34" s="472"/>
      <c r="FU34" s="472"/>
      <c r="FV34" s="472"/>
      <c r="FW34" s="472"/>
      <c r="FX34" s="472"/>
      <c r="FY34" s="472"/>
      <c r="FZ34" s="473"/>
      <c r="GA34" s="471"/>
      <c r="GB34" s="472"/>
      <c r="GC34" s="472"/>
      <c r="GD34" s="472"/>
      <c r="GE34" s="472"/>
      <c r="GF34" s="472"/>
      <c r="GG34" s="472"/>
      <c r="GH34" s="473"/>
      <c r="GI34" s="471"/>
      <c r="GJ34" s="472"/>
      <c r="GK34" s="472"/>
      <c r="GL34" s="472"/>
      <c r="GM34" s="472"/>
      <c r="GN34" s="472"/>
      <c r="GO34" s="472"/>
      <c r="GP34" s="473"/>
      <c r="GQ34" s="471" t="e">
        <v>#N/A</v>
      </c>
      <c r="GR34" s="472" t="e">
        <v>#N/A</v>
      </c>
      <c r="GS34" s="472" t="e">
        <v>#N/A</v>
      </c>
      <c r="GT34" s="472" t="e">
        <v>#N/A</v>
      </c>
      <c r="GU34" s="472" t="e">
        <v>#N/A</v>
      </c>
      <c r="GV34" s="473" t="e">
        <v>#N/A</v>
      </c>
    </row>
    <row r="35" spans="1:204" ht="15.75">
      <c r="A35" s="304">
        <v>19</v>
      </c>
      <c r="B35" s="349" t="str">
        <v/>
      </c>
      <c r="C35" s="392"/>
      <c r="D35" s="393"/>
      <c r="E35" s="394"/>
      <c r="F35" s="395"/>
      <c r="G35" s="396"/>
      <c r="H35" s="396"/>
      <c r="I35" s="396"/>
      <c r="J35" s="396"/>
      <c r="K35" s="396"/>
      <c r="L35" s="397"/>
      <c r="M35" s="304">
        <v>19</v>
      </c>
      <c r="N35" s="439"/>
      <c r="O35" s="440"/>
      <c r="P35" s="349"/>
      <c r="Q35" s="441"/>
      <c r="R35" s="401"/>
      <c r="S35" s="442"/>
      <c r="T35" s="443"/>
      <c r="U35" s="443"/>
      <c r="V35" s="443"/>
      <c r="W35" s="443"/>
      <c r="X35" s="443"/>
      <c r="Y35" s="443"/>
      <c r="Z35" s="443"/>
      <c r="AA35" s="443"/>
      <c r="AB35" s="443"/>
      <c r="AC35" s="443"/>
      <c r="AD35" s="444"/>
      <c r="AE35" s="480"/>
      <c r="AF35" s="447"/>
      <c r="AG35" s="447"/>
      <c r="AH35" s="447"/>
      <c r="AI35" s="481"/>
      <c r="AJ35" s="482"/>
      <c r="AK35" s="483"/>
      <c r="AL35" s="483"/>
      <c r="AM35" s="483"/>
      <c r="AN35" s="483"/>
      <c r="AO35" s="483"/>
      <c r="AP35" s="483"/>
      <c r="AQ35" s="483"/>
      <c r="AR35" s="483"/>
      <c r="AS35" s="484"/>
      <c r="AT35" s="485"/>
      <c r="AU35" s="486"/>
      <c r="AV35" s="487"/>
      <c r="AW35" s="485"/>
      <c r="AX35" s="486"/>
      <c r="AY35" s="487"/>
      <c r="AZ35" s="477"/>
      <c r="BA35" s="478"/>
      <c r="BB35" s="479"/>
      <c r="BC35" s="458"/>
      <c r="BD35" s="458"/>
      <c r="BE35" s="459"/>
      <c r="BF35" s="460"/>
      <c r="BG35" s="461"/>
      <c r="BH35" s="461"/>
      <c r="BI35" s="461"/>
      <c r="BJ35" s="461"/>
      <c r="BK35" s="462"/>
      <c r="BL35" s="460"/>
      <c r="BM35" s="461"/>
      <c r="BN35" s="461"/>
      <c r="BO35" s="461"/>
      <c r="BP35" s="461"/>
      <c r="BQ35" s="463"/>
      <c r="BR35" s="464"/>
      <c r="BS35" s="465"/>
      <c r="BT35" s="465"/>
      <c r="BU35" s="466"/>
      <c r="BV35" s="464"/>
      <c r="BW35" s="465"/>
      <c r="BX35" s="465"/>
      <c r="BY35" s="465"/>
      <c r="BZ35" s="465"/>
      <c r="CA35" s="465"/>
      <c r="CB35" s="466"/>
      <c r="CC35" s="464"/>
      <c r="CD35" s="465"/>
      <c r="CE35" s="465"/>
      <c r="CF35" s="465"/>
      <c r="CG35" s="465"/>
      <c r="CH35" s="465"/>
      <c r="CI35" s="466"/>
      <c r="CJ35" s="467"/>
      <c r="CK35" s="468"/>
      <c r="CL35" s="468"/>
      <c r="CM35" s="469"/>
      <c r="CN35" s="467"/>
      <c r="CO35" s="469"/>
      <c r="CP35" s="488"/>
      <c r="CQ35" s="471"/>
      <c r="CR35" s="472"/>
      <c r="CS35" s="472"/>
      <c r="CT35" s="472"/>
      <c r="CU35" s="472"/>
      <c r="CV35" s="472"/>
      <c r="CW35" s="472"/>
      <c r="CX35" s="473"/>
      <c r="CY35" s="471"/>
      <c r="CZ35" s="472"/>
      <c r="DA35" s="472"/>
      <c r="DB35" s="472"/>
      <c r="DC35" s="472"/>
      <c r="DD35" s="472"/>
      <c r="DE35" s="472"/>
      <c r="DF35" s="473"/>
      <c r="DG35" s="471"/>
      <c r="DH35" s="472"/>
      <c r="DI35" s="472"/>
      <c r="DJ35" s="472"/>
      <c r="DK35" s="472"/>
      <c r="DL35" s="472"/>
      <c r="DM35" s="472"/>
      <c r="DN35" s="473"/>
      <c r="DO35" s="471"/>
      <c r="DP35" s="472"/>
      <c r="DQ35" s="472"/>
      <c r="DR35" s="472"/>
      <c r="DS35" s="472"/>
      <c r="DT35" s="472"/>
      <c r="DU35" s="472"/>
      <c r="DV35" s="473"/>
      <c r="DW35" s="471"/>
      <c r="DX35" s="472"/>
      <c r="DY35" s="472"/>
      <c r="DZ35" s="472"/>
      <c r="EA35" s="472"/>
      <c r="EB35" s="472"/>
      <c r="EC35" s="472"/>
      <c r="ED35" s="473"/>
      <c r="EE35" s="471"/>
      <c r="EF35" s="472"/>
      <c r="EG35" s="472"/>
      <c r="EH35" s="472"/>
      <c r="EI35" s="472"/>
      <c r="EJ35" s="472"/>
      <c r="EK35" s="472"/>
      <c r="EL35" s="473"/>
      <c r="EM35" s="471"/>
      <c r="EN35" s="472"/>
      <c r="EO35" s="472"/>
      <c r="EP35" s="472"/>
      <c r="EQ35" s="472"/>
      <c r="ER35" s="472"/>
      <c r="ES35" s="472"/>
      <c r="ET35" s="473"/>
      <c r="EU35" s="471"/>
      <c r="EV35" s="472"/>
      <c r="EW35" s="472"/>
      <c r="EX35" s="472"/>
      <c r="EY35" s="472"/>
      <c r="EZ35" s="472"/>
      <c r="FA35" s="472"/>
      <c r="FB35" s="473"/>
      <c r="FC35" s="471"/>
      <c r="FD35" s="472"/>
      <c r="FE35" s="472"/>
      <c r="FF35" s="472"/>
      <c r="FG35" s="472"/>
      <c r="FH35" s="472"/>
      <c r="FI35" s="472"/>
      <c r="FJ35" s="473"/>
      <c r="FK35" s="471"/>
      <c r="FL35" s="472"/>
      <c r="FM35" s="472"/>
      <c r="FN35" s="472"/>
      <c r="FO35" s="472"/>
      <c r="FP35" s="472"/>
      <c r="FQ35" s="472"/>
      <c r="FR35" s="473"/>
      <c r="FS35" s="471"/>
      <c r="FT35" s="472"/>
      <c r="FU35" s="472"/>
      <c r="FV35" s="472"/>
      <c r="FW35" s="472"/>
      <c r="FX35" s="472"/>
      <c r="FY35" s="472"/>
      <c r="FZ35" s="473"/>
      <c r="GA35" s="471"/>
      <c r="GB35" s="472"/>
      <c r="GC35" s="472"/>
      <c r="GD35" s="472"/>
      <c r="GE35" s="472"/>
      <c r="GF35" s="472"/>
      <c r="GG35" s="472"/>
      <c r="GH35" s="473"/>
      <c r="GI35" s="471"/>
      <c r="GJ35" s="472"/>
      <c r="GK35" s="472"/>
      <c r="GL35" s="472"/>
      <c r="GM35" s="472"/>
      <c r="GN35" s="472"/>
      <c r="GO35" s="472"/>
      <c r="GP35" s="473"/>
      <c r="GQ35" s="471" t="e">
        <v>#N/A</v>
      </c>
      <c r="GR35" s="472" t="e">
        <v>#N/A</v>
      </c>
      <c r="GS35" s="472" t="e">
        <v>#N/A</v>
      </c>
      <c r="GT35" s="472" t="e">
        <v>#N/A</v>
      </c>
      <c r="GU35" s="472" t="e">
        <v>#N/A</v>
      </c>
      <c r="GV35" s="473" t="e">
        <v>#N/A</v>
      </c>
    </row>
    <row r="36" spans="1:204" ht="15.75">
      <c r="A36" s="304">
        <v>20</v>
      </c>
      <c r="B36" s="349" t="str">
        <v/>
      </c>
      <c r="C36" s="392"/>
      <c r="D36" s="393"/>
      <c r="E36" s="394"/>
      <c r="F36" s="395"/>
      <c r="G36" s="396"/>
      <c r="H36" s="396"/>
      <c r="I36" s="396"/>
      <c r="J36" s="396"/>
      <c r="K36" s="396"/>
      <c r="L36" s="397"/>
      <c r="M36" s="304">
        <v>20</v>
      </c>
      <c r="N36" s="439"/>
      <c r="O36" s="440"/>
      <c r="P36" s="349"/>
      <c r="Q36" s="441"/>
      <c r="R36" s="401"/>
      <c r="S36" s="442"/>
      <c r="T36" s="443"/>
      <c r="U36" s="443"/>
      <c r="V36" s="443"/>
      <c r="W36" s="443"/>
      <c r="X36" s="443"/>
      <c r="Y36" s="443"/>
      <c r="Z36" s="443"/>
      <c r="AA36" s="443"/>
      <c r="AB36" s="443"/>
      <c r="AC36" s="443"/>
      <c r="AD36" s="444"/>
      <c r="AE36" s="480"/>
      <c r="AF36" s="447"/>
      <c r="AG36" s="447"/>
      <c r="AH36" s="447"/>
      <c r="AI36" s="481"/>
      <c r="AJ36" s="482"/>
      <c r="AK36" s="483"/>
      <c r="AL36" s="483"/>
      <c r="AM36" s="483"/>
      <c r="AN36" s="483"/>
      <c r="AO36" s="483"/>
      <c r="AP36" s="483"/>
      <c r="AQ36" s="483"/>
      <c r="AR36" s="483"/>
      <c r="AS36" s="484"/>
      <c r="AT36" s="485"/>
      <c r="AU36" s="486"/>
      <c r="AV36" s="487"/>
      <c r="AW36" s="485"/>
      <c r="AX36" s="486"/>
      <c r="AY36" s="487"/>
      <c r="AZ36" s="477"/>
      <c r="BA36" s="478"/>
      <c r="BB36" s="479"/>
      <c r="BC36" s="458"/>
      <c r="BD36" s="458"/>
      <c r="BE36" s="459"/>
      <c r="BF36" s="460"/>
      <c r="BG36" s="461"/>
      <c r="BH36" s="461"/>
      <c r="BI36" s="461"/>
      <c r="BJ36" s="461"/>
      <c r="BK36" s="462"/>
      <c r="BL36" s="460"/>
      <c r="BM36" s="461"/>
      <c r="BN36" s="461"/>
      <c r="BO36" s="461"/>
      <c r="BP36" s="461"/>
      <c r="BQ36" s="463"/>
      <c r="BR36" s="464"/>
      <c r="BS36" s="465"/>
      <c r="BT36" s="465"/>
      <c r="BU36" s="466"/>
      <c r="BV36" s="464"/>
      <c r="BW36" s="465"/>
      <c r="BX36" s="465"/>
      <c r="BY36" s="465"/>
      <c r="BZ36" s="465"/>
      <c r="CA36" s="465"/>
      <c r="CB36" s="466"/>
      <c r="CC36" s="464"/>
      <c r="CD36" s="465"/>
      <c r="CE36" s="465"/>
      <c r="CF36" s="465"/>
      <c r="CG36" s="465"/>
      <c r="CH36" s="465"/>
      <c r="CI36" s="466"/>
      <c r="CJ36" s="467"/>
      <c r="CK36" s="468"/>
      <c r="CL36" s="468"/>
      <c r="CM36" s="469"/>
      <c r="CN36" s="467"/>
      <c r="CO36" s="469"/>
      <c r="CP36" s="488"/>
      <c r="CQ36" s="471"/>
      <c r="CR36" s="472"/>
      <c r="CS36" s="472"/>
      <c r="CT36" s="472"/>
      <c r="CU36" s="472"/>
      <c r="CV36" s="472"/>
      <c r="CW36" s="472"/>
      <c r="CX36" s="473"/>
      <c r="CY36" s="471"/>
      <c r="CZ36" s="472"/>
      <c r="DA36" s="472"/>
      <c r="DB36" s="472"/>
      <c r="DC36" s="472"/>
      <c r="DD36" s="472"/>
      <c r="DE36" s="472"/>
      <c r="DF36" s="473"/>
      <c r="DG36" s="471"/>
      <c r="DH36" s="472"/>
      <c r="DI36" s="472"/>
      <c r="DJ36" s="472"/>
      <c r="DK36" s="472"/>
      <c r="DL36" s="472"/>
      <c r="DM36" s="472"/>
      <c r="DN36" s="473"/>
      <c r="DO36" s="471"/>
      <c r="DP36" s="472"/>
      <c r="DQ36" s="472"/>
      <c r="DR36" s="472"/>
      <c r="DS36" s="472"/>
      <c r="DT36" s="472"/>
      <c r="DU36" s="472"/>
      <c r="DV36" s="473"/>
      <c r="DW36" s="471"/>
      <c r="DX36" s="472"/>
      <c r="DY36" s="472"/>
      <c r="DZ36" s="472"/>
      <c r="EA36" s="472"/>
      <c r="EB36" s="472"/>
      <c r="EC36" s="472"/>
      <c r="ED36" s="473"/>
      <c r="EE36" s="471"/>
      <c r="EF36" s="472"/>
      <c r="EG36" s="472"/>
      <c r="EH36" s="472"/>
      <c r="EI36" s="472"/>
      <c r="EJ36" s="472"/>
      <c r="EK36" s="472"/>
      <c r="EL36" s="473"/>
      <c r="EM36" s="471"/>
      <c r="EN36" s="472"/>
      <c r="EO36" s="472"/>
      <c r="EP36" s="472"/>
      <c r="EQ36" s="472"/>
      <c r="ER36" s="472"/>
      <c r="ES36" s="472"/>
      <c r="ET36" s="473"/>
      <c r="EU36" s="471"/>
      <c r="EV36" s="472"/>
      <c r="EW36" s="472"/>
      <c r="EX36" s="472"/>
      <c r="EY36" s="472"/>
      <c r="EZ36" s="472"/>
      <c r="FA36" s="472"/>
      <c r="FB36" s="473"/>
      <c r="FC36" s="471"/>
      <c r="FD36" s="472"/>
      <c r="FE36" s="472"/>
      <c r="FF36" s="472"/>
      <c r="FG36" s="472"/>
      <c r="FH36" s="472"/>
      <c r="FI36" s="472"/>
      <c r="FJ36" s="473"/>
      <c r="FK36" s="471"/>
      <c r="FL36" s="472"/>
      <c r="FM36" s="472"/>
      <c r="FN36" s="472"/>
      <c r="FO36" s="472"/>
      <c r="FP36" s="472"/>
      <c r="FQ36" s="472"/>
      <c r="FR36" s="473"/>
      <c r="FS36" s="471"/>
      <c r="FT36" s="472"/>
      <c r="FU36" s="472"/>
      <c r="FV36" s="472"/>
      <c r="FW36" s="472"/>
      <c r="FX36" s="472"/>
      <c r="FY36" s="472"/>
      <c r="FZ36" s="473"/>
      <c r="GA36" s="471"/>
      <c r="GB36" s="472"/>
      <c r="GC36" s="472"/>
      <c r="GD36" s="472"/>
      <c r="GE36" s="472"/>
      <c r="GF36" s="472"/>
      <c r="GG36" s="472"/>
      <c r="GH36" s="473"/>
      <c r="GI36" s="471"/>
      <c r="GJ36" s="472"/>
      <c r="GK36" s="472"/>
      <c r="GL36" s="472"/>
      <c r="GM36" s="472"/>
      <c r="GN36" s="472"/>
      <c r="GO36" s="472"/>
      <c r="GP36" s="473"/>
      <c r="GQ36" s="471" t="e">
        <v>#N/A</v>
      </c>
      <c r="GR36" s="472" t="e">
        <v>#N/A</v>
      </c>
      <c r="GS36" s="472" t="e">
        <v>#N/A</v>
      </c>
      <c r="GT36" s="472" t="e">
        <v>#N/A</v>
      </c>
      <c r="GU36" s="472" t="e">
        <v>#N/A</v>
      </c>
      <c r="GV36" s="473" t="e">
        <v>#N/A</v>
      </c>
    </row>
    <row r="37" spans="1:204" ht="15.75">
      <c r="A37" s="304">
        <v>21</v>
      </c>
      <c r="B37" s="349" t="str">
        <v/>
      </c>
      <c r="C37" s="392"/>
      <c r="D37" s="393"/>
      <c r="E37" s="394"/>
      <c r="F37" s="395"/>
      <c r="G37" s="396"/>
      <c r="H37" s="396"/>
      <c r="I37" s="396"/>
      <c r="J37" s="396"/>
      <c r="K37" s="396"/>
      <c r="L37" s="397"/>
      <c r="M37" s="304">
        <v>21</v>
      </c>
      <c r="N37" s="439"/>
      <c r="O37" s="440"/>
      <c r="P37" s="349"/>
      <c r="Q37" s="441"/>
      <c r="R37" s="489"/>
      <c r="S37" s="442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4"/>
      <c r="AE37" s="480"/>
      <c r="AF37" s="447"/>
      <c r="AG37" s="447"/>
      <c r="AH37" s="447"/>
      <c r="AI37" s="481"/>
      <c r="AJ37" s="482"/>
      <c r="AK37" s="483"/>
      <c r="AL37" s="483"/>
      <c r="AM37" s="483"/>
      <c r="AN37" s="483"/>
      <c r="AO37" s="483"/>
      <c r="AP37" s="483"/>
      <c r="AQ37" s="483"/>
      <c r="AR37" s="483"/>
      <c r="AS37" s="484"/>
      <c r="AT37" s="485"/>
      <c r="AU37" s="486"/>
      <c r="AV37" s="487"/>
      <c r="AW37" s="485"/>
      <c r="AX37" s="486"/>
      <c r="AY37" s="487"/>
      <c r="AZ37" s="477"/>
      <c r="BA37" s="478"/>
      <c r="BB37" s="479"/>
      <c r="BC37" s="458"/>
      <c r="BD37" s="458"/>
      <c r="BE37" s="459"/>
      <c r="BF37" s="460"/>
      <c r="BG37" s="461"/>
      <c r="BH37" s="461"/>
      <c r="BI37" s="461"/>
      <c r="BJ37" s="461"/>
      <c r="BK37" s="462"/>
      <c r="BL37" s="460"/>
      <c r="BM37" s="461"/>
      <c r="BN37" s="461"/>
      <c r="BO37" s="461"/>
      <c r="BP37" s="461"/>
      <c r="BQ37" s="463"/>
      <c r="BR37" s="464"/>
      <c r="BS37" s="465"/>
      <c r="BT37" s="465"/>
      <c r="BU37" s="466"/>
      <c r="BV37" s="464"/>
      <c r="BW37" s="465"/>
      <c r="BX37" s="465"/>
      <c r="BY37" s="465"/>
      <c r="BZ37" s="465"/>
      <c r="CA37" s="465"/>
      <c r="CB37" s="466"/>
      <c r="CC37" s="464"/>
      <c r="CD37" s="465"/>
      <c r="CE37" s="465"/>
      <c r="CF37" s="465"/>
      <c r="CG37" s="465"/>
      <c r="CH37" s="465"/>
      <c r="CI37" s="466"/>
      <c r="CJ37" s="467"/>
      <c r="CK37" s="468"/>
      <c r="CL37" s="468"/>
      <c r="CM37" s="469"/>
      <c r="CN37" s="467"/>
      <c r="CO37" s="469"/>
      <c r="CP37" s="488"/>
      <c r="CQ37" s="471"/>
      <c r="CR37" s="472"/>
      <c r="CS37" s="472"/>
      <c r="CT37" s="472"/>
      <c r="CU37" s="472"/>
      <c r="CV37" s="472"/>
      <c r="CW37" s="472"/>
      <c r="CX37" s="473"/>
      <c r="CY37" s="471"/>
      <c r="CZ37" s="472"/>
      <c r="DA37" s="472"/>
      <c r="DB37" s="472"/>
      <c r="DC37" s="472"/>
      <c r="DD37" s="472"/>
      <c r="DE37" s="472"/>
      <c r="DF37" s="473"/>
      <c r="DG37" s="471"/>
      <c r="DH37" s="472"/>
      <c r="DI37" s="472"/>
      <c r="DJ37" s="472"/>
      <c r="DK37" s="472"/>
      <c r="DL37" s="472"/>
      <c r="DM37" s="472"/>
      <c r="DN37" s="473"/>
      <c r="DO37" s="471"/>
      <c r="DP37" s="472"/>
      <c r="DQ37" s="472"/>
      <c r="DR37" s="472"/>
      <c r="DS37" s="472"/>
      <c r="DT37" s="472"/>
      <c r="DU37" s="472"/>
      <c r="DV37" s="473"/>
      <c r="DW37" s="471"/>
      <c r="DX37" s="472"/>
      <c r="DY37" s="472"/>
      <c r="DZ37" s="472"/>
      <c r="EA37" s="472"/>
      <c r="EB37" s="472"/>
      <c r="EC37" s="472"/>
      <c r="ED37" s="473"/>
      <c r="EE37" s="471"/>
      <c r="EF37" s="472"/>
      <c r="EG37" s="472"/>
      <c r="EH37" s="472"/>
      <c r="EI37" s="472"/>
      <c r="EJ37" s="472"/>
      <c r="EK37" s="472"/>
      <c r="EL37" s="473"/>
      <c r="EM37" s="471"/>
      <c r="EN37" s="472"/>
      <c r="EO37" s="472"/>
      <c r="EP37" s="472"/>
      <c r="EQ37" s="472"/>
      <c r="ER37" s="472"/>
      <c r="ES37" s="472"/>
      <c r="ET37" s="473"/>
      <c r="EU37" s="471"/>
      <c r="EV37" s="472"/>
      <c r="EW37" s="472"/>
      <c r="EX37" s="472"/>
      <c r="EY37" s="472"/>
      <c r="EZ37" s="472"/>
      <c r="FA37" s="472"/>
      <c r="FB37" s="473"/>
      <c r="FC37" s="471"/>
      <c r="FD37" s="472"/>
      <c r="FE37" s="472"/>
      <c r="FF37" s="472"/>
      <c r="FG37" s="472"/>
      <c r="FH37" s="472"/>
      <c r="FI37" s="472"/>
      <c r="FJ37" s="473"/>
      <c r="FK37" s="471"/>
      <c r="FL37" s="472"/>
      <c r="FM37" s="472"/>
      <c r="FN37" s="472"/>
      <c r="FO37" s="472"/>
      <c r="FP37" s="472"/>
      <c r="FQ37" s="472"/>
      <c r="FR37" s="473"/>
      <c r="FS37" s="471"/>
      <c r="FT37" s="472"/>
      <c r="FU37" s="472"/>
      <c r="FV37" s="472"/>
      <c r="FW37" s="472"/>
      <c r="FX37" s="472"/>
      <c r="FY37" s="472"/>
      <c r="FZ37" s="473"/>
      <c r="GA37" s="471"/>
      <c r="GB37" s="472"/>
      <c r="GC37" s="472"/>
      <c r="GD37" s="472"/>
      <c r="GE37" s="472"/>
      <c r="GF37" s="472"/>
      <c r="GG37" s="472"/>
      <c r="GH37" s="473"/>
      <c r="GI37" s="471"/>
      <c r="GJ37" s="472"/>
      <c r="GK37" s="472"/>
      <c r="GL37" s="472"/>
      <c r="GM37" s="472"/>
      <c r="GN37" s="472"/>
      <c r="GO37" s="472"/>
      <c r="GP37" s="473"/>
      <c r="GQ37" s="471" t="e">
        <v>#N/A</v>
      </c>
      <c r="GR37" s="472" t="e">
        <v>#N/A</v>
      </c>
      <c r="GS37" s="472" t="e">
        <v>#N/A</v>
      </c>
      <c r="GT37" s="472" t="e">
        <v>#N/A</v>
      </c>
      <c r="GU37" s="472" t="e">
        <v>#N/A</v>
      </c>
      <c r="GV37" s="473" t="e">
        <v>#N/A</v>
      </c>
    </row>
    <row r="38" spans="1:204" ht="15.75">
      <c r="A38" s="304">
        <v>22</v>
      </c>
      <c r="B38" s="349" t="str">
        <v/>
      </c>
      <c r="C38" s="392"/>
      <c r="D38" s="393"/>
      <c r="E38" s="394"/>
      <c r="F38" s="395"/>
      <c r="G38" s="396"/>
      <c r="H38" s="396"/>
      <c r="I38" s="396"/>
      <c r="J38" s="396"/>
      <c r="K38" s="396"/>
      <c r="L38" s="397"/>
      <c r="M38" s="304">
        <v>22</v>
      </c>
      <c r="N38" s="439"/>
      <c r="O38" s="440"/>
      <c r="P38" s="349"/>
      <c r="Q38" s="441"/>
      <c r="R38" s="489"/>
      <c r="S38" s="442"/>
      <c r="T38" s="443"/>
      <c r="U38" s="443"/>
      <c r="V38" s="443"/>
      <c r="W38" s="443"/>
      <c r="X38" s="443"/>
      <c r="Y38" s="443"/>
      <c r="Z38" s="443"/>
      <c r="AA38" s="443"/>
      <c r="AB38" s="443"/>
      <c r="AC38" s="443"/>
      <c r="AD38" s="444"/>
      <c r="AE38" s="480"/>
      <c r="AF38" s="447"/>
      <c r="AG38" s="447"/>
      <c r="AH38" s="447"/>
      <c r="AI38" s="481"/>
      <c r="AJ38" s="482"/>
      <c r="AK38" s="483"/>
      <c r="AL38" s="483"/>
      <c r="AM38" s="483"/>
      <c r="AN38" s="483"/>
      <c r="AO38" s="483"/>
      <c r="AP38" s="483"/>
      <c r="AQ38" s="483"/>
      <c r="AR38" s="483"/>
      <c r="AS38" s="484"/>
      <c r="AT38" s="485"/>
      <c r="AU38" s="486"/>
      <c r="AV38" s="487"/>
      <c r="AW38" s="485"/>
      <c r="AX38" s="486"/>
      <c r="AY38" s="487"/>
      <c r="AZ38" s="477"/>
      <c r="BA38" s="478"/>
      <c r="BB38" s="479"/>
      <c r="BC38" s="458"/>
      <c r="BD38" s="458"/>
      <c r="BE38" s="459"/>
      <c r="BF38" s="460"/>
      <c r="BG38" s="461"/>
      <c r="BH38" s="461"/>
      <c r="BI38" s="461"/>
      <c r="BJ38" s="461"/>
      <c r="BK38" s="462"/>
      <c r="BL38" s="460"/>
      <c r="BM38" s="461"/>
      <c r="BN38" s="461"/>
      <c r="BO38" s="461"/>
      <c r="BP38" s="461"/>
      <c r="BQ38" s="463"/>
      <c r="BR38" s="464"/>
      <c r="BS38" s="465"/>
      <c r="BT38" s="465"/>
      <c r="BU38" s="466"/>
      <c r="BV38" s="464"/>
      <c r="BW38" s="465"/>
      <c r="BX38" s="465"/>
      <c r="BY38" s="465"/>
      <c r="BZ38" s="465"/>
      <c r="CA38" s="465"/>
      <c r="CB38" s="466"/>
      <c r="CC38" s="464"/>
      <c r="CD38" s="465"/>
      <c r="CE38" s="465"/>
      <c r="CF38" s="465"/>
      <c r="CG38" s="465"/>
      <c r="CH38" s="465"/>
      <c r="CI38" s="466"/>
      <c r="CJ38" s="467"/>
      <c r="CK38" s="468"/>
      <c r="CL38" s="468"/>
      <c r="CM38" s="469"/>
      <c r="CN38" s="467"/>
      <c r="CO38" s="469"/>
      <c r="CP38" s="488"/>
      <c r="CQ38" s="471"/>
      <c r="CR38" s="472"/>
      <c r="CS38" s="472"/>
      <c r="CT38" s="472"/>
      <c r="CU38" s="472"/>
      <c r="CV38" s="472"/>
      <c r="CW38" s="472"/>
      <c r="CX38" s="473"/>
      <c r="CY38" s="471"/>
      <c r="CZ38" s="472"/>
      <c r="DA38" s="472"/>
      <c r="DB38" s="472"/>
      <c r="DC38" s="472"/>
      <c r="DD38" s="472"/>
      <c r="DE38" s="472"/>
      <c r="DF38" s="473"/>
      <c r="DG38" s="471"/>
      <c r="DH38" s="472"/>
      <c r="DI38" s="472"/>
      <c r="DJ38" s="472"/>
      <c r="DK38" s="472"/>
      <c r="DL38" s="472"/>
      <c r="DM38" s="472"/>
      <c r="DN38" s="473"/>
      <c r="DO38" s="471"/>
      <c r="DP38" s="472"/>
      <c r="DQ38" s="472"/>
      <c r="DR38" s="472"/>
      <c r="DS38" s="472"/>
      <c r="DT38" s="472"/>
      <c r="DU38" s="472"/>
      <c r="DV38" s="473"/>
      <c r="DW38" s="471"/>
      <c r="DX38" s="472"/>
      <c r="DY38" s="472"/>
      <c r="DZ38" s="472"/>
      <c r="EA38" s="472"/>
      <c r="EB38" s="472"/>
      <c r="EC38" s="472"/>
      <c r="ED38" s="473"/>
      <c r="EE38" s="471"/>
      <c r="EF38" s="472"/>
      <c r="EG38" s="472"/>
      <c r="EH38" s="472"/>
      <c r="EI38" s="472"/>
      <c r="EJ38" s="472"/>
      <c r="EK38" s="472"/>
      <c r="EL38" s="473"/>
      <c r="EM38" s="471"/>
      <c r="EN38" s="472"/>
      <c r="EO38" s="472"/>
      <c r="EP38" s="472"/>
      <c r="EQ38" s="472"/>
      <c r="ER38" s="472"/>
      <c r="ES38" s="472"/>
      <c r="ET38" s="473"/>
      <c r="EU38" s="471"/>
      <c r="EV38" s="472"/>
      <c r="EW38" s="472"/>
      <c r="EX38" s="472"/>
      <c r="EY38" s="472"/>
      <c r="EZ38" s="472"/>
      <c r="FA38" s="472"/>
      <c r="FB38" s="473"/>
      <c r="FC38" s="471"/>
      <c r="FD38" s="472"/>
      <c r="FE38" s="472"/>
      <c r="FF38" s="472"/>
      <c r="FG38" s="472"/>
      <c r="FH38" s="472"/>
      <c r="FI38" s="472"/>
      <c r="FJ38" s="473"/>
      <c r="FK38" s="471"/>
      <c r="FL38" s="472"/>
      <c r="FM38" s="472"/>
      <c r="FN38" s="472"/>
      <c r="FO38" s="472"/>
      <c r="FP38" s="472"/>
      <c r="FQ38" s="472"/>
      <c r="FR38" s="473"/>
      <c r="FS38" s="471"/>
      <c r="FT38" s="472"/>
      <c r="FU38" s="472"/>
      <c r="FV38" s="472"/>
      <c r="FW38" s="472"/>
      <c r="FX38" s="472"/>
      <c r="FY38" s="472"/>
      <c r="FZ38" s="473"/>
      <c r="GA38" s="471"/>
      <c r="GB38" s="472"/>
      <c r="GC38" s="472"/>
      <c r="GD38" s="472"/>
      <c r="GE38" s="472"/>
      <c r="GF38" s="472"/>
      <c r="GG38" s="472"/>
      <c r="GH38" s="473"/>
      <c r="GI38" s="471"/>
      <c r="GJ38" s="472"/>
      <c r="GK38" s="472"/>
      <c r="GL38" s="472"/>
      <c r="GM38" s="472"/>
      <c r="GN38" s="472"/>
      <c r="GO38" s="472"/>
      <c r="GP38" s="473"/>
      <c r="GQ38" s="471" t="e">
        <v>#N/A</v>
      </c>
      <c r="GR38" s="472" t="e">
        <v>#N/A</v>
      </c>
      <c r="GS38" s="472" t="e">
        <v>#N/A</v>
      </c>
      <c r="GT38" s="472" t="e">
        <v>#N/A</v>
      </c>
      <c r="GU38" s="472" t="e">
        <v>#N/A</v>
      </c>
      <c r="GV38" s="473" t="e">
        <v>#N/A</v>
      </c>
    </row>
    <row r="39" spans="1:204" ht="15.75">
      <c r="A39" s="304">
        <v>23</v>
      </c>
      <c r="B39" s="349" t="str">
        <v/>
      </c>
      <c r="C39" s="392"/>
      <c r="D39" s="393"/>
      <c r="E39" s="394"/>
      <c r="F39" s="395"/>
      <c r="G39" s="396"/>
      <c r="H39" s="396"/>
      <c r="I39" s="396"/>
      <c r="J39" s="396"/>
      <c r="K39" s="396"/>
      <c r="L39" s="397"/>
      <c r="M39" s="304">
        <v>23</v>
      </c>
      <c r="N39" s="439"/>
      <c r="O39" s="440"/>
      <c r="P39" s="349"/>
      <c r="Q39" s="441"/>
      <c r="R39" s="489"/>
      <c r="S39" s="442"/>
      <c r="T39" s="443"/>
      <c r="U39" s="443"/>
      <c r="V39" s="443"/>
      <c r="W39" s="443"/>
      <c r="X39" s="443"/>
      <c r="Y39" s="443"/>
      <c r="Z39" s="443"/>
      <c r="AA39" s="443"/>
      <c r="AB39" s="443"/>
      <c r="AC39" s="443"/>
      <c r="AD39" s="444"/>
      <c r="AE39" s="480"/>
      <c r="AF39" s="447"/>
      <c r="AG39" s="447"/>
      <c r="AH39" s="447"/>
      <c r="AI39" s="481"/>
      <c r="AJ39" s="482"/>
      <c r="AK39" s="483"/>
      <c r="AL39" s="483"/>
      <c r="AM39" s="483"/>
      <c r="AN39" s="483"/>
      <c r="AO39" s="483"/>
      <c r="AP39" s="483"/>
      <c r="AQ39" s="483"/>
      <c r="AR39" s="483"/>
      <c r="AS39" s="484"/>
      <c r="AT39" s="485"/>
      <c r="AU39" s="486"/>
      <c r="AV39" s="487"/>
      <c r="AW39" s="485"/>
      <c r="AX39" s="486"/>
      <c r="AY39" s="487"/>
      <c r="AZ39" s="477"/>
      <c r="BA39" s="478"/>
      <c r="BB39" s="479"/>
      <c r="BC39" s="458"/>
      <c r="BD39" s="458"/>
      <c r="BE39" s="459"/>
      <c r="BF39" s="460"/>
      <c r="BG39" s="461"/>
      <c r="BH39" s="461"/>
      <c r="BI39" s="461"/>
      <c r="BJ39" s="461"/>
      <c r="BK39" s="462"/>
      <c r="BL39" s="460"/>
      <c r="BM39" s="461"/>
      <c r="BN39" s="461"/>
      <c r="BO39" s="461"/>
      <c r="BP39" s="461"/>
      <c r="BQ39" s="463"/>
      <c r="BR39" s="464"/>
      <c r="BS39" s="465"/>
      <c r="BT39" s="465"/>
      <c r="BU39" s="466"/>
      <c r="BV39" s="464"/>
      <c r="BW39" s="465"/>
      <c r="BX39" s="465"/>
      <c r="BY39" s="465"/>
      <c r="BZ39" s="465"/>
      <c r="CA39" s="465"/>
      <c r="CB39" s="466"/>
      <c r="CC39" s="464"/>
      <c r="CD39" s="465"/>
      <c r="CE39" s="465"/>
      <c r="CF39" s="465"/>
      <c r="CG39" s="465"/>
      <c r="CH39" s="465"/>
      <c r="CI39" s="466"/>
      <c r="CJ39" s="467"/>
      <c r="CK39" s="468"/>
      <c r="CL39" s="468"/>
      <c r="CM39" s="469"/>
      <c r="CN39" s="467"/>
      <c r="CO39" s="469"/>
      <c r="CP39" s="488"/>
      <c r="CQ39" s="471"/>
      <c r="CR39" s="472"/>
      <c r="CS39" s="472"/>
      <c r="CT39" s="472"/>
      <c r="CU39" s="472"/>
      <c r="CV39" s="472"/>
      <c r="CW39" s="472"/>
      <c r="CX39" s="473"/>
      <c r="CY39" s="471"/>
      <c r="CZ39" s="472"/>
      <c r="DA39" s="472"/>
      <c r="DB39" s="472"/>
      <c r="DC39" s="472"/>
      <c r="DD39" s="472"/>
      <c r="DE39" s="472"/>
      <c r="DF39" s="473"/>
      <c r="DG39" s="471"/>
      <c r="DH39" s="472"/>
      <c r="DI39" s="472"/>
      <c r="DJ39" s="472"/>
      <c r="DK39" s="472"/>
      <c r="DL39" s="472"/>
      <c r="DM39" s="472"/>
      <c r="DN39" s="473"/>
      <c r="DO39" s="471"/>
      <c r="DP39" s="472"/>
      <c r="DQ39" s="472"/>
      <c r="DR39" s="472"/>
      <c r="DS39" s="472"/>
      <c r="DT39" s="472"/>
      <c r="DU39" s="472"/>
      <c r="DV39" s="473"/>
      <c r="DW39" s="471"/>
      <c r="DX39" s="472"/>
      <c r="DY39" s="472"/>
      <c r="DZ39" s="472"/>
      <c r="EA39" s="472"/>
      <c r="EB39" s="472"/>
      <c r="EC39" s="472"/>
      <c r="ED39" s="473"/>
      <c r="EE39" s="471"/>
      <c r="EF39" s="472"/>
      <c r="EG39" s="472"/>
      <c r="EH39" s="472"/>
      <c r="EI39" s="472"/>
      <c r="EJ39" s="472"/>
      <c r="EK39" s="472"/>
      <c r="EL39" s="473"/>
      <c r="EM39" s="471"/>
      <c r="EN39" s="472"/>
      <c r="EO39" s="472"/>
      <c r="EP39" s="472"/>
      <c r="EQ39" s="472"/>
      <c r="ER39" s="472"/>
      <c r="ES39" s="472"/>
      <c r="ET39" s="473"/>
      <c r="EU39" s="471"/>
      <c r="EV39" s="472"/>
      <c r="EW39" s="472"/>
      <c r="EX39" s="472"/>
      <c r="EY39" s="472"/>
      <c r="EZ39" s="472"/>
      <c r="FA39" s="472"/>
      <c r="FB39" s="473"/>
      <c r="FC39" s="471"/>
      <c r="FD39" s="472"/>
      <c r="FE39" s="472"/>
      <c r="FF39" s="472"/>
      <c r="FG39" s="472"/>
      <c r="FH39" s="472"/>
      <c r="FI39" s="472"/>
      <c r="FJ39" s="473"/>
      <c r="FK39" s="471"/>
      <c r="FL39" s="472"/>
      <c r="FM39" s="472"/>
      <c r="FN39" s="472"/>
      <c r="FO39" s="472"/>
      <c r="FP39" s="472"/>
      <c r="FQ39" s="472"/>
      <c r="FR39" s="473"/>
      <c r="FS39" s="471"/>
      <c r="FT39" s="472"/>
      <c r="FU39" s="472"/>
      <c r="FV39" s="472"/>
      <c r="FW39" s="472"/>
      <c r="FX39" s="472"/>
      <c r="FY39" s="472"/>
      <c r="FZ39" s="473"/>
      <c r="GA39" s="471"/>
      <c r="GB39" s="472"/>
      <c r="GC39" s="472"/>
      <c r="GD39" s="472"/>
      <c r="GE39" s="472"/>
      <c r="GF39" s="472"/>
      <c r="GG39" s="472"/>
      <c r="GH39" s="473"/>
      <c r="GI39" s="471"/>
      <c r="GJ39" s="472"/>
      <c r="GK39" s="472"/>
      <c r="GL39" s="472"/>
      <c r="GM39" s="472"/>
      <c r="GN39" s="472"/>
      <c r="GO39" s="472"/>
      <c r="GP39" s="473"/>
      <c r="GQ39" s="471" t="e">
        <v>#N/A</v>
      </c>
      <c r="GR39" s="472" t="e">
        <v>#N/A</v>
      </c>
      <c r="GS39" s="472" t="e">
        <v>#N/A</v>
      </c>
      <c r="GT39" s="472" t="e">
        <v>#N/A</v>
      </c>
      <c r="GU39" s="472" t="e">
        <v>#N/A</v>
      </c>
      <c r="GV39" s="473" t="e">
        <v>#N/A</v>
      </c>
    </row>
    <row r="40" spans="1:204" ht="15.75">
      <c r="A40" s="304">
        <v>24</v>
      </c>
      <c r="B40" s="349" t="str">
        <v/>
      </c>
      <c r="C40" s="392"/>
      <c r="D40" s="393"/>
      <c r="E40" s="394"/>
      <c r="F40" s="395"/>
      <c r="G40" s="396"/>
      <c r="H40" s="396"/>
      <c r="I40" s="396"/>
      <c r="J40" s="396"/>
      <c r="K40" s="396"/>
      <c r="L40" s="397"/>
      <c r="M40" s="304">
        <v>24</v>
      </c>
      <c r="N40" s="439"/>
      <c r="O40" s="440"/>
      <c r="P40" s="349"/>
      <c r="Q40" s="441"/>
      <c r="R40" s="489"/>
      <c r="S40" s="442"/>
      <c r="T40" s="443"/>
      <c r="U40" s="443"/>
      <c r="V40" s="443"/>
      <c r="W40" s="443"/>
      <c r="X40" s="443"/>
      <c r="Y40" s="443"/>
      <c r="Z40" s="443"/>
      <c r="AA40" s="443"/>
      <c r="AB40" s="443"/>
      <c r="AC40" s="443"/>
      <c r="AD40" s="444"/>
      <c r="AE40" s="480"/>
      <c r="AF40" s="447"/>
      <c r="AG40" s="447"/>
      <c r="AH40" s="447"/>
      <c r="AI40" s="481"/>
      <c r="AJ40" s="482"/>
      <c r="AK40" s="483"/>
      <c r="AL40" s="483"/>
      <c r="AM40" s="483"/>
      <c r="AN40" s="483"/>
      <c r="AO40" s="483"/>
      <c r="AP40" s="483"/>
      <c r="AQ40" s="483"/>
      <c r="AR40" s="483"/>
      <c r="AS40" s="484"/>
      <c r="AT40" s="485"/>
      <c r="AU40" s="486"/>
      <c r="AV40" s="487"/>
      <c r="AW40" s="485"/>
      <c r="AX40" s="486"/>
      <c r="AY40" s="487"/>
      <c r="AZ40" s="477"/>
      <c r="BA40" s="478"/>
      <c r="BB40" s="479"/>
      <c r="BC40" s="458"/>
      <c r="BD40" s="458"/>
      <c r="BE40" s="459"/>
      <c r="BF40" s="460"/>
      <c r="BG40" s="461"/>
      <c r="BH40" s="461"/>
      <c r="BI40" s="461"/>
      <c r="BJ40" s="461"/>
      <c r="BK40" s="462"/>
      <c r="BL40" s="460"/>
      <c r="BM40" s="461"/>
      <c r="BN40" s="461"/>
      <c r="BO40" s="461"/>
      <c r="BP40" s="461"/>
      <c r="BQ40" s="463"/>
      <c r="BR40" s="464"/>
      <c r="BS40" s="465"/>
      <c r="BT40" s="465"/>
      <c r="BU40" s="466"/>
      <c r="BV40" s="464"/>
      <c r="BW40" s="465"/>
      <c r="BX40" s="465"/>
      <c r="BY40" s="465"/>
      <c r="BZ40" s="465"/>
      <c r="CA40" s="465"/>
      <c r="CB40" s="466"/>
      <c r="CC40" s="464"/>
      <c r="CD40" s="465"/>
      <c r="CE40" s="465"/>
      <c r="CF40" s="465"/>
      <c r="CG40" s="465"/>
      <c r="CH40" s="465"/>
      <c r="CI40" s="466"/>
      <c r="CJ40" s="467"/>
      <c r="CK40" s="468"/>
      <c r="CL40" s="468"/>
      <c r="CM40" s="469"/>
      <c r="CN40" s="467"/>
      <c r="CO40" s="469"/>
      <c r="CP40" s="488"/>
      <c r="CQ40" s="471"/>
      <c r="CR40" s="472"/>
      <c r="CS40" s="472"/>
      <c r="CT40" s="472"/>
      <c r="CU40" s="472"/>
      <c r="CV40" s="472"/>
      <c r="CW40" s="472"/>
      <c r="CX40" s="473"/>
      <c r="CY40" s="471"/>
      <c r="CZ40" s="472"/>
      <c r="DA40" s="472"/>
      <c r="DB40" s="472"/>
      <c r="DC40" s="472"/>
      <c r="DD40" s="472"/>
      <c r="DE40" s="472"/>
      <c r="DF40" s="473"/>
      <c r="DG40" s="471"/>
      <c r="DH40" s="472"/>
      <c r="DI40" s="472"/>
      <c r="DJ40" s="472"/>
      <c r="DK40" s="472"/>
      <c r="DL40" s="472"/>
      <c r="DM40" s="472"/>
      <c r="DN40" s="473"/>
      <c r="DO40" s="471"/>
      <c r="DP40" s="472"/>
      <c r="DQ40" s="472"/>
      <c r="DR40" s="472"/>
      <c r="DS40" s="472"/>
      <c r="DT40" s="472"/>
      <c r="DU40" s="472"/>
      <c r="DV40" s="473"/>
      <c r="DW40" s="471"/>
      <c r="DX40" s="472"/>
      <c r="DY40" s="472"/>
      <c r="DZ40" s="472"/>
      <c r="EA40" s="472"/>
      <c r="EB40" s="472"/>
      <c r="EC40" s="472"/>
      <c r="ED40" s="473"/>
      <c r="EE40" s="471"/>
      <c r="EF40" s="472"/>
      <c r="EG40" s="472"/>
      <c r="EH40" s="472"/>
      <c r="EI40" s="472"/>
      <c r="EJ40" s="472"/>
      <c r="EK40" s="472"/>
      <c r="EL40" s="473"/>
      <c r="EM40" s="471"/>
      <c r="EN40" s="472"/>
      <c r="EO40" s="472"/>
      <c r="EP40" s="472"/>
      <c r="EQ40" s="472"/>
      <c r="ER40" s="472"/>
      <c r="ES40" s="472"/>
      <c r="ET40" s="473"/>
      <c r="EU40" s="471"/>
      <c r="EV40" s="472"/>
      <c r="EW40" s="472"/>
      <c r="EX40" s="472"/>
      <c r="EY40" s="472"/>
      <c r="EZ40" s="472"/>
      <c r="FA40" s="472"/>
      <c r="FB40" s="473"/>
      <c r="FC40" s="471"/>
      <c r="FD40" s="472"/>
      <c r="FE40" s="472"/>
      <c r="FF40" s="472"/>
      <c r="FG40" s="472"/>
      <c r="FH40" s="472"/>
      <c r="FI40" s="472"/>
      <c r="FJ40" s="473"/>
      <c r="FK40" s="471"/>
      <c r="FL40" s="472"/>
      <c r="FM40" s="472"/>
      <c r="FN40" s="472"/>
      <c r="FO40" s="472"/>
      <c r="FP40" s="472"/>
      <c r="FQ40" s="472"/>
      <c r="FR40" s="473"/>
      <c r="FS40" s="471"/>
      <c r="FT40" s="472"/>
      <c r="FU40" s="472"/>
      <c r="FV40" s="472"/>
      <c r="FW40" s="472"/>
      <c r="FX40" s="472"/>
      <c r="FY40" s="472"/>
      <c r="FZ40" s="473"/>
      <c r="GA40" s="471"/>
      <c r="GB40" s="472"/>
      <c r="GC40" s="472"/>
      <c r="GD40" s="472"/>
      <c r="GE40" s="472"/>
      <c r="GF40" s="472"/>
      <c r="GG40" s="472"/>
      <c r="GH40" s="473"/>
      <c r="GI40" s="471"/>
      <c r="GJ40" s="472"/>
      <c r="GK40" s="472"/>
      <c r="GL40" s="472"/>
      <c r="GM40" s="472"/>
      <c r="GN40" s="472"/>
      <c r="GO40" s="472"/>
      <c r="GP40" s="473"/>
      <c r="GQ40" s="471" t="e">
        <v>#N/A</v>
      </c>
      <c r="GR40" s="472" t="e">
        <v>#N/A</v>
      </c>
      <c r="GS40" s="472" t="e">
        <v>#N/A</v>
      </c>
      <c r="GT40" s="472" t="e">
        <v>#N/A</v>
      </c>
      <c r="GU40" s="472" t="e">
        <v>#N/A</v>
      </c>
      <c r="GV40" s="473" t="e">
        <v>#N/A</v>
      </c>
    </row>
    <row r="41" spans="1:204" ht="15.75">
      <c r="A41" s="304">
        <v>25</v>
      </c>
      <c r="B41" s="349" t="str">
        <v/>
      </c>
      <c r="C41" s="392"/>
      <c r="D41" s="393"/>
      <c r="E41" s="394"/>
      <c r="F41" s="395"/>
      <c r="G41" s="396"/>
      <c r="H41" s="396"/>
      <c r="I41" s="396"/>
      <c r="J41" s="396"/>
      <c r="K41" s="396"/>
      <c r="L41" s="397"/>
      <c r="M41" s="304">
        <v>25</v>
      </c>
      <c r="N41" s="439"/>
      <c r="O41" s="440"/>
      <c r="P41" s="349"/>
      <c r="Q41" s="441"/>
      <c r="R41" s="489"/>
      <c r="S41" s="442"/>
      <c r="T41" s="443"/>
      <c r="U41" s="443"/>
      <c r="V41" s="443"/>
      <c r="W41" s="443"/>
      <c r="X41" s="443"/>
      <c r="Y41" s="443"/>
      <c r="Z41" s="443"/>
      <c r="AA41" s="443"/>
      <c r="AB41" s="443"/>
      <c r="AC41" s="443"/>
      <c r="AD41" s="444"/>
      <c r="AE41" s="480"/>
      <c r="AF41" s="447"/>
      <c r="AG41" s="447"/>
      <c r="AH41" s="447"/>
      <c r="AI41" s="481"/>
      <c r="AJ41" s="482"/>
      <c r="AK41" s="483"/>
      <c r="AL41" s="483"/>
      <c r="AM41" s="483"/>
      <c r="AN41" s="483"/>
      <c r="AO41" s="483"/>
      <c r="AP41" s="483"/>
      <c r="AQ41" s="483"/>
      <c r="AR41" s="483"/>
      <c r="AS41" s="484"/>
      <c r="AT41" s="485"/>
      <c r="AU41" s="486"/>
      <c r="AV41" s="487"/>
      <c r="AW41" s="485"/>
      <c r="AX41" s="486"/>
      <c r="AY41" s="487"/>
      <c r="AZ41" s="477"/>
      <c r="BA41" s="478"/>
      <c r="BB41" s="479"/>
      <c r="BC41" s="458"/>
      <c r="BD41" s="458"/>
      <c r="BE41" s="459"/>
      <c r="BF41" s="460"/>
      <c r="BG41" s="461"/>
      <c r="BH41" s="461"/>
      <c r="BI41" s="461"/>
      <c r="BJ41" s="461"/>
      <c r="BK41" s="462"/>
      <c r="BL41" s="460"/>
      <c r="BM41" s="461"/>
      <c r="BN41" s="461"/>
      <c r="BO41" s="461"/>
      <c r="BP41" s="461"/>
      <c r="BQ41" s="463"/>
      <c r="BR41" s="464"/>
      <c r="BS41" s="465"/>
      <c r="BT41" s="465"/>
      <c r="BU41" s="466"/>
      <c r="BV41" s="464"/>
      <c r="BW41" s="465"/>
      <c r="BX41" s="465"/>
      <c r="BY41" s="465"/>
      <c r="BZ41" s="465"/>
      <c r="CA41" s="465"/>
      <c r="CB41" s="466"/>
      <c r="CC41" s="464"/>
      <c r="CD41" s="465"/>
      <c r="CE41" s="465"/>
      <c r="CF41" s="465"/>
      <c r="CG41" s="465"/>
      <c r="CH41" s="465"/>
      <c r="CI41" s="466"/>
      <c r="CJ41" s="467"/>
      <c r="CK41" s="468"/>
      <c r="CL41" s="468"/>
      <c r="CM41" s="469"/>
      <c r="CN41" s="467"/>
      <c r="CO41" s="469"/>
      <c r="CP41" s="488"/>
      <c r="CQ41" s="471"/>
      <c r="CR41" s="472"/>
      <c r="CS41" s="472"/>
      <c r="CT41" s="472"/>
      <c r="CU41" s="472"/>
      <c r="CV41" s="472"/>
      <c r="CW41" s="472"/>
      <c r="CX41" s="473"/>
      <c r="CY41" s="471"/>
      <c r="CZ41" s="472"/>
      <c r="DA41" s="472"/>
      <c r="DB41" s="472"/>
      <c r="DC41" s="472"/>
      <c r="DD41" s="472"/>
      <c r="DE41" s="472"/>
      <c r="DF41" s="473"/>
      <c r="DG41" s="471"/>
      <c r="DH41" s="472"/>
      <c r="DI41" s="472"/>
      <c r="DJ41" s="472"/>
      <c r="DK41" s="472"/>
      <c r="DL41" s="472"/>
      <c r="DM41" s="472"/>
      <c r="DN41" s="473"/>
      <c r="DO41" s="471"/>
      <c r="DP41" s="472"/>
      <c r="DQ41" s="472"/>
      <c r="DR41" s="472"/>
      <c r="DS41" s="472"/>
      <c r="DT41" s="472"/>
      <c r="DU41" s="472"/>
      <c r="DV41" s="473"/>
      <c r="DW41" s="471"/>
      <c r="DX41" s="472"/>
      <c r="DY41" s="472"/>
      <c r="DZ41" s="472"/>
      <c r="EA41" s="472"/>
      <c r="EB41" s="472"/>
      <c r="EC41" s="472"/>
      <c r="ED41" s="473"/>
      <c r="EE41" s="471"/>
      <c r="EF41" s="472"/>
      <c r="EG41" s="472"/>
      <c r="EH41" s="472"/>
      <c r="EI41" s="472"/>
      <c r="EJ41" s="472"/>
      <c r="EK41" s="472"/>
      <c r="EL41" s="473"/>
      <c r="EM41" s="471"/>
      <c r="EN41" s="472"/>
      <c r="EO41" s="472"/>
      <c r="EP41" s="472"/>
      <c r="EQ41" s="472"/>
      <c r="ER41" s="472"/>
      <c r="ES41" s="472"/>
      <c r="ET41" s="473"/>
      <c r="EU41" s="471"/>
      <c r="EV41" s="472"/>
      <c r="EW41" s="472"/>
      <c r="EX41" s="472"/>
      <c r="EY41" s="472"/>
      <c r="EZ41" s="472"/>
      <c r="FA41" s="472"/>
      <c r="FB41" s="473"/>
      <c r="FC41" s="471"/>
      <c r="FD41" s="472"/>
      <c r="FE41" s="472"/>
      <c r="FF41" s="472"/>
      <c r="FG41" s="472"/>
      <c r="FH41" s="472"/>
      <c r="FI41" s="472"/>
      <c r="FJ41" s="473"/>
      <c r="FK41" s="471"/>
      <c r="FL41" s="472"/>
      <c r="FM41" s="472"/>
      <c r="FN41" s="472"/>
      <c r="FO41" s="472"/>
      <c r="FP41" s="472"/>
      <c r="FQ41" s="472"/>
      <c r="FR41" s="473"/>
      <c r="FS41" s="471"/>
      <c r="FT41" s="472"/>
      <c r="FU41" s="472"/>
      <c r="FV41" s="472"/>
      <c r="FW41" s="472"/>
      <c r="FX41" s="472"/>
      <c r="FY41" s="472"/>
      <c r="FZ41" s="473"/>
      <c r="GA41" s="471"/>
      <c r="GB41" s="472"/>
      <c r="GC41" s="472"/>
      <c r="GD41" s="472"/>
      <c r="GE41" s="472"/>
      <c r="GF41" s="472"/>
      <c r="GG41" s="472"/>
      <c r="GH41" s="473"/>
      <c r="GI41" s="471"/>
      <c r="GJ41" s="472"/>
      <c r="GK41" s="472"/>
      <c r="GL41" s="472"/>
      <c r="GM41" s="472"/>
      <c r="GN41" s="472"/>
      <c r="GO41" s="472"/>
      <c r="GP41" s="473"/>
      <c r="GQ41" s="471" t="e">
        <v>#N/A</v>
      </c>
      <c r="GR41" s="472" t="e">
        <v>#N/A</v>
      </c>
      <c r="GS41" s="472" t="e">
        <v>#N/A</v>
      </c>
      <c r="GT41" s="472" t="e">
        <v>#N/A</v>
      </c>
      <c r="GU41" s="472" t="e">
        <v>#N/A</v>
      </c>
      <c r="GV41" s="473" t="e">
        <v>#N/A</v>
      </c>
    </row>
    <row r="42" spans="1:204" ht="15.75">
      <c r="A42" s="304">
        <v>26</v>
      </c>
      <c r="B42" s="349" t="str">
        <v/>
      </c>
      <c r="C42" s="392"/>
      <c r="D42" s="393"/>
      <c r="E42" s="394"/>
      <c r="F42" s="395"/>
      <c r="G42" s="396"/>
      <c r="H42" s="396"/>
      <c r="I42" s="396"/>
      <c r="J42" s="396"/>
      <c r="K42" s="396"/>
      <c r="L42" s="397"/>
      <c r="M42" s="304">
        <v>26</v>
      </c>
      <c r="N42" s="439"/>
      <c r="O42" s="440"/>
      <c r="P42" s="349"/>
      <c r="Q42" s="441"/>
      <c r="R42" s="489"/>
      <c r="S42" s="442"/>
      <c r="T42" s="443"/>
      <c r="U42" s="443"/>
      <c r="V42" s="443"/>
      <c r="W42" s="443"/>
      <c r="X42" s="443"/>
      <c r="Y42" s="443"/>
      <c r="Z42" s="443"/>
      <c r="AA42" s="443"/>
      <c r="AB42" s="443"/>
      <c r="AC42" s="443"/>
      <c r="AD42" s="444"/>
      <c r="AE42" s="480"/>
      <c r="AF42" s="447"/>
      <c r="AG42" s="447"/>
      <c r="AH42" s="447"/>
      <c r="AI42" s="481"/>
      <c r="AJ42" s="482"/>
      <c r="AK42" s="483"/>
      <c r="AL42" s="483"/>
      <c r="AM42" s="483"/>
      <c r="AN42" s="483"/>
      <c r="AO42" s="483"/>
      <c r="AP42" s="483"/>
      <c r="AQ42" s="483"/>
      <c r="AR42" s="483"/>
      <c r="AS42" s="484"/>
      <c r="AT42" s="485"/>
      <c r="AU42" s="486"/>
      <c r="AV42" s="487"/>
      <c r="AW42" s="485"/>
      <c r="AX42" s="486"/>
      <c r="AY42" s="487"/>
      <c r="AZ42" s="477"/>
      <c r="BA42" s="478"/>
      <c r="BB42" s="479"/>
      <c r="BC42" s="458"/>
      <c r="BD42" s="458"/>
      <c r="BE42" s="459"/>
      <c r="BF42" s="460"/>
      <c r="BG42" s="461"/>
      <c r="BH42" s="461"/>
      <c r="BI42" s="461"/>
      <c r="BJ42" s="461"/>
      <c r="BK42" s="462"/>
      <c r="BL42" s="460"/>
      <c r="BM42" s="461"/>
      <c r="BN42" s="461"/>
      <c r="BO42" s="461"/>
      <c r="BP42" s="461"/>
      <c r="BQ42" s="463"/>
      <c r="BR42" s="464"/>
      <c r="BS42" s="465"/>
      <c r="BT42" s="465"/>
      <c r="BU42" s="466"/>
      <c r="BV42" s="464"/>
      <c r="BW42" s="465"/>
      <c r="BX42" s="465"/>
      <c r="BY42" s="465"/>
      <c r="BZ42" s="465"/>
      <c r="CA42" s="465"/>
      <c r="CB42" s="466"/>
      <c r="CC42" s="464"/>
      <c r="CD42" s="465"/>
      <c r="CE42" s="465"/>
      <c r="CF42" s="465"/>
      <c r="CG42" s="465"/>
      <c r="CH42" s="465"/>
      <c r="CI42" s="466"/>
      <c r="CJ42" s="467"/>
      <c r="CK42" s="468"/>
      <c r="CL42" s="468"/>
      <c r="CM42" s="469"/>
      <c r="CN42" s="467"/>
      <c r="CO42" s="469"/>
      <c r="CP42" s="488"/>
      <c r="CQ42" s="471"/>
      <c r="CR42" s="472"/>
      <c r="CS42" s="472"/>
      <c r="CT42" s="472"/>
      <c r="CU42" s="472"/>
      <c r="CV42" s="472"/>
      <c r="CW42" s="472"/>
      <c r="CX42" s="473"/>
      <c r="CY42" s="471"/>
      <c r="CZ42" s="472"/>
      <c r="DA42" s="472"/>
      <c r="DB42" s="472"/>
      <c r="DC42" s="472"/>
      <c r="DD42" s="472"/>
      <c r="DE42" s="472"/>
      <c r="DF42" s="473"/>
      <c r="DG42" s="471"/>
      <c r="DH42" s="472"/>
      <c r="DI42" s="472"/>
      <c r="DJ42" s="472"/>
      <c r="DK42" s="472"/>
      <c r="DL42" s="472"/>
      <c r="DM42" s="472"/>
      <c r="DN42" s="473"/>
      <c r="DO42" s="471"/>
      <c r="DP42" s="472"/>
      <c r="DQ42" s="472"/>
      <c r="DR42" s="472"/>
      <c r="DS42" s="472"/>
      <c r="DT42" s="472"/>
      <c r="DU42" s="472"/>
      <c r="DV42" s="473"/>
      <c r="DW42" s="471"/>
      <c r="DX42" s="472"/>
      <c r="DY42" s="472"/>
      <c r="DZ42" s="472"/>
      <c r="EA42" s="472"/>
      <c r="EB42" s="472"/>
      <c r="EC42" s="472"/>
      <c r="ED42" s="473"/>
      <c r="EE42" s="471"/>
      <c r="EF42" s="472"/>
      <c r="EG42" s="472"/>
      <c r="EH42" s="472"/>
      <c r="EI42" s="472"/>
      <c r="EJ42" s="472"/>
      <c r="EK42" s="472"/>
      <c r="EL42" s="473"/>
      <c r="EM42" s="471"/>
      <c r="EN42" s="472"/>
      <c r="EO42" s="472"/>
      <c r="EP42" s="472"/>
      <c r="EQ42" s="472"/>
      <c r="ER42" s="472"/>
      <c r="ES42" s="472"/>
      <c r="ET42" s="473"/>
      <c r="EU42" s="471"/>
      <c r="EV42" s="472"/>
      <c r="EW42" s="472"/>
      <c r="EX42" s="472"/>
      <c r="EY42" s="472"/>
      <c r="EZ42" s="472"/>
      <c r="FA42" s="472"/>
      <c r="FB42" s="473"/>
      <c r="FC42" s="471"/>
      <c r="FD42" s="472"/>
      <c r="FE42" s="472"/>
      <c r="FF42" s="472"/>
      <c r="FG42" s="472"/>
      <c r="FH42" s="472"/>
      <c r="FI42" s="472"/>
      <c r="FJ42" s="473"/>
      <c r="FK42" s="471"/>
      <c r="FL42" s="472"/>
      <c r="FM42" s="472"/>
      <c r="FN42" s="472"/>
      <c r="FO42" s="472"/>
      <c r="FP42" s="472"/>
      <c r="FQ42" s="472"/>
      <c r="FR42" s="473"/>
      <c r="FS42" s="471"/>
      <c r="FT42" s="472"/>
      <c r="FU42" s="472"/>
      <c r="FV42" s="472"/>
      <c r="FW42" s="472"/>
      <c r="FX42" s="472"/>
      <c r="FY42" s="472"/>
      <c r="FZ42" s="473"/>
      <c r="GA42" s="471"/>
      <c r="GB42" s="472"/>
      <c r="GC42" s="472"/>
      <c r="GD42" s="472"/>
      <c r="GE42" s="472"/>
      <c r="GF42" s="472"/>
      <c r="GG42" s="472"/>
      <c r="GH42" s="473"/>
      <c r="GI42" s="471"/>
      <c r="GJ42" s="472"/>
      <c r="GK42" s="472"/>
      <c r="GL42" s="472"/>
      <c r="GM42" s="472"/>
      <c r="GN42" s="472"/>
      <c r="GO42" s="472"/>
      <c r="GP42" s="473"/>
      <c r="GQ42" s="471" t="e">
        <v>#N/A</v>
      </c>
      <c r="GR42" s="472" t="e">
        <v>#N/A</v>
      </c>
      <c r="GS42" s="472" t="e">
        <v>#N/A</v>
      </c>
      <c r="GT42" s="472" t="e">
        <v>#N/A</v>
      </c>
      <c r="GU42" s="472" t="e">
        <v>#N/A</v>
      </c>
      <c r="GV42" s="473" t="e">
        <v>#N/A</v>
      </c>
    </row>
    <row r="43" spans="1:204" ht="15.75">
      <c r="A43" s="304">
        <v>27</v>
      </c>
      <c r="B43" s="349" t="str">
        <v/>
      </c>
      <c r="C43" s="392"/>
      <c r="D43" s="393"/>
      <c r="E43" s="394"/>
      <c r="F43" s="395"/>
      <c r="G43" s="396"/>
      <c r="H43" s="396"/>
      <c r="I43" s="396"/>
      <c r="J43" s="396"/>
      <c r="K43" s="396"/>
      <c r="L43" s="397"/>
      <c r="M43" s="304">
        <v>27</v>
      </c>
      <c r="N43" s="439"/>
      <c r="O43" s="440"/>
      <c r="P43" s="349"/>
      <c r="Q43" s="441"/>
      <c r="R43" s="489"/>
      <c r="S43" s="442"/>
      <c r="T43" s="443"/>
      <c r="U43" s="443"/>
      <c r="V43" s="443"/>
      <c r="W43" s="443"/>
      <c r="X43" s="443"/>
      <c r="Y43" s="443"/>
      <c r="Z43" s="443"/>
      <c r="AA43" s="443"/>
      <c r="AB43" s="443"/>
      <c r="AC43" s="443"/>
      <c r="AD43" s="444"/>
      <c r="AE43" s="480"/>
      <c r="AF43" s="447"/>
      <c r="AG43" s="447"/>
      <c r="AH43" s="447"/>
      <c r="AI43" s="481"/>
      <c r="AJ43" s="482"/>
      <c r="AK43" s="483"/>
      <c r="AL43" s="483"/>
      <c r="AM43" s="483"/>
      <c r="AN43" s="483"/>
      <c r="AO43" s="483"/>
      <c r="AP43" s="483"/>
      <c r="AQ43" s="483"/>
      <c r="AR43" s="483"/>
      <c r="AS43" s="484"/>
      <c r="AT43" s="485"/>
      <c r="AU43" s="486"/>
      <c r="AV43" s="487"/>
      <c r="AW43" s="485"/>
      <c r="AX43" s="486"/>
      <c r="AY43" s="487"/>
      <c r="AZ43" s="477"/>
      <c r="BA43" s="478"/>
      <c r="BB43" s="479"/>
      <c r="BC43" s="458"/>
      <c r="BD43" s="458"/>
      <c r="BE43" s="459"/>
      <c r="BF43" s="460"/>
      <c r="BG43" s="461"/>
      <c r="BH43" s="461"/>
      <c r="BI43" s="461"/>
      <c r="BJ43" s="461"/>
      <c r="BK43" s="462"/>
      <c r="BL43" s="460"/>
      <c r="BM43" s="461"/>
      <c r="BN43" s="461"/>
      <c r="BO43" s="461"/>
      <c r="BP43" s="461"/>
      <c r="BQ43" s="463"/>
      <c r="BR43" s="464"/>
      <c r="BS43" s="465"/>
      <c r="BT43" s="465"/>
      <c r="BU43" s="466"/>
      <c r="BV43" s="464"/>
      <c r="BW43" s="465"/>
      <c r="BX43" s="465"/>
      <c r="BY43" s="465"/>
      <c r="BZ43" s="465"/>
      <c r="CA43" s="465"/>
      <c r="CB43" s="466"/>
      <c r="CC43" s="464"/>
      <c r="CD43" s="465"/>
      <c r="CE43" s="465"/>
      <c r="CF43" s="465"/>
      <c r="CG43" s="465"/>
      <c r="CH43" s="465"/>
      <c r="CI43" s="466"/>
      <c r="CJ43" s="467"/>
      <c r="CK43" s="468"/>
      <c r="CL43" s="468"/>
      <c r="CM43" s="469"/>
      <c r="CN43" s="467"/>
      <c r="CO43" s="469"/>
      <c r="CP43" s="488"/>
      <c r="CQ43" s="471"/>
      <c r="CR43" s="472"/>
      <c r="CS43" s="472"/>
      <c r="CT43" s="472"/>
      <c r="CU43" s="472"/>
      <c r="CV43" s="472"/>
      <c r="CW43" s="472"/>
      <c r="CX43" s="473"/>
      <c r="CY43" s="471"/>
      <c r="CZ43" s="472"/>
      <c r="DA43" s="472"/>
      <c r="DB43" s="472"/>
      <c r="DC43" s="472"/>
      <c r="DD43" s="472"/>
      <c r="DE43" s="472"/>
      <c r="DF43" s="473"/>
      <c r="DG43" s="471"/>
      <c r="DH43" s="472"/>
      <c r="DI43" s="472"/>
      <c r="DJ43" s="472"/>
      <c r="DK43" s="472"/>
      <c r="DL43" s="472"/>
      <c r="DM43" s="472"/>
      <c r="DN43" s="473"/>
      <c r="DO43" s="471"/>
      <c r="DP43" s="472"/>
      <c r="DQ43" s="472"/>
      <c r="DR43" s="472"/>
      <c r="DS43" s="472"/>
      <c r="DT43" s="472"/>
      <c r="DU43" s="472"/>
      <c r="DV43" s="473"/>
      <c r="DW43" s="471"/>
      <c r="DX43" s="472"/>
      <c r="DY43" s="472"/>
      <c r="DZ43" s="472"/>
      <c r="EA43" s="472"/>
      <c r="EB43" s="472"/>
      <c r="EC43" s="472"/>
      <c r="ED43" s="473"/>
      <c r="EE43" s="471"/>
      <c r="EF43" s="472"/>
      <c r="EG43" s="472"/>
      <c r="EH43" s="472"/>
      <c r="EI43" s="472"/>
      <c r="EJ43" s="472"/>
      <c r="EK43" s="472"/>
      <c r="EL43" s="473"/>
      <c r="EM43" s="471"/>
      <c r="EN43" s="472"/>
      <c r="EO43" s="472"/>
      <c r="EP43" s="472"/>
      <c r="EQ43" s="472"/>
      <c r="ER43" s="472"/>
      <c r="ES43" s="472"/>
      <c r="ET43" s="473"/>
      <c r="EU43" s="471"/>
      <c r="EV43" s="472"/>
      <c r="EW43" s="472"/>
      <c r="EX43" s="472"/>
      <c r="EY43" s="472"/>
      <c r="EZ43" s="472"/>
      <c r="FA43" s="472"/>
      <c r="FB43" s="473"/>
      <c r="FC43" s="471"/>
      <c r="FD43" s="472"/>
      <c r="FE43" s="472"/>
      <c r="FF43" s="472"/>
      <c r="FG43" s="472"/>
      <c r="FH43" s="472"/>
      <c r="FI43" s="472"/>
      <c r="FJ43" s="473"/>
      <c r="FK43" s="471"/>
      <c r="FL43" s="472"/>
      <c r="FM43" s="472"/>
      <c r="FN43" s="472"/>
      <c r="FO43" s="472"/>
      <c r="FP43" s="472"/>
      <c r="FQ43" s="472"/>
      <c r="FR43" s="473"/>
      <c r="FS43" s="471"/>
      <c r="FT43" s="472"/>
      <c r="FU43" s="472"/>
      <c r="FV43" s="472"/>
      <c r="FW43" s="472"/>
      <c r="FX43" s="472"/>
      <c r="FY43" s="472"/>
      <c r="FZ43" s="473"/>
      <c r="GA43" s="471"/>
      <c r="GB43" s="472"/>
      <c r="GC43" s="472"/>
      <c r="GD43" s="472"/>
      <c r="GE43" s="472"/>
      <c r="GF43" s="472"/>
      <c r="GG43" s="472"/>
      <c r="GH43" s="473"/>
      <c r="GI43" s="471"/>
      <c r="GJ43" s="472"/>
      <c r="GK43" s="472"/>
      <c r="GL43" s="472"/>
      <c r="GM43" s="472"/>
      <c r="GN43" s="472"/>
      <c r="GO43" s="472"/>
      <c r="GP43" s="473"/>
      <c r="GQ43" s="471" t="e">
        <v>#N/A</v>
      </c>
      <c r="GR43" s="472" t="e">
        <v>#N/A</v>
      </c>
      <c r="GS43" s="472" t="e">
        <v>#N/A</v>
      </c>
      <c r="GT43" s="472" t="e">
        <v>#N/A</v>
      </c>
      <c r="GU43" s="472" t="e">
        <v>#N/A</v>
      </c>
      <c r="GV43" s="473" t="e">
        <v>#N/A</v>
      </c>
    </row>
    <row r="44" spans="1:204" ht="15.75">
      <c r="A44" s="304">
        <v>28</v>
      </c>
      <c r="B44" s="349" t="str">
        <v/>
      </c>
      <c r="C44" s="392"/>
      <c r="D44" s="393"/>
      <c r="E44" s="394"/>
      <c r="F44" s="395"/>
      <c r="G44" s="396"/>
      <c r="H44" s="396"/>
      <c r="I44" s="396"/>
      <c r="J44" s="396"/>
      <c r="K44" s="396"/>
      <c r="L44" s="397"/>
      <c r="M44" s="304">
        <v>28</v>
      </c>
      <c r="N44" s="439"/>
      <c r="O44" s="440"/>
      <c r="P44" s="349"/>
      <c r="Q44" s="441"/>
      <c r="R44" s="489"/>
      <c r="S44" s="442"/>
      <c r="T44" s="443"/>
      <c r="U44" s="443"/>
      <c r="V44" s="443"/>
      <c r="W44" s="443"/>
      <c r="X44" s="443"/>
      <c r="Y44" s="443"/>
      <c r="Z44" s="443"/>
      <c r="AA44" s="443"/>
      <c r="AB44" s="443"/>
      <c r="AC44" s="443"/>
      <c r="AD44" s="444"/>
      <c r="AE44" s="480"/>
      <c r="AF44" s="447"/>
      <c r="AG44" s="447"/>
      <c r="AH44" s="447"/>
      <c r="AI44" s="481"/>
      <c r="AJ44" s="482"/>
      <c r="AK44" s="483"/>
      <c r="AL44" s="483"/>
      <c r="AM44" s="483"/>
      <c r="AN44" s="483"/>
      <c r="AO44" s="483"/>
      <c r="AP44" s="483"/>
      <c r="AQ44" s="483"/>
      <c r="AR44" s="483"/>
      <c r="AS44" s="484"/>
      <c r="AT44" s="485"/>
      <c r="AU44" s="486"/>
      <c r="AV44" s="487"/>
      <c r="AW44" s="485"/>
      <c r="AX44" s="486"/>
      <c r="AY44" s="487"/>
      <c r="AZ44" s="477"/>
      <c r="BA44" s="478"/>
      <c r="BB44" s="479"/>
      <c r="BC44" s="458"/>
      <c r="BD44" s="458"/>
      <c r="BE44" s="459"/>
      <c r="BF44" s="460"/>
      <c r="BG44" s="461"/>
      <c r="BH44" s="461"/>
      <c r="BI44" s="461"/>
      <c r="BJ44" s="461"/>
      <c r="BK44" s="462"/>
      <c r="BL44" s="460"/>
      <c r="BM44" s="461"/>
      <c r="BN44" s="461"/>
      <c r="BO44" s="461"/>
      <c r="BP44" s="461"/>
      <c r="BQ44" s="463"/>
      <c r="BR44" s="464"/>
      <c r="BS44" s="465"/>
      <c r="BT44" s="465"/>
      <c r="BU44" s="466"/>
      <c r="BV44" s="464"/>
      <c r="BW44" s="465"/>
      <c r="BX44" s="465"/>
      <c r="BY44" s="465"/>
      <c r="BZ44" s="465"/>
      <c r="CA44" s="465"/>
      <c r="CB44" s="466"/>
      <c r="CC44" s="464"/>
      <c r="CD44" s="465"/>
      <c r="CE44" s="465"/>
      <c r="CF44" s="465"/>
      <c r="CG44" s="465"/>
      <c r="CH44" s="465"/>
      <c r="CI44" s="466"/>
      <c r="CJ44" s="467"/>
      <c r="CK44" s="468"/>
      <c r="CL44" s="468"/>
      <c r="CM44" s="469"/>
      <c r="CN44" s="467"/>
      <c r="CO44" s="469"/>
      <c r="CP44" s="488"/>
      <c r="CQ44" s="471"/>
      <c r="CR44" s="472"/>
      <c r="CS44" s="472"/>
      <c r="CT44" s="472"/>
      <c r="CU44" s="472"/>
      <c r="CV44" s="472"/>
      <c r="CW44" s="472"/>
      <c r="CX44" s="473"/>
      <c r="CY44" s="471"/>
      <c r="CZ44" s="472"/>
      <c r="DA44" s="472"/>
      <c r="DB44" s="472"/>
      <c r="DC44" s="472"/>
      <c r="DD44" s="472"/>
      <c r="DE44" s="472"/>
      <c r="DF44" s="473"/>
      <c r="DG44" s="471"/>
      <c r="DH44" s="472"/>
      <c r="DI44" s="472"/>
      <c r="DJ44" s="472"/>
      <c r="DK44" s="472"/>
      <c r="DL44" s="472"/>
      <c r="DM44" s="472"/>
      <c r="DN44" s="473"/>
      <c r="DO44" s="471"/>
      <c r="DP44" s="472"/>
      <c r="DQ44" s="472"/>
      <c r="DR44" s="472"/>
      <c r="DS44" s="472"/>
      <c r="DT44" s="472"/>
      <c r="DU44" s="472"/>
      <c r="DV44" s="473"/>
      <c r="DW44" s="471"/>
      <c r="DX44" s="472"/>
      <c r="DY44" s="472"/>
      <c r="DZ44" s="472"/>
      <c r="EA44" s="472"/>
      <c r="EB44" s="472"/>
      <c r="EC44" s="472"/>
      <c r="ED44" s="473"/>
      <c r="EE44" s="471"/>
      <c r="EF44" s="472"/>
      <c r="EG44" s="472"/>
      <c r="EH44" s="472"/>
      <c r="EI44" s="472"/>
      <c r="EJ44" s="472"/>
      <c r="EK44" s="472"/>
      <c r="EL44" s="473"/>
      <c r="EM44" s="471"/>
      <c r="EN44" s="472"/>
      <c r="EO44" s="472"/>
      <c r="EP44" s="472"/>
      <c r="EQ44" s="472"/>
      <c r="ER44" s="472"/>
      <c r="ES44" s="472"/>
      <c r="ET44" s="473"/>
      <c r="EU44" s="471"/>
      <c r="EV44" s="472"/>
      <c r="EW44" s="472"/>
      <c r="EX44" s="472"/>
      <c r="EY44" s="472"/>
      <c r="EZ44" s="472"/>
      <c r="FA44" s="472"/>
      <c r="FB44" s="473"/>
      <c r="FC44" s="471"/>
      <c r="FD44" s="472"/>
      <c r="FE44" s="472"/>
      <c r="FF44" s="472"/>
      <c r="FG44" s="472"/>
      <c r="FH44" s="472"/>
      <c r="FI44" s="472"/>
      <c r="FJ44" s="473"/>
      <c r="FK44" s="471"/>
      <c r="FL44" s="472"/>
      <c r="FM44" s="472"/>
      <c r="FN44" s="472"/>
      <c r="FO44" s="472"/>
      <c r="FP44" s="472"/>
      <c r="FQ44" s="472"/>
      <c r="FR44" s="473"/>
      <c r="FS44" s="471"/>
      <c r="FT44" s="472"/>
      <c r="FU44" s="472"/>
      <c r="FV44" s="472"/>
      <c r="FW44" s="472"/>
      <c r="FX44" s="472"/>
      <c r="FY44" s="472"/>
      <c r="FZ44" s="473"/>
      <c r="GA44" s="471"/>
      <c r="GB44" s="472"/>
      <c r="GC44" s="472"/>
      <c r="GD44" s="472"/>
      <c r="GE44" s="472"/>
      <c r="GF44" s="472"/>
      <c r="GG44" s="472"/>
      <c r="GH44" s="473"/>
      <c r="GI44" s="471"/>
      <c r="GJ44" s="472"/>
      <c r="GK44" s="472"/>
      <c r="GL44" s="472"/>
      <c r="GM44" s="472"/>
      <c r="GN44" s="472"/>
      <c r="GO44" s="472"/>
      <c r="GP44" s="473"/>
      <c r="GQ44" s="471" t="e">
        <v>#N/A</v>
      </c>
      <c r="GR44" s="472" t="e">
        <v>#N/A</v>
      </c>
      <c r="GS44" s="472" t="e">
        <v>#N/A</v>
      </c>
      <c r="GT44" s="472" t="e">
        <v>#N/A</v>
      </c>
      <c r="GU44" s="472" t="e">
        <v>#N/A</v>
      </c>
      <c r="GV44" s="473" t="e">
        <v>#N/A</v>
      </c>
    </row>
    <row r="45" spans="1:204" ht="15.75">
      <c r="A45" s="304">
        <v>29</v>
      </c>
      <c r="B45" s="349" t="str">
        <v/>
      </c>
      <c r="C45" s="392"/>
      <c r="D45" s="393"/>
      <c r="E45" s="394"/>
      <c r="F45" s="395"/>
      <c r="G45" s="396"/>
      <c r="H45" s="396"/>
      <c r="I45" s="396"/>
      <c r="J45" s="396"/>
      <c r="K45" s="396"/>
      <c r="L45" s="397"/>
      <c r="M45" s="304">
        <v>29</v>
      </c>
      <c r="N45" s="439"/>
      <c r="O45" s="490"/>
      <c r="P45" s="349"/>
      <c r="Q45" s="491"/>
      <c r="R45" s="489"/>
      <c r="S45" s="467"/>
      <c r="T45" s="468"/>
      <c r="U45" s="468"/>
      <c r="V45" s="468"/>
      <c r="W45" s="468"/>
      <c r="X45" s="468"/>
      <c r="Y45" s="468"/>
      <c r="Z45" s="468"/>
      <c r="AA45" s="468"/>
      <c r="AB45" s="468"/>
      <c r="AC45" s="468"/>
      <c r="AD45" s="492"/>
      <c r="AE45" s="445"/>
      <c r="AF45" s="446"/>
      <c r="AG45" s="446"/>
      <c r="AH45" s="446"/>
      <c r="AI45" s="448"/>
      <c r="AJ45" s="449"/>
      <c r="AK45" s="450"/>
      <c r="AL45" s="450"/>
      <c r="AM45" s="450"/>
      <c r="AN45" s="450"/>
      <c r="AO45" s="450"/>
      <c r="AP45" s="450"/>
      <c r="AQ45" s="450"/>
      <c r="AR45" s="450"/>
      <c r="AS45" s="451"/>
      <c r="AT45" s="452"/>
      <c r="AU45" s="453"/>
      <c r="AV45" s="454"/>
      <c r="AW45" s="452"/>
      <c r="AX45" s="453"/>
      <c r="AY45" s="454"/>
      <c r="AZ45" s="493"/>
      <c r="BA45" s="494"/>
      <c r="BB45" s="495"/>
      <c r="BC45" s="496"/>
      <c r="BD45" s="497"/>
      <c r="BE45" s="498"/>
      <c r="BF45" s="499"/>
      <c r="BG45" s="500"/>
      <c r="BH45" s="500"/>
      <c r="BI45" s="500"/>
      <c r="BJ45" s="500"/>
      <c r="BK45" s="501"/>
      <c r="BL45" s="499"/>
      <c r="BM45" s="500"/>
      <c r="BN45" s="500"/>
      <c r="BO45" s="500"/>
      <c r="BP45" s="500"/>
      <c r="BQ45" s="502"/>
      <c r="BR45" s="503"/>
      <c r="BS45" s="504"/>
      <c r="BT45" s="504"/>
      <c r="BU45" s="505"/>
      <c r="BV45" s="503"/>
      <c r="BW45" s="504"/>
      <c r="BX45" s="504"/>
      <c r="BY45" s="504"/>
      <c r="BZ45" s="504"/>
      <c r="CA45" s="504"/>
      <c r="CB45" s="505"/>
      <c r="CC45" s="503"/>
      <c r="CD45" s="504"/>
      <c r="CE45" s="504"/>
      <c r="CF45" s="504"/>
      <c r="CG45" s="504"/>
      <c r="CH45" s="504"/>
      <c r="CI45" s="505"/>
      <c r="CJ45" s="506"/>
      <c r="CK45" s="507"/>
      <c r="CL45" s="507"/>
      <c r="CM45" s="508"/>
      <c r="CN45" s="506"/>
      <c r="CO45" s="469"/>
      <c r="CP45" s="470"/>
      <c r="CQ45" s="509"/>
      <c r="CR45" s="510"/>
      <c r="CS45" s="510"/>
      <c r="CT45" s="472"/>
      <c r="CU45" s="510"/>
      <c r="CV45" s="510"/>
      <c r="CW45" s="510"/>
      <c r="CX45" s="511"/>
      <c r="CY45" s="509"/>
      <c r="CZ45" s="510"/>
      <c r="DA45" s="510"/>
      <c r="DB45" s="510"/>
      <c r="DC45" s="510"/>
      <c r="DD45" s="510"/>
      <c r="DE45" s="510"/>
      <c r="DF45" s="511"/>
      <c r="DG45" s="509"/>
      <c r="DH45" s="510"/>
      <c r="DI45" s="510"/>
      <c r="DJ45" s="510"/>
      <c r="DK45" s="510"/>
      <c r="DL45" s="510"/>
      <c r="DM45" s="510"/>
      <c r="DN45" s="511"/>
      <c r="DO45" s="509"/>
      <c r="DP45" s="510"/>
      <c r="DQ45" s="510"/>
      <c r="DR45" s="510"/>
      <c r="DS45" s="510"/>
      <c r="DT45" s="510"/>
      <c r="DU45" s="510"/>
      <c r="DV45" s="511"/>
      <c r="DW45" s="509"/>
      <c r="DX45" s="510"/>
      <c r="DY45" s="510"/>
      <c r="DZ45" s="510"/>
      <c r="EA45" s="510"/>
      <c r="EB45" s="510"/>
      <c r="EC45" s="510"/>
      <c r="ED45" s="511"/>
      <c r="EE45" s="509"/>
      <c r="EF45" s="510"/>
      <c r="EG45" s="510"/>
      <c r="EH45" s="510"/>
      <c r="EI45" s="510"/>
      <c r="EJ45" s="510"/>
      <c r="EK45" s="510"/>
      <c r="EL45" s="511"/>
      <c r="EM45" s="509"/>
      <c r="EN45" s="510"/>
      <c r="EO45" s="510"/>
      <c r="EP45" s="510"/>
      <c r="EQ45" s="510"/>
      <c r="ER45" s="510"/>
      <c r="ES45" s="510"/>
      <c r="ET45" s="511"/>
      <c r="EU45" s="509"/>
      <c r="EV45" s="510"/>
      <c r="EW45" s="510"/>
      <c r="EX45" s="510"/>
      <c r="EY45" s="510"/>
      <c r="EZ45" s="510"/>
      <c r="FA45" s="510"/>
      <c r="FB45" s="511"/>
      <c r="FC45" s="509"/>
      <c r="FD45" s="510"/>
      <c r="FE45" s="510"/>
      <c r="FF45" s="510"/>
      <c r="FG45" s="510"/>
      <c r="FH45" s="510"/>
      <c r="FI45" s="510"/>
      <c r="FJ45" s="511"/>
      <c r="FK45" s="509"/>
      <c r="FL45" s="510"/>
      <c r="FM45" s="510"/>
      <c r="FN45" s="510"/>
      <c r="FO45" s="510"/>
      <c r="FP45" s="510"/>
      <c r="FQ45" s="510"/>
      <c r="FR45" s="511"/>
      <c r="FS45" s="509"/>
      <c r="FT45" s="510"/>
      <c r="FU45" s="510"/>
      <c r="FV45" s="510"/>
      <c r="FW45" s="510"/>
      <c r="FX45" s="510"/>
      <c r="FY45" s="510"/>
      <c r="FZ45" s="511"/>
      <c r="GA45" s="509"/>
      <c r="GB45" s="510"/>
      <c r="GC45" s="510"/>
      <c r="GD45" s="510"/>
      <c r="GE45" s="510"/>
      <c r="GF45" s="510"/>
      <c r="GG45" s="510"/>
      <c r="GH45" s="511"/>
      <c r="GI45" s="509"/>
      <c r="GJ45" s="510"/>
      <c r="GK45" s="510"/>
      <c r="GL45" s="510"/>
      <c r="GM45" s="510"/>
      <c r="GN45" s="510"/>
      <c r="GO45" s="510"/>
      <c r="GP45" s="511"/>
      <c r="GQ45" s="509" t="e">
        <v>#N/A</v>
      </c>
      <c r="GR45" s="510" t="e">
        <v>#N/A</v>
      </c>
      <c r="GS45" s="510" t="e">
        <v>#N/A</v>
      </c>
      <c r="GT45" s="510" t="e">
        <v>#N/A</v>
      </c>
      <c r="GU45" s="510" t="e">
        <v>#N/A</v>
      </c>
      <c r="GV45" s="511" t="e">
        <v>#N/A</v>
      </c>
    </row>
    <row r="46" spans="1:204" ht="16.149999999999999" thickBot="1">
      <c r="A46" s="304">
        <v>30</v>
      </c>
      <c r="B46" s="350" t="str">
        <v/>
      </c>
      <c r="C46" s="512"/>
      <c r="D46" s="513"/>
      <c r="E46" s="514"/>
      <c r="F46" s="515"/>
      <c r="G46" s="516"/>
      <c r="H46" s="516"/>
      <c r="I46" s="516"/>
      <c r="J46" s="516"/>
      <c r="K46" s="516"/>
      <c r="L46" s="517"/>
      <c r="M46" s="304">
        <v>30</v>
      </c>
      <c r="N46" s="518"/>
      <c r="O46" s="519"/>
      <c r="P46" s="350"/>
      <c r="Q46" s="520"/>
      <c r="R46" s="521"/>
      <c r="S46" s="522"/>
      <c r="T46" s="523"/>
      <c r="U46" s="523"/>
      <c r="V46" s="523"/>
      <c r="W46" s="523"/>
      <c r="X46" s="523"/>
      <c r="Y46" s="523"/>
      <c r="Z46" s="523"/>
      <c r="AA46" s="523"/>
      <c r="AB46" s="523"/>
      <c r="AC46" s="523"/>
      <c r="AD46" s="524"/>
      <c r="AE46" s="525"/>
      <c r="AF46" s="526"/>
      <c r="AG46" s="526"/>
      <c r="AH46" s="526"/>
      <c r="AI46" s="527"/>
      <c r="AJ46" s="528"/>
      <c r="AK46" s="529"/>
      <c r="AL46" s="529"/>
      <c r="AM46" s="529"/>
      <c r="AN46" s="529"/>
      <c r="AO46" s="529"/>
      <c r="AP46" s="529"/>
      <c r="AQ46" s="529"/>
      <c r="AR46" s="529"/>
      <c r="AS46" s="530"/>
      <c r="AT46" s="531"/>
      <c r="AU46" s="532"/>
      <c r="AV46" s="533"/>
      <c r="AW46" s="531"/>
      <c r="AX46" s="532"/>
      <c r="AY46" s="533"/>
      <c r="AZ46" s="534"/>
      <c r="BA46" s="535"/>
      <c r="BB46" s="536"/>
      <c r="BC46" s="537"/>
      <c r="BD46" s="538"/>
      <c r="BE46" s="539"/>
      <c r="BF46" s="540"/>
      <c r="BG46" s="541"/>
      <c r="BH46" s="541"/>
      <c r="BI46" s="541"/>
      <c r="BJ46" s="541"/>
      <c r="BK46" s="542"/>
      <c r="BL46" s="540"/>
      <c r="BM46" s="541"/>
      <c r="BN46" s="541"/>
      <c r="BO46" s="541"/>
      <c r="BP46" s="541"/>
      <c r="BQ46" s="543"/>
      <c r="BR46" s="544"/>
      <c r="BS46" s="545"/>
      <c r="BT46" s="545"/>
      <c r="BU46" s="546"/>
      <c r="BV46" s="544"/>
      <c r="BW46" s="545"/>
      <c r="BX46" s="545"/>
      <c r="BY46" s="545"/>
      <c r="BZ46" s="545"/>
      <c r="CA46" s="545"/>
      <c r="CB46" s="546"/>
      <c r="CC46" s="544"/>
      <c r="CD46" s="545"/>
      <c r="CE46" s="545"/>
      <c r="CF46" s="545"/>
      <c r="CG46" s="545"/>
      <c r="CH46" s="545"/>
      <c r="CI46" s="546"/>
      <c r="CJ46" s="547"/>
      <c r="CK46" s="548"/>
      <c r="CL46" s="548"/>
      <c r="CM46" s="549"/>
      <c r="CN46" s="547"/>
      <c r="CO46" s="550"/>
      <c r="CP46" s="551"/>
      <c r="CQ46" s="552"/>
      <c r="CR46" s="553"/>
      <c r="CS46" s="553"/>
      <c r="CT46" s="554"/>
      <c r="CU46" s="553"/>
      <c r="CV46" s="553"/>
      <c r="CW46" s="553"/>
      <c r="CX46" s="555"/>
      <c r="CY46" s="552"/>
      <c r="CZ46" s="553"/>
      <c r="DA46" s="553"/>
      <c r="DB46" s="553"/>
      <c r="DC46" s="553"/>
      <c r="DD46" s="553"/>
      <c r="DE46" s="553"/>
      <c r="DF46" s="555"/>
      <c r="DG46" s="552"/>
      <c r="DH46" s="553"/>
      <c r="DI46" s="553"/>
      <c r="DJ46" s="553"/>
      <c r="DK46" s="553"/>
      <c r="DL46" s="553"/>
      <c r="DM46" s="553"/>
      <c r="DN46" s="555"/>
      <c r="DO46" s="552"/>
      <c r="DP46" s="553"/>
      <c r="DQ46" s="553"/>
      <c r="DR46" s="553"/>
      <c r="DS46" s="553"/>
      <c r="DT46" s="553"/>
      <c r="DU46" s="553"/>
      <c r="DV46" s="555"/>
      <c r="DW46" s="552"/>
      <c r="DX46" s="553"/>
      <c r="DY46" s="553"/>
      <c r="DZ46" s="553"/>
      <c r="EA46" s="553"/>
      <c r="EB46" s="553"/>
      <c r="EC46" s="553"/>
      <c r="ED46" s="555"/>
      <c r="EE46" s="552"/>
      <c r="EF46" s="553"/>
      <c r="EG46" s="553"/>
      <c r="EH46" s="553"/>
      <c r="EI46" s="553"/>
      <c r="EJ46" s="553"/>
      <c r="EK46" s="553"/>
      <c r="EL46" s="555"/>
      <c r="EM46" s="552"/>
      <c r="EN46" s="553"/>
      <c r="EO46" s="553"/>
      <c r="EP46" s="553"/>
      <c r="EQ46" s="553"/>
      <c r="ER46" s="553"/>
      <c r="ES46" s="553"/>
      <c r="ET46" s="555"/>
      <c r="EU46" s="552"/>
      <c r="EV46" s="553"/>
      <c r="EW46" s="553"/>
      <c r="EX46" s="553"/>
      <c r="EY46" s="553"/>
      <c r="EZ46" s="553"/>
      <c r="FA46" s="553"/>
      <c r="FB46" s="555"/>
      <c r="FC46" s="552"/>
      <c r="FD46" s="553"/>
      <c r="FE46" s="553"/>
      <c r="FF46" s="553"/>
      <c r="FG46" s="553"/>
      <c r="FH46" s="553"/>
      <c r="FI46" s="553"/>
      <c r="FJ46" s="555"/>
      <c r="FK46" s="552"/>
      <c r="FL46" s="553"/>
      <c r="FM46" s="553"/>
      <c r="FN46" s="553"/>
      <c r="FO46" s="553"/>
      <c r="FP46" s="553"/>
      <c r="FQ46" s="553"/>
      <c r="FR46" s="555"/>
      <c r="FS46" s="552"/>
      <c r="FT46" s="553"/>
      <c r="FU46" s="553"/>
      <c r="FV46" s="553"/>
      <c r="FW46" s="553"/>
      <c r="FX46" s="553"/>
      <c r="FY46" s="553"/>
      <c r="FZ46" s="555"/>
      <c r="GA46" s="552"/>
      <c r="GB46" s="553"/>
      <c r="GC46" s="553"/>
      <c r="GD46" s="553"/>
      <c r="GE46" s="553"/>
      <c r="GF46" s="553"/>
      <c r="GG46" s="553"/>
      <c r="GH46" s="555"/>
      <c r="GI46" s="552"/>
      <c r="GJ46" s="553"/>
      <c r="GK46" s="553"/>
      <c r="GL46" s="553"/>
      <c r="GM46" s="553"/>
      <c r="GN46" s="553"/>
      <c r="GO46" s="553"/>
      <c r="GP46" s="555"/>
      <c r="GQ46" s="552" t="e">
        <v>#N/A</v>
      </c>
      <c r="GR46" s="553" t="e">
        <v>#N/A</v>
      </c>
      <c r="GS46" s="553" t="e">
        <v>#N/A</v>
      </c>
      <c r="GT46" s="553" t="e">
        <v>#N/A</v>
      </c>
      <c r="GU46" s="553" t="e">
        <v>#N/A</v>
      </c>
      <c r="GV46" s="555" t="e">
        <v>#N/A</v>
      </c>
    </row>
    <row r="47" spans="1:204" ht="14.65" thickBot="1">
      <c r="B47" s="556" t="s">
        <v>89</v>
      </c>
      <c r="C47" s="557">
        <f t="shared" ref="C47:K47" si="0">SUM(C17:C46)</f>
        <v>100</v>
      </c>
      <c r="D47" s="557">
        <f t="shared" si="0"/>
        <v>100.00090578137649</v>
      </c>
      <c r="E47" s="557">
        <f t="shared" si="0"/>
        <v>100.00000000000001</v>
      </c>
      <c r="F47" s="557">
        <f t="shared" si="0"/>
        <v>100</v>
      </c>
      <c r="G47" s="557">
        <f t="shared" si="0"/>
        <v>0</v>
      </c>
      <c r="H47" s="557">
        <f t="shared" si="0"/>
        <v>0</v>
      </c>
      <c r="I47" s="557">
        <f t="shared" si="0"/>
        <v>0</v>
      </c>
      <c r="J47" s="557">
        <f t="shared" si="0"/>
        <v>0</v>
      </c>
      <c r="K47" s="557">
        <f t="shared" si="0"/>
        <v>0</v>
      </c>
      <c r="L47" s="558">
        <f>SUM(L17:L46)</f>
        <v>0</v>
      </c>
      <c r="O47" s="559" t="s">
        <v>512</v>
      </c>
      <c r="P47" s="560">
        <f>COUNTA(P17:P46)</f>
        <v>11</v>
      </c>
      <c r="S47" s="561" t="s">
        <v>513</v>
      </c>
      <c r="T47" s="562">
        <f>SUM(S17:CP46)*0.0001</f>
        <v>-7.4640525752170426</v>
      </c>
    </row>
    <row r="48" spans="1:204">
      <c r="K48" s="561" t="s">
        <v>514</v>
      </c>
      <c r="L48" s="562">
        <f>SUM(C47:L47)</f>
        <v>400.0009057813765</v>
      </c>
      <c r="S48" s="561" t="s">
        <v>515</v>
      </c>
      <c r="T48" s="562">
        <f>SUM(L48+T47+D82+AJ82)</f>
        <v>395.75761154421855</v>
      </c>
    </row>
    <row r="49" spans="1:64" s="330" customFormat="1">
      <c r="A49" s="329" t="s">
        <v>516</v>
      </c>
    </row>
    <row r="50" spans="1:64" s="310" customFormat="1" ht="14.65" thickBot="1">
      <c r="C50" s="310">
        <v>1</v>
      </c>
      <c r="D50" s="310">
        <v>2</v>
      </c>
      <c r="E50" s="310">
        <v>3</v>
      </c>
      <c r="F50" s="310">
        <v>4</v>
      </c>
      <c r="G50" s="310">
        <v>5</v>
      </c>
      <c r="H50" s="310">
        <v>6</v>
      </c>
      <c r="I50" s="310">
        <v>7</v>
      </c>
      <c r="J50" s="310">
        <v>8</v>
      </c>
      <c r="K50" s="310">
        <v>9</v>
      </c>
      <c r="L50" s="310">
        <v>10</v>
      </c>
      <c r="M50" s="310">
        <v>11</v>
      </c>
      <c r="N50" s="310">
        <v>12</v>
      </c>
      <c r="O50" s="310">
        <v>13</v>
      </c>
      <c r="P50" s="310">
        <v>14</v>
      </c>
      <c r="Q50" s="310">
        <v>15</v>
      </c>
      <c r="R50" s="310">
        <v>16</v>
      </c>
      <c r="S50" s="310">
        <v>17</v>
      </c>
      <c r="T50" s="310">
        <v>18</v>
      </c>
      <c r="U50" s="310">
        <v>19</v>
      </c>
      <c r="V50" s="310">
        <v>20</v>
      </c>
      <c r="W50" s="310">
        <v>21</v>
      </c>
      <c r="X50" s="310">
        <v>22</v>
      </c>
      <c r="Y50" s="310">
        <v>23</v>
      </c>
      <c r="Z50" s="310">
        <v>24</v>
      </c>
      <c r="AA50" s="310">
        <v>25</v>
      </c>
      <c r="AB50" s="310">
        <v>26</v>
      </c>
      <c r="AC50" s="310">
        <v>27</v>
      </c>
      <c r="AD50" s="310">
        <v>28</v>
      </c>
      <c r="AE50" s="310">
        <v>29</v>
      </c>
      <c r="AF50" s="310">
        <v>30</v>
      </c>
      <c r="AI50" s="310">
        <v>1</v>
      </c>
      <c r="AJ50" s="310">
        <v>2</v>
      </c>
      <c r="AK50" s="310">
        <v>3</v>
      </c>
      <c r="AL50" s="310">
        <v>4</v>
      </c>
      <c r="AM50" s="310">
        <v>5</v>
      </c>
      <c r="AN50" s="310">
        <v>6</v>
      </c>
      <c r="AO50" s="310">
        <v>7</v>
      </c>
      <c r="AP50" s="310">
        <v>8</v>
      </c>
      <c r="AQ50" s="310">
        <v>9</v>
      </c>
      <c r="AR50" s="310">
        <v>10</v>
      </c>
      <c r="AS50" s="310">
        <v>11</v>
      </c>
      <c r="AT50" s="310">
        <v>12</v>
      </c>
      <c r="AU50" s="310">
        <v>13</v>
      </c>
      <c r="AV50" s="310">
        <v>14</v>
      </c>
      <c r="AW50" s="310">
        <v>15</v>
      </c>
      <c r="AX50" s="310">
        <v>16</v>
      </c>
      <c r="AY50" s="310">
        <v>17</v>
      </c>
      <c r="AZ50" s="310">
        <v>18</v>
      </c>
      <c r="BA50" s="310">
        <v>19</v>
      </c>
      <c r="BB50" s="310">
        <v>20</v>
      </c>
      <c r="BC50" s="310">
        <v>21</v>
      </c>
      <c r="BD50" s="310">
        <v>22</v>
      </c>
      <c r="BE50" s="310">
        <v>23</v>
      </c>
      <c r="BF50" s="310">
        <v>24</v>
      </c>
      <c r="BG50" s="310">
        <v>25</v>
      </c>
      <c r="BH50" s="310">
        <v>26</v>
      </c>
      <c r="BI50" s="310">
        <v>27</v>
      </c>
      <c r="BJ50" s="310">
        <v>28</v>
      </c>
      <c r="BK50" s="310">
        <v>29</v>
      </c>
      <c r="BL50" s="310">
        <v>30</v>
      </c>
    </row>
    <row r="51" spans="1:64">
      <c r="B51" s="563" t="s">
        <v>517</v>
      </c>
      <c r="C51" s="564" t="str">
        <f t="array" ref="C51:AF51">TRANSPOSE(B52:B81)</f>
        <v>N2</v>
      </c>
      <c r="D51" s="565" t="str">
        <v>CO2</v>
      </c>
      <c r="E51" s="565" t="str">
        <v>H2S</v>
      </c>
      <c r="F51" s="565" t="str">
        <v>C1</v>
      </c>
      <c r="G51" s="565" t="str">
        <v>C2</v>
      </c>
      <c r="H51" s="565" t="str">
        <v>C3</v>
      </c>
      <c r="I51" s="565" t="str">
        <v>HG</v>
      </c>
      <c r="J51" s="565" t="str">
        <v>Sat</v>
      </c>
      <c r="K51" s="565" t="str">
        <v>Arom</v>
      </c>
      <c r="L51" s="565" t="str">
        <v>Asph1</v>
      </c>
      <c r="M51" s="565" t="str">
        <v>Asph2</v>
      </c>
      <c r="N51" s="565" t="str">
        <v/>
      </c>
      <c r="O51" s="565" t="str">
        <v/>
      </c>
      <c r="P51" s="565" t="str">
        <v/>
      </c>
      <c r="Q51" s="565" t="str">
        <v/>
      </c>
      <c r="R51" s="565" t="str">
        <v/>
      </c>
      <c r="S51" s="565" t="str">
        <v/>
      </c>
      <c r="T51" s="565" t="str">
        <v/>
      </c>
      <c r="U51" s="565" t="str">
        <v/>
      </c>
      <c r="V51" s="565" t="str">
        <v/>
      </c>
      <c r="W51" s="565" t="str">
        <v/>
      </c>
      <c r="X51" s="565" t="str">
        <v/>
      </c>
      <c r="Y51" s="565" t="str">
        <v/>
      </c>
      <c r="Z51" s="565" t="str">
        <v/>
      </c>
      <c r="AA51" s="565" t="str">
        <v/>
      </c>
      <c r="AB51" s="565" t="str">
        <v/>
      </c>
      <c r="AC51" s="565" t="str">
        <v/>
      </c>
      <c r="AD51" s="565" t="str">
        <v/>
      </c>
      <c r="AE51" s="565" t="str">
        <v/>
      </c>
      <c r="AF51" s="566" t="str">
        <v/>
      </c>
      <c r="AH51" s="563" t="s">
        <v>518</v>
      </c>
      <c r="AI51" s="564" t="str">
        <f t="array" ref="AI51:BL51">TRANSPOSE(AH52:AH81)</f>
        <v>N2</v>
      </c>
      <c r="AJ51" s="565" t="str">
        <v>CO2</v>
      </c>
      <c r="AK51" s="565" t="str">
        <v>H2S</v>
      </c>
      <c r="AL51" s="565" t="str">
        <v>C1</v>
      </c>
      <c r="AM51" s="565" t="str">
        <v>C2</v>
      </c>
      <c r="AN51" s="565" t="str">
        <v>C3</v>
      </c>
      <c r="AO51" s="565" t="str">
        <v>HG</v>
      </c>
      <c r="AP51" s="565" t="str">
        <v>Sat</v>
      </c>
      <c r="AQ51" s="565" t="str">
        <v>Arom</v>
      </c>
      <c r="AR51" s="565" t="str">
        <v>Asph1</v>
      </c>
      <c r="AS51" s="565" t="str">
        <v>Asph2</v>
      </c>
      <c r="AT51" s="565" t="str">
        <v/>
      </c>
      <c r="AU51" s="565" t="str">
        <v/>
      </c>
      <c r="AV51" s="565" t="str">
        <v/>
      </c>
      <c r="AW51" s="565" t="str">
        <v/>
      </c>
      <c r="AX51" s="565" t="str">
        <v/>
      </c>
      <c r="AY51" s="565" t="str">
        <v/>
      </c>
      <c r="AZ51" s="565" t="str">
        <v/>
      </c>
      <c r="BA51" s="565" t="str">
        <v/>
      </c>
      <c r="BB51" s="565" t="str">
        <v/>
      </c>
      <c r="BC51" s="565" t="str">
        <v/>
      </c>
      <c r="BD51" s="565" t="str">
        <v/>
      </c>
      <c r="BE51" s="565" t="str">
        <v/>
      </c>
      <c r="BF51" s="565" t="str">
        <v/>
      </c>
      <c r="BG51" s="565" t="str">
        <v/>
      </c>
      <c r="BH51" s="565" t="str">
        <v/>
      </c>
      <c r="BI51" s="565" t="str">
        <v/>
      </c>
      <c r="BJ51" s="565" t="str">
        <v/>
      </c>
      <c r="BK51" s="565" t="str">
        <v/>
      </c>
      <c r="BL51" s="566" t="str">
        <v/>
      </c>
    </row>
    <row r="52" spans="1:64">
      <c r="A52" s="304">
        <v>1</v>
      </c>
      <c r="B52" s="308" t="str">
        <f t="array" ref="B52:B81">IF(Comp_Name&lt;&gt;"",Comp_Name,"")</f>
        <v>N2</v>
      </c>
      <c r="C52" s="567"/>
      <c r="D52" s="568"/>
      <c r="E52" s="568"/>
      <c r="F52" s="568"/>
      <c r="G52" s="568"/>
      <c r="H52" s="568"/>
      <c r="I52" s="568"/>
      <c r="J52" s="568"/>
      <c r="K52" s="568"/>
      <c r="L52" s="568"/>
      <c r="M52" s="568"/>
      <c r="N52" s="568"/>
      <c r="O52" s="568"/>
      <c r="P52" s="568"/>
      <c r="Q52" s="568"/>
      <c r="R52" s="568"/>
      <c r="S52" s="568"/>
      <c r="T52" s="568"/>
      <c r="U52" s="568"/>
      <c r="V52" s="568"/>
      <c r="W52" s="568"/>
      <c r="X52" s="568"/>
      <c r="Y52" s="568"/>
      <c r="Z52" s="568"/>
      <c r="AA52" s="568"/>
      <c r="AB52" s="568"/>
      <c r="AC52" s="568"/>
      <c r="AD52" s="568"/>
      <c r="AE52" s="568"/>
      <c r="AF52" s="63"/>
      <c r="AG52" s="304">
        <v>1</v>
      </c>
      <c r="AH52" s="308" t="str">
        <f t="array" ref="AH52:AH81">IF(Comp_Name&lt;&gt;"",Comp_Name,"")</f>
        <v>N2</v>
      </c>
      <c r="AI52" s="567"/>
      <c r="AJ52" s="568"/>
      <c r="AK52" s="568"/>
      <c r="AL52" s="568"/>
      <c r="AM52" s="568"/>
      <c r="AN52" s="568"/>
      <c r="AO52" s="568"/>
      <c r="AP52" s="568"/>
      <c r="AQ52" s="568"/>
      <c r="AR52" s="568"/>
      <c r="AS52" s="568"/>
      <c r="AT52" s="568"/>
      <c r="AU52" s="568"/>
      <c r="AV52" s="568"/>
      <c r="AW52" s="568"/>
      <c r="AX52" s="568"/>
      <c r="AY52" s="568"/>
      <c r="AZ52" s="568"/>
      <c r="BA52" s="568"/>
      <c r="BB52" s="568"/>
      <c r="BC52" s="568"/>
      <c r="BD52" s="568"/>
      <c r="BE52" s="568"/>
      <c r="BF52" s="568"/>
      <c r="BG52" s="568"/>
      <c r="BH52" s="568"/>
      <c r="BI52" s="568"/>
      <c r="BJ52" s="568"/>
      <c r="BK52" s="568"/>
      <c r="BL52" s="63"/>
    </row>
    <row r="53" spans="1:64">
      <c r="A53" s="304">
        <v>2</v>
      </c>
      <c r="B53" s="311" t="str">
        <v>CO2</v>
      </c>
      <c r="C53" s="569">
        <v>-1.7000000000000001E-2</v>
      </c>
      <c r="D53" s="570"/>
      <c r="E53" s="570"/>
      <c r="F53" s="570"/>
      <c r="G53" s="570"/>
      <c r="H53" s="570"/>
      <c r="I53" s="570"/>
      <c r="J53" s="570"/>
      <c r="K53" s="570"/>
      <c r="L53" s="570"/>
      <c r="M53" s="570"/>
      <c r="N53" s="570"/>
      <c r="O53" s="570"/>
      <c r="P53" s="570"/>
      <c r="Q53" s="570"/>
      <c r="R53" s="570"/>
      <c r="S53" s="570"/>
      <c r="T53" s="570"/>
      <c r="U53" s="570"/>
      <c r="V53" s="570"/>
      <c r="W53" s="570"/>
      <c r="X53" s="570"/>
      <c r="Y53" s="570"/>
      <c r="Z53" s="570"/>
      <c r="AA53" s="570"/>
      <c r="AB53" s="570"/>
      <c r="AC53" s="570"/>
      <c r="AD53" s="570"/>
      <c r="AE53" s="570"/>
      <c r="AF53" s="66"/>
      <c r="AG53" s="304">
        <v>2</v>
      </c>
      <c r="AH53" s="311" t="str">
        <v>CO2</v>
      </c>
      <c r="AI53" s="571">
        <v>0</v>
      </c>
      <c r="AJ53" s="570"/>
      <c r="AK53" s="570"/>
      <c r="AL53" s="570"/>
      <c r="AM53" s="570"/>
      <c r="AN53" s="570"/>
      <c r="AO53" s="570"/>
      <c r="AP53" s="570"/>
      <c r="AQ53" s="570"/>
      <c r="AR53" s="570"/>
      <c r="AS53" s="570"/>
      <c r="AT53" s="570"/>
      <c r="AU53" s="570"/>
      <c r="AV53" s="570"/>
      <c r="AW53" s="570"/>
      <c r="AX53" s="570"/>
      <c r="AY53" s="570"/>
      <c r="AZ53" s="570"/>
      <c r="BA53" s="570"/>
      <c r="BB53" s="570"/>
      <c r="BC53" s="570"/>
      <c r="BD53" s="570"/>
      <c r="BE53" s="570"/>
      <c r="BF53" s="570"/>
      <c r="BG53" s="570"/>
      <c r="BH53" s="570"/>
      <c r="BI53" s="570"/>
      <c r="BJ53" s="570"/>
      <c r="BK53" s="570"/>
      <c r="BL53" s="66"/>
    </row>
    <row r="54" spans="1:64">
      <c r="A54" s="304">
        <v>3</v>
      </c>
      <c r="B54" s="311" t="str">
        <v>H2S</v>
      </c>
      <c r="C54" s="571">
        <v>0.152</v>
      </c>
      <c r="D54" s="572">
        <v>9.7000000000000003E-2</v>
      </c>
      <c r="E54" s="570"/>
      <c r="F54" s="570"/>
      <c r="G54" s="570"/>
      <c r="H54" s="570"/>
      <c r="I54" s="570"/>
      <c r="J54" s="570"/>
      <c r="K54" s="570"/>
      <c r="L54" s="570"/>
      <c r="M54" s="570"/>
      <c r="N54" s="570"/>
      <c r="O54" s="570"/>
      <c r="P54" s="570"/>
      <c r="Q54" s="570"/>
      <c r="R54" s="570"/>
      <c r="S54" s="570"/>
      <c r="T54" s="570"/>
      <c r="U54" s="570"/>
      <c r="V54" s="570"/>
      <c r="W54" s="570"/>
      <c r="X54" s="570"/>
      <c r="Y54" s="570"/>
      <c r="Z54" s="570"/>
      <c r="AA54" s="570"/>
      <c r="AB54" s="570"/>
      <c r="AC54" s="570"/>
      <c r="AD54" s="570"/>
      <c r="AE54" s="570"/>
      <c r="AF54" s="66"/>
      <c r="AG54" s="304">
        <v>3</v>
      </c>
      <c r="AH54" s="311" t="str">
        <v>H2S</v>
      </c>
      <c r="AI54" s="571">
        <v>0</v>
      </c>
      <c r="AJ54" s="572">
        <v>0</v>
      </c>
      <c r="AK54" s="570"/>
      <c r="AL54" s="570"/>
      <c r="AM54" s="570"/>
      <c r="AN54" s="570"/>
      <c r="AO54" s="570"/>
      <c r="AP54" s="570"/>
      <c r="AQ54" s="570"/>
      <c r="AR54" s="570"/>
      <c r="AS54" s="570"/>
      <c r="AT54" s="570"/>
      <c r="AU54" s="570"/>
      <c r="AV54" s="570"/>
      <c r="AW54" s="570"/>
      <c r="AX54" s="570"/>
      <c r="AY54" s="570"/>
      <c r="AZ54" s="570"/>
      <c r="BA54" s="570"/>
      <c r="BB54" s="570"/>
      <c r="BC54" s="570"/>
      <c r="BD54" s="570"/>
      <c r="BE54" s="570"/>
      <c r="BF54" s="570"/>
      <c r="BG54" s="570"/>
      <c r="BH54" s="570"/>
      <c r="BI54" s="570"/>
      <c r="BJ54" s="570"/>
      <c r="BK54" s="570"/>
      <c r="BL54" s="66"/>
    </row>
    <row r="55" spans="1:64">
      <c r="A55" s="304">
        <v>4</v>
      </c>
      <c r="B55" s="311" t="str">
        <v>C1</v>
      </c>
      <c r="C55" s="571">
        <v>3.1E-2</v>
      </c>
      <c r="D55" s="572">
        <v>9.1999999999999998E-2</v>
      </c>
      <c r="E55" s="572">
        <v>8.1000000000000003E-2</v>
      </c>
      <c r="F55" s="570"/>
      <c r="G55" s="570"/>
      <c r="H55" s="570"/>
      <c r="I55" s="570"/>
      <c r="J55" s="570"/>
      <c r="K55" s="570"/>
      <c r="L55" s="570"/>
      <c r="M55" s="570"/>
      <c r="N55" s="570"/>
      <c r="O55" s="570"/>
      <c r="P55" s="570"/>
      <c r="Q55" s="570"/>
      <c r="R55" s="570"/>
      <c r="S55" s="570"/>
      <c r="T55" s="570"/>
      <c r="U55" s="570"/>
      <c r="V55" s="570"/>
      <c r="W55" s="570"/>
      <c r="X55" s="570"/>
      <c r="Y55" s="570"/>
      <c r="Z55" s="570"/>
      <c r="AA55" s="570"/>
      <c r="AB55" s="570"/>
      <c r="AC55" s="570"/>
      <c r="AD55" s="570"/>
      <c r="AE55" s="570"/>
      <c r="AF55" s="66"/>
      <c r="AG55" s="304">
        <v>4</v>
      </c>
      <c r="AH55" s="311" t="str">
        <v>C1</v>
      </c>
      <c r="AI55" s="571">
        <v>0</v>
      </c>
      <c r="AJ55" s="572">
        <v>0</v>
      </c>
      <c r="AK55" s="572">
        <v>0</v>
      </c>
      <c r="AL55" s="570"/>
      <c r="AM55" s="570"/>
      <c r="AN55" s="570"/>
      <c r="AO55" s="570"/>
      <c r="AP55" s="570"/>
      <c r="AQ55" s="570"/>
      <c r="AR55" s="570"/>
      <c r="AS55" s="570"/>
      <c r="AT55" s="570"/>
      <c r="AU55" s="570"/>
      <c r="AV55" s="570"/>
      <c r="AW55" s="570"/>
      <c r="AX55" s="570"/>
      <c r="AY55" s="570"/>
      <c r="AZ55" s="570"/>
      <c r="BA55" s="570"/>
      <c r="BB55" s="570"/>
      <c r="BC55" s="570"/>
      <c r="BD55" s="570"/>
      <c r="BE55" s="570"/>
      <c r="BF55" s="570"/>
      <c r="BG55" s="570"/>
      <c r="BH55" s="570"/>
      <c r="BI55" s="570"/>
      <c r="BJ55" s="570"/>
      <c r="BK55" s="570"/>
      <c r="BL55" s="66"/>
    </row>
    <row r="56" spans="1:64">
      <c r="A56" s="304">
        <v>5</v>
      </c>
      <c r="B56" s="311" t="str">
        <v>C2</v>
      </c>
      <c r="C56" s="571">
        <v>5.8000000000000003E-2</v>
      </c>
      <c r="D56" s="572">
        <v>0.113</v>
      </c>
      <c r="E56" s="572">
        <v>7.6999999999999999E-2</v>
      </c>
      <c r="F56" s="573">
        <v>1.4999999999999999E-2</v>
      </c>
      <c r="G56" s="570"/>
      <c r="H56" s="570"/>
      <c r="I56" s="570"/>
      <c r="J56" s="570"/>
      <c r="K56" s="570"/>
      <c r="L56" s="570"/>
      <c r="M56" s="570"/>
      <c r="N56" s="570"/>
      <c r="O56" s="570"/>
      <c r="P56" s="570"/>
      <c r="Q56" s="570"/>
      <c r="R56" s="570"/>
      <c r="S56" s="570"/>
      <c r="T56" s="570"/>
      <c r="U56" s="570"/>
      <c r="V56" s="570"/>
      <c r="W56" s="570"/>
      <c r="X56" s="570"/>
      <c r="Y56" s="570"/>
      <c r="Z56" s="570"/>
      <c r="AA56" s="570"/>
      <c r="AB56" s="570"/>
      <c r="AC56" s="570"/>
      <c r="AD56" s="570"/>
      <c r="AE56" s="570"/>
      <c r="AF56" s="66"/>
      <c r="AG56" s="304">
        <v>5</v>
      </c>
      <c r="AH56" s="311" t="str">
        <v>C2</v>
      </c>
      <c r="AI56" s="571">
        <v>0</v>
      </c>
      <c r="AJ56" s="572">
        <v>0</v>
      </c>
      <c r="AK56" s="572">
        <v>0</v>
      </c>
      <c r="AL56" s="572">
        <v>0</v>
      </c>
      <c r="AM56" s="570"/>
      <c r="AN56" s="570"/>
      <c r="AO56" s="570"/>
      <c r="AP56" s="570"/>
      <c r="AQ56" s="570"/>
      <c r="AR56" s="570"/>
      <c r="AS56" s="570"/>
      <c r="AT56" s="570"/>
      <c r="AU56" s="570"/>
      <c r="AV56" s="570"/>
      <c r="AW56" s="570"/>
      <c r="AX56" s="570"/>
      <c r="AY56" s="570"/>
      <c r="AZ56" s="570"/>
      <c r="BA56" s="570"/>
      <c r="BB56" s="570"/>
      <c r="BC56" s="570"/>
      <c r="BD56" s="570"/>
      <c r="BE56" s="570"/>
      <c r="BF56" s="570"/>
      <c r="BG56" s="570"/>
      <c r="BH56" s="570"/>
      <c r="BI56" s="570"/>
      <c r="BJ56" s="570"/>
      <c r="BK56" s="570"/>
      <c r="BL56" s="66"/>
    </row>
    <row r="57" spans="1:64">
      <c r="A57" s="304">
        <v>6</v>
      </c>
      <c r="B57" s="311" t="str">
        <v>C3</v>
      </c>
      <c r="C57" s="571">
        <v>7.1999999999999995E-2</v>
      </c>
      <c r="D57" s="572">
        <v>0.112</v>
      </c>
      <c r="E57" s="572">
        <v>7.0999999999999994E-2</v>
      </c>
      <c r="F57" s="573">
        <v>0.02</v>
      </c>
      <c r="G57" s="573">
        <v>0</v>
      </c>
      <c r="H57" s="570"/>
      <c r="I57" s="570"/>
      <c r="J57" s="570"/>
      <c r="K57" s="570"/>
      <c r="L57" s="570"/>
      <c r="M57" s="570"/>
      <c r="N57" s="570"/>
      <c r="O57" s="570"/>
      <c r="P57" s="570"/>
      <c r="Q57" s="570"/>
      <c r="R57" s="570"/>
      <c r="S57" s="570"/>
      <c r="T57" s="570"/>
      <c r="U57" s="570"/>
      <c r="V57" s="570"/>
      <c r="W57" s="570"/>
      <c r="X57" s="570"/>
      <c r="Y57" s="570"/>
      <c r="Z57" s="570"/>
      <c r="AA57" s="570"/>
      <c r="AB57" s="570"/>
      <c r="AC57" s="570"/>
      <c r="AD57" s="570"/>
      <c r="AE57" s="570"/>
      <c r="AF57" s="66"/>
      <c r="AG57" s="304">
        <v>6</v>
      </c>
      <c r="AH57" s="311" t="str">
        <v>C3</v>
      </c>
      <c r="AI57" s="571">
        <v>0</v>
      </c>
      <c r="AJ57" s="572">
        <v>0</v>
      </c>
      <c r="AK57" s="572">
        <v>0</v>
      </c>
      <c r="AL57" s="572">
        <v>0</v>
      </c>
      <c r="AM57" s="572">
        <v>0</v>
      </c>
      <c r="AN57" s="570"/>
      <c r="AO57" s="570"/>
      <c r="AP57" s="570"/>
      <c r="AQ57" s="570"/>
      <c r="AR57" s="570"/>
      <c r="AS57" s="570"/>
      <c r="AT57" s="570"/>
      <c r="AU57" s="570"/>
      <c r="AV57" s="570"/>
      <c r="AW57" s="570"/>
      <c r="AX57" s="570"/>
      <c r="AY57" s="570"/>
      <c r="AZ57" s="570"/>
      <c r="BA57" s="570"/>
      <c r="BB57" s="570"/>
      <c r="BC57" s="570"/>
      <c r="BD57" s="570"/>
      <c r="BE57" s="570"/>
      <c r="BF57" s="570"/>
      <c r="BG57" s="570"/>
      <c r="BH57" s="570"/>
      <c r="BI57" s="570"/>
      <c r="BJ57" s="570"/>
      <c r="BK57" s="570"/>
      <c r="BL57" s="66"/>
    </row>
    <row r="58" spans="1:64">
      <c r="A58" s="304">
        <v>7</v>
      </c>
      <c r="B58" s="311" t="str">
        <v>HG</v>
      </c>
      <c r="C58" s="569">
        <v>0.05</v>
      </c>
      <c r="D58" s="572">
        <v>0.06</v>
      </c>
      <c r="E58" s="572">
        <v>0.1</v>
      </c>
      <c r="F58" s="572">
        <v>0</v>
      </c>
      <c r="G58" s="572">
        <v>0</v>
      </c>
      <c r="H58" s="572">
        <v>0</v>
      </c>
      <c r="I58" s="570"/>
      <c r="J58" s="570"/>
      <c r="K58" s="570"/>
      <c r="L58" s="570"/>
      <c r="M58" s="570"/>
      <c r="N58" s="570"/>
      <c r="O58" s="570"/>
      <c r="P58" s="570"/>
      <c r="Q58" s="570"/>
      <c r="R58" s="570"/>
      <c r="S58" s="570"/>
      <c r="T58" s="570"/>
      <c r="U58" s="570"/>
      <c r="V58" s="570"/>
      <c r="W58" s="570"/>
      <c r="X58" s="570"/>
      <c r="Y58" s="570"/>
      <c r="Z58" s="570"/>
      <c r="AA58" s="570"/>
      <c r="AB58" s="570"/>
      <c r="AC58" s="570"/>
      <c r="AD58" s="570"/>
      <c r="AE58" s="570"/>
      <c r="AF58" s="66"/>
      <c r="AG58" s="304">
        <v>7</v>
      </c>
      <c r="AH58" s="311" t="str">
        <v>HG</v>
      </c>
      <c r="AI58" s="571">
        <v>0</v>
      </c>
      <c r="AJ58" s="572">
        <v>0</v>
      </c>
      <c r="AK58" s="572">
        <v>0</v>
      </c>
      <c r="AL58" s="572">
        <v>0</v>
      </c>
      <c r="AM58" s="572">
        <v>0</v>
      </c>
      <c r="AN58" s="572">
        <v>0</v>
      </c>
      <c r="AO58" s="570"/>
      <c r="AP58" s="570"/>
      <c r="AQ58" s="570"/>
      <c r="AR58" s="570"/>
      <c r="AS58" s="570"/>
      <c r="AT58" s="570"/>
      <c r="AU58" s="570"/>
      <c r="AV58" s="570"/>
      <c r="AW58" s="570"/>
      <c r="AX58" s="570"/>
      <c r="AY58" s="570"/>
      <c r="AZ58" s="570"/>
      <c r="BA58" s="570"/>
      <c r="BB58" s="570"/>
      <c r="BC58" s="570"/>
      <c r="BD58" s="570"/>
      <c r="BE58" s="570"/>
      <c r="BF58" s="570"/>
      <c r="BG58" s="570"/>
      <c r="BH58" s="570"/>
      <c r="BI58" s="570"/>
      <c r="BJ58" s="570"/>
      <c r="BK58" s="570"/>
      <c r="BL58" s="66"/>
    </row>
    <row r="59" spans="1:64">
      <c r="A59" s="304">
        <v>8</v>
      </c>
      <c r="B59" s="311" t="str">
        <v>Sat</v>
      </c>
      <c r="C59" s="569">
        <v>0.14000000000000001</v>
      </c>
      <c r="D59" s="572">
        <v>0.13</v>
      </c>
      <c r="E59" s="572">
        <v>0.09</v>
      </c>
      <c r="F59" s="572">
        <v>2.6349749714025927E-2</v>
      </c>
      <c r="G59" s="572">
        <v>1.8110676748851473E-2</v>
      </c>
      <c r="H59" s="572">
        <v>1.2455788049931193E-2</v>
      </c>
      <c r="I59" s="572">
        <v>7.3247061391962243E-3</v>
      </c>
      <c r="J59" s="570"/>
      <c r="K59" s="570"/>
      <c r="L59" s="570"/>
      <c r="M59" s="570"/>
      <c r="N59" s="570"/>
      <c r="O59" s="570"/>
      <c r="P59" s="570"/>
      <c r="Q59" s="570"/>
      <c r="R59" s="570"/>
      <c r="S59" s="570"/>
      <c r="T59" s="570"/>
      <c r="U59" s="570"/>
      <c r="V59" s="570"/>
      <c r="W59" s="570"/>
      <c r="X59" s="570"/>
      <c r="Y59" s="570"/>
      <c r="Z59" s="570"/>
      <c r="AA59" s="570"/>
      <c r="AB59" s="570"/>
      <c r="AC59" s="570"/>
      <c r="AD59" s="570"/>
      <c r="AE59" s="570"/>
      <c r="AF59" s="66"/>
      <c r="AG59" s="304">
        <v>8</v>
      </c>
      <c r="AH59" s="311" t="str">
        <v>Sat</v>
      </c>
      <c r="AI59" s="571">
        <v>0</v>
      </c>
      <c r="AJ59" s="572">
        <v>0</v>
      </c>
      <c r="AK59" s="572">
        <v>0</v>
      </c>
      <c r="AL59" s="572">
        <v>0</v>
      </c>
      <c r="AM59" s="572">
        <v>0</v>
      </c>
      <c r="AN59" s="572">
        <v>0</v>
      </c>
      <c r="AO59" s="572">
        <v>0</v>
      </c>
      <c r="AP59" s="570"/>
      <c r="AQ59" s="570"/>
      <c r="AR59" s="570"/>
      <c r="AS59" s="570"/>
      <c r="AT59" s="570"/>
      <c r="AU59" s="570"/>
      <c r="AV59" s="570"/>
      <c r="AW59" s="570"/>
      <c r="AX59" s="570"/>
      <c r="AY59" s="570"/>
      <c r="AZ59" s="570"/>
      <c r="BA59" s="570"/>
      <c r="BB59" s="570"/>
      <c r="BC59" s="570"/>
      <c r="BD59" s="570"/>
      <c r="BE59" s="570"/>
      <c r="BF59" s="570"/>
      <c r="BG59" s="570"/>
      <c r="BH59" s="570"/>
      <c r="BI59" s="570"/>
      <c r="BJ59" s="570"/>
      <c r="BK59" s="570"/>
      <c r="BL59" s="66"/>
    </row>
    <row r="60" spans="1:64">
      <c r="A60" s="304">
        <v>9</v>
      </c>
      <c r="B60" s="311" t="str">
        <v>Arom</v>
      </c>
      <c r="C60" s="569">
        <v>0.14000000000000001</v>
      </c>
      <c r="D60" s="573">
        <v>0.13</v>
      </c>
      <c r="E60" s="572">
        <v>1.4999999999999999E-2</v>
      </c>
      <c r="F60" s="572">
        <v>3.393467005775952E-2</v>
      </c>
      <c r="G60" s="572">
        <v>2.4604043567257872E-2</v>
      </c>
      <c r="H60" s="572">
        <v>1.7999941863944602E-2</v>
      </c>
      <c r="I60" s="572">
        <v>1.1751163937499198E-2</v>
      </c>
      <c r="J60" s="572">
        <v>0</v>
      </c>
      <c r="K60" s="570"/>
      <c r="L60" s="570"/>
      <c r="M60" s="570"/>
      <c r="N60" s="570"/>
      <c r="O60" s="570"/>
      <c r="P60" s="570"/>
      <c r="Q60" s="570"/>
      <c r="R60" s="570"/>
      <c r="S60" s="570"/>
      <c r="T60" s="570"/>
      <c r="U60" s="570"/>
      <c r="V60" s="570"/>
      <c r="W60" s="570"/>
      <c r="X60" s="570"/>
      <c r="Y60" s="570"/>
      <c r="Z60" s="570"/>
      <c r="AA60" s="570"/>
      <c r="AB60" s="570"/>
      <c r="AC60" s="570"/>
      <c r="AD60" s="570"/>
      <c r="AE60" s="570"/>
      <c r="AF60" s="66"/>
      <c r="AG60" s="304">
        <v>9</v>
      </c>
      <c r="AH60" s="311" t="str">
        <v>Arom</v>
      </c>
      <c r="AI60" s="571">
        <v>0</v>
      </c>
      <c r="AJ60" s="572">
        <v>0</v>
      </c>
      <c r="AK60" s="572">
        <v>0</v>
      </c>
      <c r="AL60" s="572">
        <v>0</v>
      </c>
      <c r="AM60" s="572">
        <v>0</v>
      </c>
      <c r="AN60" s="572">
        <v>0</v>
      </c>
      <c r="AO60" s="572">
        <v>0</v>
      </c>
      <c r="AP60" s="572">
        <v>0</v>
      </c>
      <c r="AQ60" s="570"/>
      <c r="AR60" s="570"/>
      <c r="AS60" s="570"/>
      <c r="AT60" s="570"/>
      <c r="AU60" s="570"/>
      <c r="AV60" s="570"/>
      <c r="AW60" s="570"/>
      <c r="AX60" s="570"/>
      <c r="AY60" s="570"/>
      <c r="AZ60" s="570"/>
      <c r="BA60" s="570"/>
      <c r="BB60" s="570"/>
      <c r="BC60" s="570"/>
      <c r="BD60" s="570"/>
      <c r="BE60" s="570"/>
      <c r="BF60" s="570"/>
      <c r="BG60" s="570"/>
      <c r="BH60" s="570"/>
      <c r="BI60" s="570"/>
      <c r="BJ60" s="570"/>
      <c r="BK60" s="570"/>
      <c r="BL60" s="66"/>
    </row>
    <row r="61" spans="1:64">
      <c r="A61" s="304">
        <v>10</v>
      </c>
      <c r="B61" s="311" t="str">
        <v>Asph1</v>
      </c>
      <c r="C61" s="569">
        <v>0.23</v>
      </c>
      <c r="D61" s="573">
        <v>0.15</v>
      </c>
      <c r="E61" s="572">
        <v>1.4999999999999999E-2</v>
      </c>
      <c r="F61" s="572">
        <v>6.2392461671194617E-2</v>
      </c>
      <c r="G61" s="572">
        <v>5.3379261226013448E-2</v>
      </c>
      <c r="H61" s="572">
        <v>4.6676523354253437E-2</v>
      </c>
      <c r="I61" s="572">
        <v>3.9923081090170072E-2</v>
      </c>
      <c r="J61" s="572">
        <v>5.2907425127843855E-3</v>
      </c>
      <c r="K61" s="572">
        <v>2.7868629627310071E-3</v>
      </c>
      <c r="L61" s="570"/>
      <c r="M61" s="570"/>
      <c r="N61" s="570"/>
      <c r="O61" s="570"/>
      <c r="P61" s="570"/>
      <c r="Q61" s="570"/>
      <c r="R61" s="570"/>
      <c r="S61" s="570"/>
      <c r="T61" s="570"/>
      <c r="U61" s="570"/>
      <c r="V61" s="570"/>
      <c r="W61" s="570"/>
      <c r="X61" s="570"/>
      <c r="Y61" s="570"/>
      <c r="Z61" s="570"/>
      <c r="AA61" s="570"/>
      <c r="AB61" s="570"/>
      <c r="AC61" s="570"/>
      <c r="AD61" s="570"/>
      <c r="AE61" s="570"/>
      <c r="AF61" s="66"/>
      <c r="AG61" s="304">
        <v>10</v>
      </c>
      <c r="AH61" s="311" t="str">
        <v>Asph1</v>
      </c>
      <c r="AI61" s="571">
        <v>0</v>
      </c>
      <c r="AJ61" s="572">
        <v>0</v>
      </c>
      <c r="AK61" s="572">
        <v>0</v>
      </c>
      <c r="AL61" s="572">
        <v>1.1111111111110813E-4</v>
      </c>
      <c r="AM61" s="572">
        <v>1.1111111111110813E-4</v>
      </c>
      <c r="AN61" s="572">
        <v>1.1111111111110813E-4</v>
      </c>
      <c r="AO61" s="572">
        <v>1.1111111111110813E-4</v>
      </c>
      <c r="AP61" s="572">
        <v>0</v>
      </c>
      <c r="AQ61" s="572">
        <v>0</v>
      </c>
      <c r="AR61" s="570"/>
      <c r="AS61" s="570"/>
      <c r="AT61" s="570"/>
      <c r="AU61" s="570"/>
      <c r="AV61" s="570"/>
      <c r="AW61" s="570"/>
      <c r="AX61" s="570"/>
      <c r="AY61" s="570"/>
      <c r="AZ61" s="570"/>
      <c r="BA61" s="570"/>
      <c r="BB61" s="570"/>
      <c r="BC61" s="570"/>
      <c r="BD61" s="570"/>
      <c r="BE61" s="570"/>
      <c r="BF61" s="570"/>
      <c r="BG61" s="570"/>
      <c r="BH61" s="570"/>
      <c r="BI61" s="570"/>
      <c r="BJ61" s="570"/>
      <c r="BK61" s="570"/>
      <c r="BL61" s="66"/>
    </row>
    <row r="62" spans="1:64">
      <c r="A62" s="304">
        <v>11</v>
      </c>
      <c r="B62" s="311" t="str">
        <v>Asph2</v>
      </c>
      <c r="C62" s="571">
        <v>0.23</v>
      </c>
      <c r="D62" s="572">
        <v>0.15</v>
      </c>
      <c r="E62" s="572">
        <v>1.4999999999999999E-2</v>
      </c>
      <c r="F62" s="572">
        <v>6.8875975383558954E-2</v>
      </c>
      <c r="G62" s="572">
        <v>5.9315155160613149E-2</v>
      </c>
      <c r="H62" s="572">
        <v>5.212412428618652E-2</v>
      </c>
      <c r="I62" s="572">
        <v>4.4781184497807332E-2</v>
      </c>
      <c r="J62" s="572">
        <v>7.9706716157095236E-3</v>
      </c>
      <c r="K62" s="572">
        <v>4.8226653307325007E-3</v>
      </c>
      <c r="L62" s="572">
        <v>0</v>
      </c>
      <c r="M62" s="570"/>
      <c r="N62" s="570"/>
      <c r="O62" s="570"/>
      <c r="P62" s="570"/>
      <c r="Q62" s="570"/>
      <c r="R62" s="570"/>
      <c r="S62" s="570"/>
      <c r="T62" s="570"/>
      <c r="U62" s="570"/>
      <c r="V62" s="570"/>
      <c r="W62" s="570"/>
      <c r="X62" s="570"/>
      <c r="Y62" s="570"/>
      <c r="Z62" s="570"/>
      <c r="AA62" s="570"/>
      <c r="AB62" s="570"/>
      <c r="AC62" s="570"/>
      <c r="AD62" s="570"/>
      <c r="AE62" s="570"/>
      <c r="AF62" s="66"/>
      <c r="AG62" s="304">
        <v>11</v>
      </c>
      <c r="AH62" s="311" t="str">
        <v>Asph2</v>
      </c>
      <c r="AI62" s="571">
        <v>0</v>
      </c>
      <c r="AJ62" s="572">
        <v>0</v>
      </c>
      <c r="AK62" s="572">
        <v>0</v>
      </c>
      <c r="AL62" s="572">
        <v>1.1111111111110813E-4</v>
      </c>
      <c r="AM62" s="572">
        <v>1.1111111111110813E-4</v>
      </c>
      <c r="AN62" s="572">
        <v>1.1111111111110813E-4</v>
      </c>
      <c r="AO62" s="572">
        <v>1.1111111111110813E-4</v>
      </c>
      <c r="AP62" s="572">
        <v>0</v>
      </c>
      <c r="AQ62" s="572">
        <v>0</v>
      </c>
      <c r="AR62" s="572">
        <v>0</v>
      </c>
      <c r="AS62" s="570"/>
      <c r="AT62" s="570"/>
      <c r="AU62" s="570"/>
      <c r="AV62" s="570"/>
      <c r="AW62" s="570"/>
      <c r="AX62" s="570"/>
      <c r="AY62" s="570"/>
      <c r="AZ62" s="570"/>
      <c r="BA62" s="570"/>
      <c r="BB62" s="570"/>
      <c r="BC62" s="570"/>
      <c r="BD62" s="570"/>
      <c r="BE62" s="570"/>
      <c r="BF62" s="570"/>
      <c r="BG62" s="570"/>
      <c r="BH62" s="570"/>
      <c r="BI62" s="570"/>
      <c r="BJ62" s="570"/>
      <c r="BK62" s="570"/>
      <c r="BL62" s="66"/>
    </row>
    <row r="63" spans="1:64">
      <c r="A63" s="304">
        <v>12</v>
      </c>
      <c r="B63" s="311" t="str">
        <v/>
      </c>
      <c r="C63" s="571"/>
      <c r="D63" s="572"/>
      <c r="E63" s="572"/>
      <c r="F63" s="572"/>
      <c r="G63" s="572"/>
      <c r="H63" s="572"/>
      <c r="I63" s="572"/>
      <c r="J63" s="572"/>
      <c r="K63" s="572"/>
      <c r="L63" s="572"/>
      <c r="M63" s="572"/>
      <c r="N63" s="570"/>
      <c r="O63" s="570"/>
      <c r="P63" s="570"/>
      <c r="Q63" s="570"/>
      <c r="R63" s="570"/>
      <c r="S63" s="570"/>
      <c r="T63" s="570"/>
      <c r="U63" s="570"/>
      <c r="V63" s="570"/>
      <c r="W63" s="570"/>
      <c r="X63" s="570"/>
      <c r="Y63" s="570"/>
      <c r="Z63" s="570"/>
      <c r="AA63" s="570"/>
      <c r="AB63" s="570"/>
      <c r="AC63" s="570"/>
      <c r="AD63" s="570"/>
      <c r="AE63" s="570"/>
      <c r="AF63" s="66"/>
      <c r="AG63" s="304">
        <v>12</v>
      </c>
      <c r="AH63" s="311" t="str">
        <v/>
      </c>
      <c r="AI63" s="571"/>
      <c r="AJ63" s="572"/>
      <c r="AK63" s="572"/>
      <c r="AL63" s="572"/>
      <c r="AM63" s="572"/>
      <c r="AN63" s="572"/>
      <c r="AO63" s="572"/>
      <c r="AP63" s="572"/>
      <c r="AQ63" s="572"/>
      <c r="AR63" s="572"/>
      <c r="AS63" s="572"/>
      <c r="AT63" s="570"/>
      <c r="AU63" s="570"/>
      <c r="AV63" s="570"/>
      <c r="AW63" s="570"/>
      <c r="AX63" s="570"/>
      <c r="AY63" s="570"/>
      <c r="AZ63" s="570"/>
      <c r="BA63" s="570"/>
      <c r="BB63" s="570"/>
      <c r="BC63" s="570"/>
      <c r="BD63" s="570"/>
      <c r="BE63" s="570"/>
      <c r="BF63" s="570"/>
      <c r="BG63" s="570"/>
      <c r="BH63" s="570"/>
      <c r="BI63" s="570"/>
      <c r="BJ63" s="570"/>
      <c r="BK63" s="570"/>
      <c r="BL63" s="66"/>
    </row>
    <row r="64" spans="1:64">
      <c r="A64" s="304">
        <v>13</v>
      </c>
      <c r="B64" s="311" t="str">
        <v/>
      </c>
      <c r="C64" s="571"/>
      <c r="D64" s="572"/>
      <c r="E64" s="572"/>
      <c r="F64" s="572"/>
      <c r="G64" s="572"/>
      <c r="H64" s="572"/>
      <c r="I64" s="572"/>
      <c r="J64" s="572"/>
      <c r="K64" s="572"/>
      <c r="L64" s="572"/>
      <c r="M64" s="572"/>
      <c r="N64" s="572"/>
      <c r="O64" s="570"/>
      <c r="P64" s="570"/>
      <c r="Q64" s="570"/>
      <c r="R64" s="570"/>
      <c r="S64" s="570"/>
      <c r="T64" s="570"/>
      <c r="U64" s="570"/>
      <c r="V64" s="570"/>
      <c r="W64" s="570"/>
      <c r="X64" s="570"/>
      <c r="Y64" s="570"/>
      <c r="Z64" s="570"/>
      <c r="AA64" s="570"/>
      <c r="AB64" s="570"/>
      <c r="AC64" s="570"/>
      <c r="AD64" s="570"/>
      <c r="AE64" s="570"/>
      <c r="AF64" s="66"/>
      <c r="AG64" s="304">
        <v>13</v>
      </c>
      <c r="AH64" s="311" t="str">
        <v/>
      </c>
      <c r="AI64" s="571"/>
      <c r="AJ64" s="572"/>
      <c r="AK64" s="572"/>
      <c r="AL64" s="572"/>
      <c r="AM64" s="572"/>
      <c r="AN64" s="572"/>
      <c r="AO64" s="572"/>
      <c r="AP64" s="572"/>
      <c r="AQ64" s="572"/>
      <c r="AR64" s="572"/>
      <c r="AS64" s="572"/>
      <c r="AT64" s="572"/>
      <c r="AU64" s="570"/>
      <c r="AV64" s="570"/>
      <c r="AW64" s="570"/>
      <c r="AX64" s="570"/>
      <c r="AY64" s="570"/>
      <c r="AZ64" s="570"/>
      <c r="BA64" s="570"/>
      <c r="BB64" s="570"/>
      <c r="BC64" s="570"/>
      <c r="BD64" s="570"/>
      <c r="BE64" s="570"/>
      <c r="BF64" s="570"/>
      <c r="BG64" s="570"/>
      <c r="BH64" s="570"/>
      <c r="BI64" s="570"/>
      <c r="BJ64" s="570"/>
      <c r="BK64" s="570"/>
      <c r="BL64" s="66"/>
    </row>
    <row r="65" spans="1:64">
      <c r="A65" s="304">
        <v>14</v>
      </c>
      <c r="B65" s="311" t="str">
        <v/>
      </c>
      <c r="C65" s="571"/>
      <c r="D65" s="572"/>
      <c r="E65" s="572"/>
      <c r="F65" s="572"/>
      <c r="G65" s="572"/>
      <c r="H65" s="572"/>
      <c r="I65" s="572"/>
      <c r="J65" s="572"/>
      <c r="K65" s="572"/>
      <c r="L65" s="572"/>
      <c r="M65" s="572"/>
      <c r="N65" s="572"/>
      <c r="O65" s="572"/>
      <c r="P65" s="570"/>
      <c r="Q65" s="570"/>
      <c r="R65" s="570"/>
      <c r="S65" s="570"/>
      <c r="T65" s="570"/>
      <c r="U65" s="570"/>
      <c r="V65" s="570"/>
      <c r="W65" s="570"/>
      <c r="X65" s="570"/>
      <c r="Y65" s="570"/>
      <c r="Z65" s="570"/>
      <c r="AA65" s="570"/>
      <c r="AB65" s="570"/>
      <c r="AC65" s="570"/>
      <c r="AD65" s="570"/>
      <c r="AE65" s="570"/>
      <c r="AF65" s="66"/>
      <c r="AG65" s="304">
        <v>14</v>
      </c>
      <c r="AH65" s="311" t="str">
        <v/>
      </c>
      <c r="AI65" s="571"/>
      <c r="AJ65" s="572"/>
      <c r="AK65" s="572"/>
      <c r="AL65" s="572"/>
      <c r="AM65" s="572"/>
      <c r="AN65" s="572"/>
      <c r="AO65" s="572"/>
      <c r="AP65" s="572"/>
      <c r="AQ65" s="572"/>
      <c r="AR65" s="572"/>
      <c r="AS65" s="572"/>
      <c r="AT65" s="572"/>
      <c r="AU65" s="572"/>
      <c r="AV65" s="570"/>
      <c r="AW65" s="570"/>
      <c r="AX65" s="570"/>
      <c r="AY65" s="570"/>
      <c r="AZ65" s="570"/>
      <c r="BA65" s="570"/>
      <c r="BB65" s="570"/>
      <c r="BC65" s="570"/>
      <c r="BD65" s="570"/>
      <c r="BE65" s="570"/>
      <c r="BF65" s="570"/>
      <c r="BG65" s="570"/>
      <c r="BH65" s="570"/>
      <c r="BI65" s="570"/>
      <c r="BJ65" s="570"/>
      <c r="BK65" s="570"/>
      <c r="BL65" s="66"/>
    </row>
    <row r="66" spans="1:64">
      <c r="A66" s="304">
        <v>15</v>
      </c>
      <c r="B66" s="311" t="str">
        <v/>
      </c>
      <c r="C66" s="571"/>
      <c r="D66" s="572"/>
      <c r="E66" s="572"/>
      <c r="F66" s="572"/>
      <c r="G66" s="572"/>
      <c r="H66" s="572"/>
      <c r="I66" s="572"/>
      <c r="J66" s="572"/>
      <c r="K66" s="572"/>
      <c r="L66" s="572"/>
      <c r="M66" s="572"/>
      <c r="N66" s="572"/>
      <c r="O66" s="572"/>
      <c r="P66" s="572"/>
      <c r="Q66" s="570"/>
      <c r="R66" s="570"/>
      <c r="S66" s="570"/>
      <c r="T66" s="570"/>
      <c r="U66" s="570"/>
      <c r="V66" s="570"/>
      <c r="W66" s="570"/>
      <c r="X66" s="570"/>
      <c r="Y66" s="570"/>
      <c r="Z66" s="570"/>
      <c r="AA66" s="570"/>
      <c r="AB66" s="570"/>
      <c r="AC66" s="570"/>
      <c r="AD66" s="570"/>
      <c r="AE66" s="570"/>
      <c r="AF66" s="66"/>
      <c r="AG66" s="304">
        <v>15</v>
      </c>
      <c r="AH66" s="311" t="str">
        <v/>
      </c>
      <c r="AI66" s="571"/>
      <c r="AJ66" s="572"/>
      <c r="AK66" s="572"/>
      <c r="AL66" s="572"/>
      <c r="AM66" s="572"/>
      <c r="AN66" s="572"/>
      <c r="AO66" s="572"/>
      <c r="AP66" s="572"/>
      <c r="AQ66" s="572"/>
      <c r="AR66" s="572"/>
      <c r="AS66" s="572"/>
      <c r="AT66" s="572"/>
      <c r="AU66" s="572"/>
      <c r="AV66" s="572"/>
      <c r="AW66" s="570"/>
      <c r="AX66" s="570"/>
      <c r="AY66" s="570"/>
      <c r="AZ66" s="570"/>
      <c r="BA66" s="570"/>
      <c r="BB66" s="570"/>
      <c r="BC66" s="570"/>
      <c r="BD66" s="570"/>
      <c r="BE66" s="570"/>
      <c r="BF66" s="570"/>
      <c r="BG66" s="570"/>
      <c r="BH66" s="570"/>
      <c r="BI66" s="570"/>
      <c r="BJ66" s="570"/>
      <c r="BK66" s="570"/>
      <c r="BL66" s="66"/>
    </row>
    <row r="67" spans="1:64">
      <c r="A67" s="304">
        <v>16</v>
      </c>
      <c r="B67" s="311" t="str">
        <v/>
      </c>
      <c r="C67" s="571"/>
      <c r="D67" s="572"/>
      <c r="E67" s="572"/>
      <c r="F67" s="572"/>
      <c r="G67" s="572"/>
      <c r="H67" s="572"/>
      <c r="I67" s="572"/>
      <c r="J67" s="572"/>
      <c r="K67" s="572"/>
      <c r="L67" s="572"/>
      <c r="M67" s="572"/>
      <c r="N67" s="572"/>
      <c r="O67" s="572"/>
      <c r="P67" s="572"/>
      <c r="Q67" s="572"/>
      <c r="R67" s="570"/>
      <c r="S67" s="570"/>
      <c r="T67" s="570"/>
      <c r="U67" s="570"/>
      <c r="V67" s="570"/>
      <c r="W67" s="570"/>
      <c r="X67" s="570"/>
      <c r="Y67" s="570"/>
      <c r="Z67" s="570"/>
      <c r="AA67" s="570"/>
      <c r="AB67" s="570"/>
      <c r="AC67" s="570"/>
      <c r="AD67" s="570"/>
      <c r="AE67" s="570"/>
      <c r="AF67" s="66"/>
      <c r="AG67" s="304">
        <v>16</v>
      </c>
      <c r="AH67" s="311" t="str">
        <v/>
      </c>
      <c r="AI67" s="571"/>
      <c r="AJ67" s="572"/>
      <c r="AK67" s="572"/>
      <c r="AL67" s="572"/>
      <c r="AM67" s="572"/>
      <c r="AN67" s="572"/>
      <c r="AO67" s="572"/>
      <c r="AP67" s="572"/>
      <c r="AQ67" s="572"/>
      <c r="AR67" s="572"/>
      <c r="AS67" s="572"/>
      <c r="AT67" s="572"/>
      <c r="AU67" s="572"/>
      <c r="AV67" s="572"/>
      <c r="AW67" s="572"/>
      <c r="AX67" s="570"/>
      <c r="AY67" s="570"/>
      <c r="AZ67" s="570"/>
      <c r="BA67" s="570"/>
      <c r="BB67" s="570"/>
      <c r="BC67" s="570"/>
      <c r="BD67" s="570"/>
      <c r="BE67" s="570"/>
      <c r="BF67" s="570"/>
      <c r="BG67" s="570"/>
      <c r="BH67" s="570"/>
      <c r="BI67" s="570"/>
      <c r="BJ67" s="570"/>
      <c r="BK67" s="570"/>
      <c r="BL67" s="66"/>
    </row>
    <row r="68" spans="1:64">
      <c r="A68" s="304">
        <v>17</v>
      </c>
      <c r="B68" s="311" t="str">
        <v/>
      </c>
      <c r="C68" s="571"/>
      <c r="D68" s="572"/>
      <c r="E68" s="572"/>
      <c r="F68" s="572"/>
      <c r="G68" s="572"/>
      <c r="H68" s="572"/>
      <c r="I68" s="572"/>
      <c r="J68" s="572"/>
      <c r="K68" s="572"/>
      <c r="L68" s="572"/>
      <c r="M68" s="572"/>
      <c r="N68" s="572"/>
      <c r="O68" s="572"/>
      <c r="P68" s="572"/>
      <c r="Q68" s="572"/>
      <c r="R68" s="572"/>
      <c r="S68" s="570"/>
      <c r="T68" s="570"/>
      <c r="U68" s="570"/>
      <c r="V68" s="570"/>
      <c r="W68" s="570"/>
      <c r="X68" s="570"/>
      <c r="Y68" s="570"/>
      <c r="Z68" s="570"/>
      <c r="AA68" s="570"/>
      <c r="AB68" s="570"/>
      <c r="AC68" s="570"/>
      <c r="AD68" s="570"/>
      <c r="AE68" s="570"/>
      <c r="AF68" s="66"/>
      <c r="AG68" s="304">
        <v>17</v>
      </c>
      <c r="AH68" s="311" t="str">
        <v/>
      </c>
      <c r="AI68" s="571"/>
      <c r="AJ68" s="572"/>
      <c r="AK68" s="572"/>
      <c r="AL68" s="572"/>
      <c r="AM68" s="572"/>
      <c r="AN68" s="572"/>
      <c r="AO68" s="572"/>
      <c r="AP68" s="572"/>
      <c r="AQ68" s="572"/>
      <c r="AR68" s="572"/>
      <c r="AS68" s="572"/>
      <c r="AT68" s="572"/>
      <c r="AU68" s="572"/>
      <c r="AV68" s="572"/>
      <c r="AW68" s="572"/>
      <c r="AX68" s="572"/>
      <c r="AY68" s="570"/>
      <c r="AZ68" s="570"/>
      <c r="BA68" s="570"/>
      <c r="BB68" s="570"/>
      <c r="BC68" s="570"/>
      <c r="BD68" s="570"/>
      <c r="BE68" s="570"/>
      <c r="BF68" s="570"/>
      <c r="BG68" s="570"/>
      <c r="BH68" s="570"/>
      <c r="BI68" s="570"/>
      <c r="BJ68" s="570"/>
      <c r="BK68" s="570"/>
      <c r="BL68" s="66"/>
    </row>
    <row r="69" spans="1:64">
      <c r="A69" s="304">
        <v>18</v>
      </c>
      <c r="B69" s="311" t="str">
        <v/>
      </c>
      <c r="C69" s="571"/>
      <c r="D69" s="572"/>
      <c r="E69" s="572"/>
      <c r="F69" s="572"/>
      <c r="G69" s="572"/>
      <c r="H69" s="572"/>
      <c r="I69" s="572"/>
      <c r="J69" s="572"/>
      <c r="K69" s="572"/>
      <c r="L69" s="572"/>
      <c r="M69" s="572"/>
      <c r="N69" s="572"/>
      <c r="O69" s="572"/>
      <c r="P69" s="572"/>
      <c r="Q69" s="572"/>
      <c r="R69" s="572"/>
      <c r="S69" s="572"/>
      <c r="T69" s="570"/>
      <c r="U69" s="570"/>
      <c r="V69" s="570"/>
      <c r="W69" s="570"/>
      <c r="X69" s="570"/>
      <c r="Y69" s="570"/>
      <c r="Z69" s="570"/>
      <c r="AA69" s="570"/>
      <c r="AB69" s="570"/>
      <c r="AC69" s="570"/>
      <c r="AD69" s="570"/>
      <c r="AE69" s="570"/>
      <c r="AF69" s="66"/>
      <c r="AG69" s="304">
        <v>18</v>
      </c>
      <c r="AH69" s="311" t="str">
        <v/>
      </c>
      <c r="AI69" s="571"/>
      <c r="AJ69" s="572"/>
      <c r="AK69" s="572"/>
      <c r="AL69" s="572"/>
      <c r="AM69" s="572"/>
      <c r="AN69" s="572"/>
      <c r="AO69" s="572"/>
      <c r="AP69" s="572"/>
      <c r="AQ69" s="572"/>
      <c r="AR69" s="572"/>
      <c r="AS69" s="572"/>
      <c r="AT69" s="572"/>
      <c r="AU69" s="572"/>
      <c r="AV69" s="572"/>
      <c r="AW69" s="572"/>
      <c r="AX69" s="572"/>
      <c r="AY69" s="572"/>
      <c r="AZ69" s="570"/>
      <c r="BA69" s="570"/>
      <c r="BB69" s="570"/>
      <c r="BC69" s="570"/>
      <c r="BD69" s="570"/>
      <c r="BE69" s="570"/>
      <c r="BF69" s="570"/>
      <c r="BG69" s="570"/>
      <c r="BH69" s="570"/>
      <c r="BI69" s="570"/>
      <c r="BJ69" s="570"/>
      <c r="BK69" s="570"/>
      <c r="BL69" s="66"/>
    </row>
    <row r="70" spans="1:64">
      <c r="A70" s="304">
        <v>19</v>
      </c>
      <c r="B70" s="311" t="str">
        <v/>
      </c>
      <c r="C70" s="571"/>
      <c r="D70" s="572"/>
      <c r="E70" s="572"/>
      <c r="F70" s="572"/>
      <c r="G70" s="572"/>
      <c r="H70" s="572"/>
      <c r="I70" s="572"/>
      <c r="J70" s="572"/>
      <c r="K70" s="572"/>
      <c r="L70" s="572"/>
      <c r="M70" s="572"/>
      <c r="N70" s="572"/>
      <c r="O70" s="572"/>
      <c r="P70" s="572"/>
      <c r="Q70" s="572"/>
      <c r="R70" s="572"/>
      <c r="S70" s="572"/>
      <c r="T70" s="572"/>
      <c r="U70" s="570"/>
      <c r="V70" s="570"/>
      <c r="W70" s="570"/>
      <c r="X70" s="570"/>
      <c r="Y70" s="570"/>
      <c r="Z70" s="570"/>
      <c r="AA70" s="570"/>
      <c r="AB70" s="570"/>
      <c r="AC70" s="570"/>
      <c r="AD70" s="570"/>
      <c r="AE70" s="570"/>
      <c r="AF70" s="66"/>
      <c r="AG70" s="304">
        <v>19</v>
      </c>
      <c r="AH70" s="311" t="str">
        <v/>
      </c>
      <c r="AI70" s="571"/>
      <c r="AJ70" s="572"/>
      <c r="AK70" s="572"/>
      <c r="AL70" s="572"/>
      <c r="AM70" s="572"/>
      <c r="AN70" s="572"/>
      <c r="AO70" s="572"/>
      <c r="AP70" s="572"/>
      <c r="AQ70" s="572"/>
      <c r="AR70" s="572"/>
      <c r="AS70" s="572"/>
      <c r="AT70" s="572"/>
      <c r="AU70" s="572"/>
      <c r="AV70" s="572"/>
      <c r="AW70" s="572"/>
      <c r="AX70" s="572"/>
      <c r="AY70" s="572"/>
      <c r="AZ70" s="572"/>
      <c r="BA70" s="570"/>
      <c r="BB70" s="570"/>
      <c r="BC70" s="570"/>
      <c r="BD70" s="570"/>
      <c r="BE70" s="570"/>
      <c r="BF70" s="570"/>
      <c r="BG70" s="570"/>
      <c r="BH70" s="570"/>
      <c r="BI70" s="570"/>
      <c r="BJ70" s="570"/>
      <c r="BK70" s="570"/>
      <c r="BL70" s="66"/>
    </row>
    <row r="71" spans="1:64">
      <c r="A71" s="304">
        <v>20</v>
      </c>
      <c r="B71" s="311" t="str">
        <v/>
      </c>
      <c r="C71" s="571"/>
      <c r="D71" s="572"/>
      <c r="E71" s="572"/>
      <c r="F71" s="572"/>
      <c r="G71" s="572"/>
      <c r="H71" s="572"/>
      <c r="I71" s="572"/>
      <c r="J71" s="572"/>
      <c r="K71" s="572"/>
      <c r="L71" s="572"/>
      <c r="M71" s="572"/>
      <c r="N71" s="572"/>
      <c r="O71" s="572"/>
      <c r="P71" s="572"/>
      <c r="Q71" s="572"/>
      <c r="R71" s="572"/>
      <c r="S71" s="572"/>
      <c r="T71" s="572"/>
      <c r="U71" s="572"/>
      <c r="V71" s="570"/>
      <c r="W71" s="570"/>
      <c r="X71" s="570"/>
      <c r="Y71" s="570"/>
      <c r="Z71" s="570"/>
      <c r="AA71" s="570"/>
      <c r="AB71" s="570"/>
      <c r="AC71" s="570"/>
      <c r="AD71" s="570"/>
      <c r="AE71" s="570"/>
      <c r="AF71" s="66"/>
      <c r="AG71" s="304">
        <v>20</v>
      </c>
      <c r="AH71" s="311" t="str">
        <v/>
      </c>
      <c r="AI71" s="571"/>
      <c r="AJ71" s="572"/>
      <c r="AK71" s="572"/>
      <c r="AL71" s="572"/>
      <c r="AM71" s="572"/>
      <c r="AN71" s="572"/>
      <c r="AO71" s="572"/>
      <c r="AP71" s="572"/>
      <c r="AQ71" s="572"/>
      <c r="AR71" s="572"/>
      <c r="AS71" s="572"/>
      <c r="AT71" s="572"/>
      <c r="AU71" s="572"/>
      <c r="AV71" s="572"/>
      <c r="AW71" s="572"/>
      <c r="AX71" s="572"/>
      <c r="AY71" s="572"/>
      <c r="AZ71" s="572"/>
      <c r="BA71" s="572"/>
      <c r="BB71" s="570"/>
      <c r="BC71" s="570"/>
      <c r="BD71" s="570"/>
      <c r="BE71" s="570"/>
      <c r="BF71" s="570"/>
      <c r="BG71" s="570"/>
      <c r="BH71" s="570"/>
      <c r="BI71" s="570"/>
      <c r="BJ71" s="570"/>
      <c r="BK71" s="570"/>
      <c r="BL71" s="66"/>
    </row>
    <row r="72" spans="1:64">
      <c r="A72" s="304">
        <v>21</v>
      </c>
      <c r="B72" s="311" t="str">
        <v/>
      </c>
      <c r="C72" s="571"/>
      <c r="D72" s="572"/>
      <c r="E72" s="572"/>
      <c r="F72" s="572"/>
      <c r="G72" s="572"/>
      <c r="H72" s="572"/>
      <c r="I72" s="572"/>
      <c r="J72" s="572"/>
      <c r="K72" s="572"/>
      <c r="L72" s="572"/>
      <c r="M72" s="572"/>
      <c r="N72" s="572"/>
      <c r="O72" s="572"/>
      <c r="P72" s="572"/>
      <c r="Q72" s="572"/>
      <c r="R72" s="572"/>
      <c r="S72" s="572"/>
      <c r="T72" s="572"/>
      <c r="U72" s="572"/>
      <c r="V72" s="572"/>
      <c r="W72" s="570"/>
      <c r="X72" s="570"/>
      <c r="Y72" s="570"/>
      <c r="Z72" s="570"/>
      <c r="AA72" s="570"/>
      <c r="AB72" s="570"/>
      <c r="AC72" s="570"/>
      <c r="AD72" s="570"/>
      <c r="AE72" s="570"/>
      <c r="AF72" s="66"/>
      <c r="AG72" s="304">
        <v>21</v>
      </c>
      <c r="AH72" s="311" t="str">
        <v/>
      </c>
      <c r="AI72" s="571"/>
      <c r="AJ72" s="572"/>
      <c r="AK72" s="572"/>
      <c r="AL72" s="572"/>
      <c r="AM72" s="572"/>
      <c r="AN72" s="572"/>
      <c r="AO72" s="572"/>
      <c r="AP72" s="572"/>
      <c r="AQ72" s="572"/>
      <c r="AR72" s="572"/>
      <c r="AS72" s="572"/>
      <c r="AT72" s="572"/>
      <c r="AU72" s="572"/>
      <c r="AV72" s="572"/>
      <c r="AW72" s="572"/>
      <c r="AX72" s="572"/>
      <c r="AY72" s="572"/>
      <c r="AZ72" s="572"/>
      <c r="BA72" s="572"/>
      <c r="BB72" s="572"/>
      <c r="BC72" s="570"/>
      <c r="BD72" s="570"/>
      <c r="BE72" s="570"/>
      <c r="BF72" s="570"/>
      <c r="BG72" s="570"/>
      <c r="BH72" s="570"/>
      <c r="BI72" s="570"/>
      <c r="BJ72" s="570"/>
      <c r="BK72" s="570"/>
      <c r="BL72" s="66"/>
    </row>
    <row r="73" spans="1:64">
      <c r="A73" s="304">
        <v>22</v>
      </c>
      <c r="B73" s="311" t="str">
        <v/>
      </c>
      <c r="C73" s="571"/>
      <c r="D73" s="572"/>
      <c r="E73" s="572"/>
      <c r="F73" s="572"/>
      <c r="G73" s="572"/>
      <c r="H73" s="572"/>
      <c r="I73" s="572"/>
      <c r="J73" s="572"/>
      <c r="K73" s="572"/>
      <c r="L73" s="572"/>
      <c r="M73" s="572"/>
      <c r="N73" s="572"/>
      <c r="O73" s="572"/>
      <c r="P73" s="572"/>
      <c r="Q73" s="572"/>
      <c r="R73" s="572"/>
      <c r="S73" s="572"/>
      <c r="T73" s="572"/>
      <c r="U73" s="572"/>
      <c r="V73" s="572"/>
      <c r="W73" s="572"/>
      <c r="X73" s="570"/>
      <c r="Y73" s="570"/>
      <c r="Z73" s="570"/>
      <c r="AA73" s="570"/>
      <c r="AB73" s="570"/>
      <c r="AC73" s="570"/>
      <c r="AD73" s="570"/>
      <c r="AE73" s="570"/>
      <c r="AF73" s="66"/>
      <c r="AG73" s="304">
        <v>22</v>
      </c>
      <c r="AH73" s="311" t="str">
        <v/>
      </c>
      <c r="AI73" s="571"/>
      <c r="AJ73" s="572"/>
      <c r="AK73" s="572"/>
      <c r="AL73" s="572"/>
      <c r="AM73" s="572"/>
      <c r="AN73" s="572"/>
      <c r="AO73" s="572"/>
      <c r="AP73" s="572"/>
      <c r="AQ73" s="572"/>
      <c r="AR73" s="572"/>
      <c r="AS73" s="572"/>
      <c r="AT73" s="572"/>
      <c r="AU73" s="572"/>
      <c r="AV73" s="572"/>
      <c r="AW73" s="572"/>
      <c r="AX73" s="572"/>
      <c r="AY73" s="572"/>
      <c r="AZ73" s="572"/>
      <c r="BA73" s="572"/>
      <c r="BB73" s="572"/>
      <c r="BC73" s="572"/>
      <c r="BD73" s="570"/>
      <c r="BE73" s="570"/>
      <c r="BF73" s="570"/>
      <c r="BG73" s="570"/>
      <c r="BH73" s="570"/>
      <c r="BI73" s="570"/>
      <c r="BJ73" s="570"/>
      <c r="BK73" s="570"/>
      <c r="BL73" s="66"/>
    </row>
    <row r="74" spans="1:64">
      <c r="A74" s="304">
        <v>23</v>
      </c>
      <c r="B74" s="311" t="str">
        <v/>
      </c>
      <c r="C74" s="571"/>
      <c r="D74" s="572"/>
      <c r="E74" s="572"/>
      <c r="F74" s="572"/>
      <c r="G74" s="572"/>
      <c r="H74" s="572"/>
      <c r="I74" s="572"/>
      <c r="J74" s="572"/>
      <c r="K74" s="572"/>
      <c r="L74" s="572"/>
      <c r="M74" s="572"/>
      <c r="N74" s="572"/>
      <c r="O74" s="572"/>
      <c r="P74" s="572"/>
      <c r="Q74" s="572"/>
      <c r="R74" s="572"/>
      <c r="S74" s="572"/>
      <c r="T74" s="572"/>
      <c r="U74" s="572"/>
      <c r="V74" s="572"/>
      <c r="W74" s="572"/>
      <c r="X74" s="572"/>
      <c r="Y74" s="570"/>
      <c r="Z74" s="570"/>
      <c r="AA74" s="570"/>
      <c r="AB74" s="570"/>
      <c r="AC74" s="570"/>
      <c r="AD74" s="570"/>
      <c r="AE74" s="570"/>
      <c r="AF74" s="66"/>
      <c r="AG74" s="304">
        <v>23</v>
      </c>
      <c r="AH74" s="311" t="str">
        <v/>
      </c>
      <c r="AI74" s="571"/>
      <c r="AJ74" s="572"/>
      <c r="AK74" s="572"/>
      <c r="AL74" s="572"/>
      <c r="AM74" s="572"/>
      <c r="AN74" s="572"/>
      <c r="AO74" s="572"/>
      <c r="AP74" s="572"/>
      <c r="AQ74" s="572"/>
      <c r="AR74" s="572"/>
      <c r="AS74" s="572"/>
      <c r="AT74" s="572"/>
      <c r="AU74" s="572"/>
      <c r="AV74" s="572"/>
      <c r="AW74" s="572"/>
      <c r="AX74" s="572"/>
      <c r="AY74" s="572"/>
      <c r="AZ74" s="572"/>
      <c r="BA74" s="572"/>
      <c r="BB74" s="572"/>
      <c r="BC74" s="572"/>
      <c r="BD74" s="572"/>
      <c r="BE74" s="570"/>
      <c r="BF74" s="570"/>
      <c r="BG74" s="570"/>
      <c r="BH74" s="570"/>
      <c r="BI74" s="570"/>
      <c r="BJ74" s="570"/>
      <c r="BK74" s="570"/>
      <c r="BL74" s="66"/>
    </row>
    <row r="75" spans="1:64">
      <c r="A75" s="304">
        <v>24</v>
      </c>
      <c r="B75" s="311" t="str">
        <v/>
      </c>
      <c r="C75" s="571"/>
      <c r="D75" s="572"/>
      <c r="E75" s="572"/>
      <c r="F75" s="572"/>
      <c r="G75" s="572"/>
      <c r="H75" s="572"/>
      <c r="I75" s="572"/>
      <c r="J75" s="572"/>
      <c r="K75" s="572"/>
      <c r="L75" s="572"/>
      <c r="M75" s="572"/>
      <c r="N75" s="572"/>
      <c r="O75" s="572"/>
      <c r="P75" s="572"/>
      <c r="Q75" s="572"/>
      <c r="R75" s="572"/>
      <c r="S75" s="572"/>
      <c r="T75" s="572"/>
      <c r="U75" s="572"/>
      <c r="V75" s="572"/>
      <c r="W75" s="572"/>
      <c r="X75" s="572"/>
      <c r="Y75" s="572"/>
      <c r="Z75" s="570"/>
      <c r="AA75" s="570"/>
      <c r="AB75" s="570"/>
      <c r="AC75" s="570"/>
      <c r="AD75" s="570"/>
      <c r="AE75" s="570"/>
      <c r="AF75" s="66"/>
      <c r="AG75" s="304">
        <v>24</v>
      </c>
      <c r="AH75" s="311" t="str">
        <v/>
      </c>
      <c r="AI75" s="571"/>
      <c r="AJ75" s="572"/>
      <c r="AK75" s="572"/>
      <c r="AL75" s="572"/>
      <c r="AM75" s="572"/>
      <c r="AN75" s="572"/>
      <c r="AO75" s="572"/>
      <c r="AP75" s="572"/>
      <c r="AQ75" s="572"/>
      <c r="AR75" s="572"/>
      <c r="AS75" s="572"/>
      <c r="AT75" s="572"/>
      <c r="AU75" s="572"/>
      <c r="AV75" s="572"/>
      <c r="AW75" s="572"/>
      <c r="AX75" s="572"/>
      <c r="AY75" s="572"/>
      <c r="AZ75" s="572"/>
      <c r="BA75" s="572"/>
      <c r="BB75" s="572"/>
      <c r="BC75" s="572"/>
      <c r="BD75" s="572"/>
      <c r="BE75" s="572"/>
      <c r="BF75" s="570"/>
      <c r="BG75" s="570"/>
      <c r="BH75" s="570"/>
      <c r="BI75" s="570"/>
      <c r="BJ75" s="570"/>
      <c r="BK75" s="570"/>
      <c r="BL75" s="66"/>
    </row>
    <row r="76" spans="1:64">
      <c r="A76" s="304">
        <v>25</v>
      </c>
      <c r="B76" s="311" t="str">
        <v/>
      </c>
      <c r="C76" s="571"/>
      <c r="D76" s="572"/>
      <c r="E76" s="572"/>
      <c r="F76" s="572"/>
      <c r="G76" s="572"/>
      <c r="H76" s="572"/>
      <c r="I76" s="572"/>
      <c r="J76" s="572"/>
      <c r="K76" s="572"/>
      <c r="L76" s="572"/>
      <c r="M76" s="572"/>
      <c r="N76" s="572"/>
      <c r="O76" s="572"/>
      <c r="P76" s="572"/>
      <c r="Q76" s="572"/>
      <c r="R76" s="572"/>
      <c r="S76" s="572"/>
      <c r="T76" s="572"/>
      <c r="U76" s="572"/>
      <c r="V76" s="572"/>
      <c r="W76" s="572"/>
      <c r="X76" s="572"/>
      <c r="Y76" s="572"/>
      <c r="Z76" s="572"/>
      <c r="AA76" s="570"/>
      <c r="AB76" s="570"/>
      <c r="AC76" s="570"/>
      <c r="AD76" s="570"/>
      <c r="AE76" s="570"/>
      <c r="AF76" s="66"/>
      <c r="AG76" s="304">
        <v>25</v>
      </c>
      <c r="AH76" s="311" t="str">
        <v/>
      </c>
      <c r="AI76" s="571"/>
      <c r="AJ76" s="572"/>
      <c r="AK76" s="572"/>
      <c r="AL76" s="572"/>
      <c r="AM76" s="572"/>
      <c r="AN76" s="572"/>
      <c r="AO76" s="572"/>
      <c r="AP76" s="572"/>
      <c r="AQ76" s="572"/>
      <c r="AR76" s="572"/>
      <c r="AS76" s="572"/>
      <c r="AT76" s="572"/>
      <c r="AU76" s="572"/>
      <c r="AV76" s="572"/>
      <c r="AW76" s="572"/>
      <c r="AX76" s="572"/>
      <c r="AY76" s="572"/>
      <c r="AZ76" s="572"/>
      <c r="BA76" s="572"/>
      <c r="BB76" s="572"/>
      <c r="BC76" s="572"/>
      <c r="BD76" s="572"/>
      <c r="BE76" s="572"/>
      <c r="BF76" s="572"/>
      <c r="BG76" s="570"/>
      <c r="BH76" s="570"/>
      <c r="BI76" s="570"/>
      <c r="BJ76" s="570"/>
      <c r="BK76" s="570"/>
      <c r="BL76" s="66"/>
    </row>
    <row r="77" spans="1:64">
      <c r="A77" s="304">
        <v>26</v>
      </c>
      <c r="B77" s="311" t="str">
        <v/>
      </c>
      <c r="C77" s="571"/>
      <c r="D77" s="572"/>
      <c r="E77" s="572"/>
      <c r="F77" s="572"/>
      <c r="G77" s="572"/>
      <c r="H77" s="572"/>
      <c r="I77" s="572"/>
      <c r="J77" s="572"/>
      <c r="K77" s="572"/>
      <c r="L77" s="572"/>
      <c r="M77" s="572"/>
      <c r="N77" s="572"/>
      <c r="O77" s="572"/>
      <c r="P77" s="572"/>
      <c r="Q77" s="572"/>
      <c r="R77" s="572"/>
      <c r="S77" s="572"/>
      <c r="T77" s="572"/>
      <c r="U77" s="572"/>
      <c r="V77" s="572"/>
      <c r="W77" s="572"/>
      <c r="X77" s="572"/>
      <c r="Y77" s="572"/>
      <c r="Z77" s="572"/>
      <c r="AA77" s="572"/>
      <c r="AB77" s="570"/>
      <c r="AC77" s="570"/>
      <c r="AD77" s="570"/>
      <c r="AE77" s="570"/>
      <c r="AF77" s="66"/>
      <c r="AG77" s="304">
        <v>26</v>
      </c>
      <c r="AH77" s="311" t="str">
        <v/>
      </c>
      <c r="AI77" s="571"/>
      <c r="AJ77" s="572"/>
      <c r="AK77" s="572"/>
      <c r="AL77" s="572"/>
      <c r="AM77" s="572"/>
      <c r="AN77" s="572"/>
      <c r="AO77" s="572"/>
      <c r="AP77" s="572"/>
      <c r="AQ77" s="572"/>
      <c r="AR77" s="572"/>
      <c r="AS77" s="572"/>
      <c r="AT77" s="572"/>
      <c r="AU77" s="572"/>
      <c r="AV77" s="572"/>
      <c r="AW77" s="572"/>
      <c r="AX77" s="572"/>
      <c r="AY77" s="572"/>
      <c r="AZ77" s="572"/>
      <c r="BA77" s="572"/>
      <c r="BB77" s="572"/>
      <c r="BC77" s="572"/>
      <c r="BD77" s="572"/>
      <c r="BE77" s="572"/>
      <c r="BF77" s="572"/>
      <c r="BG77" s="572"/>
      <c r="BH77" s="570"/>
      <c r="BI77" s="570"/>
      <c r="BJ77" s="570"/>
      <c r="BK77" s="570"/>
      <c r="BL77" s="66"/>
    </row>
    <row r="78" spans="1:64">
      <c r="A78" s="304">
        <v>27</v>
      </c>
      <c r="B78" s="311" t="str">
        <v/>
      </c>
      <c r="C78" s="571"/>
      <c r="D78" s="572"/>
      <c r="E78" s="572"/>
      <c r="F78" s="572"/>
      <c r="G78" s="572"/>
      <c r="H78" s="572"/>
      <c r="I78" s="572"/>
      <c r="J78" s="572"/>
      <c r="K78" s="572"/>
      <c r="L78" s="572"/>
      <c r="M78" s="572"/>
      <c r="N78" s="572"/>
      <c r="O78" s="572"/>
      <c r="P78" s="572"/>
      <c r="Q78" s="572"/>
      <c r="R78" s="572"/>
      <c r="S78" s="572"/>
      <c r="T78" s="572"/>
      <c r="U78" s="572"/>
      <c r="V78" s="572"/>
      <c r="W78" s="572"/>
      <c r="X78" s="572"/>
      <c r="Y78" s="572"/>
      <c r="Z78" s="572"/>
      <c r="AA78" s="572"/>
      <c r="AB78" s="572"/>
      <c r="AC78" s="570"/>
      <c r="AD78" s="570"/>
      <c r="AE78" s="570"/>
      <c r="AF78" s="66"/>
      <c r="AG78" s="304">
        <v>27</v>
      </c>
      <c r="AH78" s="311" t="str">
        <v/>
      </c>
      <c r="AI78" s="571"/>
      <c r="AJ78" s="572"/>
      <c r="AK78" s="572"/>
      <c r="AL78" s="572"/>
      <c r="AM78" s="572"/>
      <c r="AN78" s="572"/>
      <c r="AO78" s="572"/>
      <c r="AP78" s="572"/>
      <c r="AQ78" s="572"/>
      <c r="AR78" s="572"/>
      <c r="AS78" s="572"/>
      <c r="AT78" s="572"/>
      <c r="AU78" s="572"/>
      <c r="AV78" s="572"/>
      <c r="AW78" s="572"/>
      <c r="AX78" s="572"/>
      <c r="AY78" s="572"/>
      <c r="AZ78" s="572"/>
      <c r="BA78" s="572"/>
      <c r="BB78" s="572"/>
      <c r="BC78" s="572"/>
      <c r="BD78" s="572"/>
      <c r="BE78" s="572"/>
      <c r="BF78" s="572"/>
      <c r="BG78" s="572"/>
      <c r="BH78" s="572"/>
      <c r="BI78" s="570"/>
      <c r="BJ78" s="570"/>
      <c r="BK78" s="570"/>
      <c r="BL78" s="66"/>
    </row>
    <row r="79" spans="1:64">
      <c r="A79" s="304">
        <v>28</v>
      </c>
      <c r="B79" s="311" t="str">
        <v/>
      </c>
      <c r="C79" s="571"/>
      <c r="D79" s="572"/>
      <c r="E79" s="572"/>
      <c r="F79" s="572"/>
      <c r="G79" s="572"/>
      <c r="H79" s="572"/>
      <c r="I79" s="572"/>
      <c r="J79" s="572"/>
      <c r="K79" s="572"/>
      <c r="L79" s="572"/>
      <c r="M79" s="572"/>
      <c r="N79" s="572"/>
      <c r="O79" s="572"/>
      <c r="P79" s="572"/>
      <c r="Q79" s="572"/>
      <c r="R79" s="572"/>
      <c r="S79" s="572"/>
      <c r="T79" s="572"/>
      <c r="U79" s="572"/>
      <c r="V79" s="572"/>
      <c r="W79" s="572"/>
      <c r="X79" s="572"/>
      <c r="Y79" s="572"/>
      <c r="Z79" s="572"/>
      <c r="AA79" s="572"/>
      <c r="AB79" s="572"/>
      <c r="AC79" s="572"/>
      <c r="AD79" s="570"/>
      <c r="AE79" s="570"/>
      <c r="AF79" s="66"/>
      <c r="AG79" s="304">
        <v>28</v>
      </c>
      <c r="AH79" s="311" t="str">
        <v/>
      </c>
      <c r="AI79" s="571"/>
      <c r="AJ79" s="572"/>
      <c r="AK79" s="572"/>
      <c r="AL79" s="572"/>
      <c r="AM79" s="572"/>
      <c r="AN79" s="572"/>
      <c r="AO79" s="572"/>
      <c r="AP79" s="572"/>
      <c r="AQ79" s="572"/>
      <c r="AR79" s="572"/>
      <c r="AS79" s="572"/>
      <c r="AT79" s="572"/>
      <c r="AU79" s="572"/>
      <c r="AV79" s="572"/>
      <c r="AW79" s="572"/>
      <c r="AX79" s="572"/>
      <c r="AY79" s="572"/>
      <c r="AZ79" s="572"/>
      <c r="BA79" s="572"/>
      <c r="BB79" s="572"/>
      <c r="BC79" s="572"/>
      <c r="BD79" s="572"/>
      <c r="BE79" s="572"/>
      <c r="BF79" s="572"/>
      <c r="BG79" s="572"/>
      <c r="BH79" s="572"/>
      <c r="BI79" s="572"/>
      <c r="BJ79" s="570"/>
      <c r="BK79" s="570"/>
      <c r="BL79" s="66"/>
    </row>
    <row r="80" spans="1:64">
      <c r="A80" s="304">
        <v>29</v>
      </c>
      <c r="B80" s="311" t="str">
        <v/>
      </c>
      <c r="C80" s="571"/>
      <c r="D80" s="572"/>
      <c r="E80" s="572"/>
      <c r="F80" s="572"/>
      <c r="G80" s="572"/>
      <c r="H80" s="572"/>
      <c r="I80" s="572"/>
      <c r="J80" s="572"/>
      <c r="K80" s="572"/>
      <c r="L80" s="572"/>
      <c r="M80" s="572"/>
      <c r="N80" s="572"/>
      <c r="O80" s="572"/>
      <c r="P80" s="572"/>
      <c r="Q80" s="572"/>
      <c r="R80" s="572"/>
      <c r="S80" s="572"/>
      <c r="T80" s="572"/>
      <c r="U80" s="572"/>
      <c r="V80" s="572"/>
      <c r="W80" s="572"/>
      <c r="X80" s="572"/>
      <c r="Y80" s="572"/>
      <c r="Z80" s="572"/>
      <c r="AA80" s="572"/>
      <c r="AB80" s="572"/>
      <c r="AC80" s="572"/>
      <c r="AD80" s="572"/>
      <c r="AE80" s="570"/>
      <c r="AF80" s="66"/>
      <c r="AG80" s="304">
        <v>29</v>
      </c>
      <c r="AH80" s="311" t="str">
        <v/>
      </c>
      <c r="AI80" s="571"/>
      <c r="AJ80" s="572"/>
      <c r="AK80" s="572"/>
      <c r="AL80" s="572"/>
      <c r="AM80" s="572"/>
      <c r="AN80" s="572"/>
      <c r="AO80" s="572"/>
      <c r="AP80" s="572"/>
      <c r="AQ80" s="572"/>
      <c r="AR80" s="572"/>
      <c r="AS80" s="572"/>
      <c r="AT80" s="572"/>
      <c r="AU80" s="572"/>
      <c r="AV80" s="572"/>
      <c r="AW80" s="572"/>
      <c r="AX80" s="572"/>
      <c r="AY80" s="572"/>
      <c r="AZ80" s="572"/>
      <c r="BA80" s="572"/>
      <c r="BB80" s="572"/>
      <c r="BC80" s="572"/>
      <c r="BD80" s="572"/>
      <c r="BE80" s="572"/>
      <c r="BF80" s="572"/>
      <c r="BG80" s="572"/>
      <c r="BH80" s="572"/>
      <c r="BI80" s="572"/>
      <c r="BJ80" s="572"/>
      <c r="BK80" s="570"/>
      <c r="BL80" s="66"/>
    </row>
    <row r="81" spans="1:64" ht="14.65" thickBot="1">
      <c r="A81" s="304">
        <v>30</v>
      </c>
      <c r="B81" s="325" t="str">
        <v/>
      </c>
      <c r="C81" s="574"/>
      <c r="D81" s="575"/>
      <c r="E81" s="575"/>
      <c r="F81" s="575"/>
      <c r="G81" s="575"/>
      <c r="H81" s="575"/>
      <c r="I81" s="575"/>
      <c r="J81" s="575"/>
      <c r="K81" s="575"/>
      <c r="L81" s="575"/>
      <c r="M81" s="575"/>
      <c r="N81" s="575"/>
      <c r="O81" s="575"/>
      <c r="P81" s="575"/>
      <c r="Q81" s="575"/>
      <c r="R81" s="575"/>
      <c r="S81" s="575"/>
      <c r="T81" s="575"/>
      <c r="U81" s="575"/>
      <c r="V81" s="575"/>
      <c r="W81" s="575"/>
      <c r="X81" s="575"/>
      <c r="Y81" s="575"/>
      <c r="Z81" s="575"/>
      <c r="AA81" s="575"/>
      <c r="AB81" s="575"/>
      <c r="AC81" s="575"/>
      <c r="AD81" s="575"/>
      <c r="AE81" s="575"/>
      <c r="AF81" s="45"/>
      <c r="AG81" s="304">
        <v>30</v>
      </c>
      <c r="AH81" s="325" t="str">
        <v/>
      </c>
      <c r="AI81" s="574"/>
      <c r="AJ81" s="575"/>
      <c r="AK81" s="575"/>
      <c r="AL81" s="575"/>
      <c r="AM81" s="575"/>
      <c r="AN81" s="575"/>
      <c r="AO81" s="575"/>
      <c r="AP81" s="575"/>
      <c r="AQ81" s="575"/>
      <c r="AR81" s="575"/>
      <c r="AS81" s="575"/>
      <c r="AT81" s="575"/>
      <c r="AU81" s="575"/>
      <c r="AV81" s="575"/>
      <c r="AW81" s="575"/>
      <c r="AX81" s="575"/>
      <c r="AY81" s="575"/>
      <c r="AZ81" s="575"/>
      <c r="BA81" s="575"/>
      <c r="BB81" s="575"/>
      <c r="BC81" s="575"/>
      <c r="BD81" s="575"/>
      <c r="BE81" s="575"/>
      <c r="BF81" s="575"/>
      <c r="BG81" s="575"/>
      <c r="BH81" s="575"/>
      <c r="BI81" s="575"/>
      <c r="BJ81" s="575"/>
      <c r="BK81" s="575"/>
      <c r="BL81" s="45"/>
    </row>
    <row r="82" spans="1:64">
      <c r="C82" s="561" t="s">
        <v>519</v>
      </c>
      <c r="D82" s="562">
        <f>SUM(BIP)</f>
        <v>3.2198694491702216</v>
      </c>
      <c r="AI82" s="561" t="s">
        <v>520</v>
      </c>
      <c r="AJ82" s="562">
        <f>SUM(BIP_T)</f>
        <v>8.8888888888886519E-4</v>
      </c>
    </row>
    <row r="85" spans="1:64" s="2" customFormat="1">
      <c r="A85" s="2" t="s">
        <v>521</v>
      </c>
    </row>
    <row r="87" spans="1:64" ht="16.149999999999999" thickBot="1">
      <c r="E87" s="576" t="s">
        <v>522</v>
      </c>
    </row>
    <row r="88" spans="1:64">
      <c r="B88" s="304">
        <v>1</v>
      </c>
      <c r="C88" s="577" t="s">
        <v>523</v>
      </c>
      <c r="D88" s="578"/>
      <c r="E88" s="579" t="s">
        <v>524</v>
      </c>
      <c r="F88" s="304" t="s">
        <v>525</v>
      </c>
    </row>
    <row r="89" spans="1:64">
      <c r="B89" s="304">
        <v>2</v>
      </c>
      <c r="C89" s="580" t="s">
        <v>526</v>
      </c>
      <c r="D89" s="581"/>
      <c r="E89" s="582" t="s">
        <v>527</v>
      </c>
    </row>
    <row r="90" spans="1:64">
      <c r="B90" s="304">
        <v>3</v>
      </c>
      <c r="C90" s="131" t="s">
        <v>528</v>
      </c>
      <c r="D90" s="63"/>
      <c r="E90" s="583" t="s">
        <v>529</v>
      </c>
      <c r="F90" s="305" t="s">
        <v>530</v>
      </c>
    </row>
    <row r="91" spans="1:64">
      <c r="B91" s="304">
        <v>4</v>
      </c>
      <c r="C91" s="146" t="s">
        <v>531</v>
      </c>
      <c r="D91" s="66"/>
      <c r="E91" s="584">
        <v>1E-8</v>
      </c>
      <c r="F91" s="304" t="s">
        <v>532</v>
      </c>
    </row>
    <row r="92" spans="1:64">
      <c r="B92" s="304">
        <v>5</v>
      </c>
      <c r="C92" s="146" t="s">
        <v>533</v>
      </c>
      <c r="D92" s="66"/>
      <c r="E92" s="312">
        <v>200</v>
      </c>
      <c r="F92" s="304" t="s">
        <v>534</v>
      </c>
    </row>
    <row r="93" spans="1:64">
      <c r="B93" s="304">
        <v>6</v>
      </c>
      <c r="C93" s="146" t="s">
        <v>535</v>
      </c>
      <c r="D93" s="66"/>
      <c r="E93" s="584">
        <v>0.1</v>
      </c>
      <c r="F93" s="304" t="s">
        <v>536</v>
      </c>
    </row>
    <row r="94" spans="1:64">
      <c r="B94" s="304">
        <v>7</v>
      </c>
      <c r="C94" s="585" t="s">
        <v>537</v>
      </c>
      <c r="D94" s="586"/>
      <c r="E94" s="587">
        <v>20</v>
      </c>
      <c r="F94" s="304" t="s">
        <v>538</v>
      </c>
    </row>
    <row r="95" spans="1:64">
      <c r="B95" s="304">
        <v>8</v>
      </c>
      <c r="C95" s="131" t="s">
        <v>539</v>
      </c>
      <c r="D95" s="63"/>
      <c r="E95" s="583" t="s">
        <v>540</v>
      </c>
      <c r="F95" s="305" t="s">
        <v>541</v>
      </c>
    </row>
    <row r="96" spans="1:64">
      <c r="B96" s="304">
        <v>9</v>
      </c>
      <c r="C96" s="146" t="s">
        <v>542</v>
      </c>
      <c r="D96" s="66"/>
      <c r="E96" s="584">
        <v>1E-8</v>
      </c>
      <c r="F96" s="304" t="s">
        <v>532</v>
      </c>
    </row>
    <row r="97" spans="1:6">
      <c r="B97" s="304">
        <v>10</v>
      </c>
      <c r="C97" s="146" t="s">
        <v>543</v>
      </c>
      <c r="D97" s="66"/>
      <c r="E97" s="312">
        <v>300</v>
      </c>
      <c r="F97" s="304" t="s">
        <v>534</v>
      </c>
    </row>
    <row r="98" spans="1:6">
      <c r="B98" s="304">
        <v>11</v>
      </c>
      <c r="C98" s="146" t="s">
        <v>544</v>
      </c>
      <c r="D98" s="66"/>
      <c r="E98" s="584">
        <v>0.01</v>
      </c>
      <c r="F98" s="304" t="s">
        <v>536</v>
      </c>
    </row>
    <row r="99" spans="1:6">
      <c r="B99" s="304">
        <v>12</v>
      </c>
      <c r="C99" s="585" t="s">
        <v>545</v>
      </c>
      <c r="D99" s="586"/>
      <c r="E99" s="587">
        <v>20</v>
      </c>
      <c r="F99" s="304" t="s">
        <v>538</v>
      </c>
    </row>
    <row r="100" spans="1:6">
      <c r="B100" s="304">
        <v>13</v>
      </c>
      <c r="C100" s="588" t="s">
        <v>546</v>
      </c>
      <c r="D100" s="113"/>
      <c r="E100" s="589" t="s">
        <v>547</v>
      </c>
      <c r="F100" s="305" t="s">
        <v>548</v>
      </c>
    </row>
    <row r="101" spans="1:6">
      <c r="B101" s="304">
        <v>14</v>
      </c>
      <c r="C101" s="146" t="s">
        <v>549</v>
      </c>
      <c r="D101" s="66"/>
      <c r="E101" s="584">
        <v>1E-8</v>
      </c>
      <c r="F101" s="304" t="s">
        <v>532</v>
      </c>
    </row>
    <row r="102" spans="1:6">
      <c r="B102" s="304">
        <v>15</v>
      </c>
      <c r="C102" s="146" t="s">
        <v>550</v>
      </c>
      <c r="D102" s="66"/>
      <c r="E102" s="312">
        <v>75</v>
      </c>
      <c r="F102" s="304" t="s">
        <v>534</v>
      </c>
    </row>
    <row r="103" spans="1:6">
      <c r="B103" s="304">
        <v>16</v>
      </c>
      <c r="C103" s="146" t="s">
        <v>551</v>
      </c>
      <c r="D103" s="66"/>
      <c r="E103" s="584">
        <v>0.01</v>
      </c>
      <c r="F103" s="304" t="s">
        <v>536</v>
      </c>
    </row>
    <row r="104" spans="1:6">
      <c r="B104" s="304">
        <v>17</v>
      </c>
      <c r="C104" s="585" t="s">
        <v>552</v>
      </c>
      <c r="D104" s="586"/>
      <c r="E104" s="587">
        <v>20</v>
      </c>
      <c r="F104" s="304" t="s">
        <v>538</v>
      </c>
    </row>
    <row r="110" spans="1:6" s="2" customFormat="1">
      <c r="A110" s="2" t="s">
        <v>553</v>
      </c>
    </row>
  </sheetData>
  <sheetProtection selectLockedCells="1"/>
  <dataValidations count="17">
    <dataValidation type="list" allowBlank="1" showInputMessage="1" showErrorMessage="1" sqref="J6:J7" xr:uid="{8A6421F3-9503-471A-B189-B70C20105F71}">
      <formula1>"kg,wtf,wt%,mol,molf,mol%"</formula1>
    </dataValidation>
    <dataValidation type="list" allowBlank="1" showInputMessage="1" showErrorMessage="1" sqref="K6:K7" xr:uid="{D4FBF0A0-8CFC-4E51-86B3-6E9E71478186}">
      <formula1>"wt%,wtf,mol%,molf"</formula1>
    </dataValidation>
    <dataValidation type="list" allowBlank="1" showInputMessage="1" showErrorMessage="1" sqref="E89" xr:uid="{ACBE1872-4A09-44C5-BB21-B6C74E9939C0}">
      <formula1>"analytic, numerical"</formula1>
    </dataValidation>
    <dataValidation type="list" allowBlank="1" showInputMessage="1" sqref="F6:F7" xr:uid="{ADD26F5B-8A7F-4489-86E6-9F63DFD1CE0C}">
      <formula1>"°F,°C,K"</formula1>
    </dataValidation>
    <dataValidation type="list" allowBlank="1" showInputMessage="1" showErrorMessage="1" sqref="I6:I7" xr:uid="{9A65342D-0D9F-46D8-B817-70CFC1E33CF4}">
      <formula1>"g/cc,g/mL,kg/m3,lb/in3,lb/ft3"</formula1>
    </dataValidation>
    <dataValidation type="list" allowBlank="1" showInputMessage="1" showErrorMessage="1" sqref="H6:H7" xr:uid="{EDF79B1A-A170-4119-82D7-A4BD80849219}">
      <formula1>"cc,mL,L,m3,gal,ft3,bbl"</formula1>
    </dataValidation>
    <dataValidation type="list" allowBlank="1" showInputMessage="1" showErrorMessage="1" sqref="G6:G7" xr:uid="{A437594F-A27B-4FB9-B0EA-FB4E6CCDF0A1}">
      <formula1>"atm,Pa,kPa,bar,MPa,psia,psig"</formula1>
    </dataValidation>
    <dataValidation type="list" allowBlank="1" showInputMessage="1" showErrorMessage="1" sqref="C6" xr:uid="{6809D5D9-8CD9-4533-928F-21F18C93BDC7}">
      <formula1>"ASV,Gonzalez,Pedersen"</formula1>
    </dataValidation>
    <dataValidation allowBlank="1" showInputMessage="1" sqref="F8" xr:uid="{8F896FFC-284D-4765-9463-17B0D2885F1C}"/>
    <dataValidation type="list" allowBlank="1" showInputMessage="1" showErrorMessage="1" sqref="C3" xr:uid="{2D706D73-F193-4B39-A54C-0F24DB4DD7F7}">
      <formula1>"RKS,PR-76,PR-78,PC-SAFT"</formula1>
    </dataValidation>
    <dataValidation type="list" allowBlank="1" showInputMessage="1" showErrorMessage="1" sqref="C7" xr:uid="{7BAFE35D-2A07-4C60-9CE1-BED8BDACEEF3}">
      <formula1>"PR-FT,RK-FT,SAFT-FT"</formula1>
    </dataValidation>
    <dataValidation type="list" allowBlank="1" showInputMessage="1" showErrorMessage="1" sqref="C5" xr:uid="{1EA64D20-6775-42AB-A204-2B451B996304}">
      <formula1>"default,michelsen,haugen,firoozabadi,ncomp,water,polymer,miguel"</formula1>
    </dataValidation>
    <dataValidation type="list" allowBlank="1" showInputMessage="1" showErrorMessage="1" sqref="C4" xr:uid="{0D8AE953-752C-4F0D-8E52-19B877F43192}">
      <formula1>"VL,LL,XL,VLL,VLW,VLLW"</formula1>
    </dataValidation>
    <dataValidation type="list" allowBlank="1" showInputMessage="1" showErrorMessage="1" sqref="E88" xr:uid="{D61D9C5C-EF45-4BF7-8F41-AB4B675E2DEB}">
      <formula1>"Release, Debug, Test"</formula1>
    </dataValidation>
    <dataValidation type="list" allowBlank="1" showInputMessage="1" showErrorMessage="1" sqref="E100" xr:uid="{BC9802BD-4C01-4E15-AF25-EDB200346DDA}">
      <formula1>"NR-lnK-beta"</formula1>
    </dataValidation>
    <dataValidation type="list" allowBlank="1" showInputMessage="1" showErrorMessage="1" sqref="E95" xr:uid="{1C4E2329-9675-46CC-9FAC-6F0A6C984A14}">
      <formula1>"NR-lnK, NR-n, none"</formula1>
    </dataValidation>
    <dataValidation type="list" allowBlank="1" showInputMessage="1" showErrorMessage="1" sqref="E90" xr:uid="{224DE726-855B-4EA6-A4E0-DC13147F692A}">
      <formula1>"NR-alpha, NR-Y, none"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DA9D-81BC-4584-BF0E-693E434FCF2B}">
  <sheetPr codeName="wsC_Asp_Depo">
    <tabColor theme="1"/>
  </sheetPr>
  <dimension ref="A1:FB577"/>
  <sheetViews>
    <sheetView tabSelected="1" topLeftCell="A113" zoomScale="70" zoomScaleNormal="70" workbookViewId="0">
      <selection activeCell="A122" sqref="A122"/>
    </sheetView>
  </sheetViews>
  <sheetFormatPr defaultColWidth="9.1328125" defaultRowHeight="14.25"/>
  <cols>
    <col min="1" max="110" width="8.73046875" customWidth="1"/>
    <col min="111" max="112" width="9.265625" bestFit="1" customWidth="1"/>
    <col min="113" max="113" width="12.265625" bestFit="1" customWidth="1"/>
    <col min="114" max="116" width="9.265625" bestFit="1" customWidth="1"/>
    <col min="117" max="118" width="12.265625" bestFit="1" customWidth="1"/>
    <col min="119" max="119" width="12.86328125" bestFit="1" customWidth="1"/>
    <col min="120" max="120" width="9.265625" bestFit="1" customWidth="1"/>
    <col min="135" max="135" width="12" bestFit="1" customWidth="1"/>
    <col min="137" max="137" width="13.1328125" bestFit="1" customWidth="1"/>
  </cols>
  <sheetData>
    <row r="1" spans="1:158" s="1" customFormat="1" ht="18">
      <c r="A1" s="1" t="s">
        <v>0</v>
      </c>
    </row>
    <row r="3" spans="1:158">
      <c r="A3" s="2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</row>
    <row r="5" spans="1:158">
      <c r="AX5" s="106" t="s">
        <v>183</v>
      </c>
    </row>
    <row r="6" spans="1:158">
      <c r="AX6" s="118" t="s">
        <v>16</v>
      </c>
      <c r="AY6" s="119" t="s">
        <v>194</v>
      </c>
    </row>
    <row r="7" spans="1:158" ht="15.75">
      <c r="AE7">
        <v>8640000</v>
      </c>
      <c r="AP7" s="9" t="s">
        <v>84</v>
      </c>
      <c r="AX7" s="129" t="s">
        <v>32</v>
      </c>
      <c r="AY7" s="130" t="s">
        <v>202</v>
      </c>
    </row>
    <row r="8" spans="1:158">
      <c r="AE8">
        <v>10.25837861681611</v>
      </c>
      <c r="AN8" s="53" t="s">
        <v>87</v>
      </c>
      <c r="AO8" s="54"/>
      <c r="AP8" s="55"/>
      <c r="AX8" s="145">
        <v>60</v>
      </c>
      <c r="AY8" s="13">
        <v>1</v>
      </c>
    </row>
    <row r="9" spans="1:158">
      <c r="AE9">
        <v>5438.5857970131055</v>
      </c>
      <c r="AL9" s="56" t="s">
        <v>90</v>
      </c>
      <c r="AM9">
        <v>1</v>
      </c>
      <c r="AN9" s="48" t="s">
        <v>91</v>
      </c>
      <c r="AO9" s="49" t="s">
        <v>39</v>
      </c>
      <c r="AP9" s="50">
        <f>AE22*86400</f>
        <v>864000</v>
      </c>
      <c r="AQ9" s="30" t="s">
        <v>92</v>
      </c>
    </row>
    <row r="10" spans="1:158">
      <c r="AE10">
        <v>5.930911861823724E-2</v>
      </c>
      <c r="AL10">
        <v>1</v>
      </c>
      <c r="AM10">
        <v>2</v>
      </c>
      <c r="AN10" s="33" t="s">
        <v>93</v>
      </c>
      <c r="AO10" s="36" t="s">
        <v>41</v>
      </c>
      <c r="AP10" s="37">
        <f>BS17</f>
        <v>10.25837861681611</v>
      </c>
      <c r="AQ10" s="30" t="s">
        <v>77</v>
      </c>
      <c r="AX10" s="164" t="s">
        <v>223</v>
      </c>
    </row>
    <row r="11" spans="1:158">
      <c r="AL11">
        <v>2</v>
      </c>
      <c r="AM11">
        <v>3</v>
      </c>
      <c r="AN11" s="33" t="s">
        <v>43</v>
      </c>
      <c r="AO11" s="36" t="s">
        <v>44</v>
      </c>
      <c r="AP11" s="37">
        <f>AE24/3.281</f>
        <v>5438.5857970131055</v>
      </c>
      <c r="AQ11" s="30" t="s">
        <v>97</v>
      </c>
      <c r="AX11" s="170" t="s">
        <v>7</v>
      </c>
      <c r="AY11" s="171" t="s">
        <v>228</v>
      </c>
      <c r="BA11" s="61" t="s">
        <v>229</v>
      </c>
    </row>
    <row r="12" spans="1:158">
      <c r="AL12">
        <v>3</v>
      </c>
      <c r="AM12">
        <v>4</v>
      </c>
      <c r="AN12" s="38" t="s">
        <v>99</v>
      </c>
      <c r="AO12" s="43" t="s">
        <v>44</v>
      </c>
      <c r="AP12" s="51">
        <f>0.5*AE25/39.37</f>
        <v>5.930911861823724E-2</v>
      </c>
      <c r="AQ12" s="30" t="s">
        <v>100</v>
      </c>
      <c r="AX12" s="170" t="s">
        <v>9</v>
      </c>
      <c r="AY12" s="166" t="s">
        <v>554</v>
      </c>
      <c r="AZ12" t="s">
        <v>10</v>
      </c>
      <c r="BA12" s="16" t="s">
        <v>11</v>
      </c>
      <c r="BD12" s="16" t="s">
        <v>12</v>
      </c>
      <c r="BH12" s="16" t="s">
        <v>13</v>
      </c>
      <c r="BL12" s="16" t="s">
        <v>14</v>
      </c>
      <c r="BO12" s="16" t="s">
        <v>231</v>
      </c>
      <c r="BQ12" s="16" t="s">
        <v>232</v>
      </c>
    </row>
    <row r="13" spans="1:158">
      <c r="AL13" s="56" t="s">
        <v>103</v>
      </c>
      <c r="AM13">
        <v>5</v>
      </c>
      <c r="AN13" s="48" t="s">
        <v>104</v>
      </c>
      <c r="AO13" s="49" t="s">
        <v>105</v>
      </c>
      <c r="AP13" s="50" cm="1">
        <f t="array" ref="AP13">unitconverter("T",M36,$L$36,AO13)</f>
        <v>357.03888888888895</v>
      </c>
      <c r="AQ13" s="30" t="s">
        <v>106</v>
      </c>
      <c r="AX13" s="118" t="s">
        <v>3</v>
      </c>
      <c r="AY13" s="119" t="s">
        <v>4</v>
      </c>
      <c r="AZ13" s="118" t="s">
        <v>17</v>
      </c>
      <c r="BA13" s="118" t="s">
        <v>18</v>
      </c>
      <c r="BB13" s="175" t="s">
        <v>19</v>
      </c>
      <c r="BC13" s="119" t="s">
        <v>20</v>
      </c>
      <c r="BD13" s="118" t="s">
        <v>21</v>
      </c>
      <c r="BE13" s="175" t="s">
        <v>22</v>
      </c>
      <c r="BF13" s="175" t="s">
        <v>23</v>
      </c>
      <c r="BG13" s="119" t="s">
        <v>24</v>
      </c>
      <c r="BH13" s="118" t="s">
        <v>25</v>
      </c>
      <c r="BI13" s="175" t="s">
        <v>26</v>
      </c>
      <c r="BJ13" s="175" t="s">
        <v>27</v>
      </c>
      <c r="BK13" s="119" t="s">
        <v>28</v>
      </c>
      <c r="BL13" s="118" t="s">
        <v>29</v>
      </c>
      <c r="BM13" s="175" t="s">
        <v>30</v>
      </c>
      <c r="BN13" s="119" t="s">
        <v>31</v>
      </c>
      <c r="BO13" s="175" t="s">
        <v>231</v>
      </c>
      <c r="BP13" s="119" t="s">
        <v>235</v>
      </c>
      <c r="BQ13" s="118" t="s">
        <v>236</v>
      </c>
      <c r="BR13" s="119" t="s">
        <v>237</v>
      </c>
      <c r="BS13" s="176" t="s">
        <v>238</v>
      </c>
    </row>
    <row r="14" spans="1:158">
      <c r="AL14">
        <v>1</v>
      </c>
      <c r="AM14">
        <v>6</v>
      </c>
      <c r="AN14" s="33" t="s">
        <v>110</v>
      </c>
      <c r="AO14" s="36" t="s">
        <v>111</v>
      </c>
      <c r="AP14" s="37" cm="1">
        <f t="array" ref="AP14">unitconverter("P",M37,$L$37,AO14)</f>
        <v>704.6921779948558</v>
      </c>
      <c r="AQ14" s="30" t="s">
        <v>112</v>
      </c>
      <c r="AX14" s="129" t="s">
        <v>32</v>
      </c>
      <c r="AY14" s="130" t="s">
        <v>66</v>
      </c>
      <c r="AZ14" s="129" t="s">
        <v>243</v>
      </c>
      <c r="BA14" s="129" t="s">
        <v>243</v>
      </c>
      <c r="BB14" s="178"/>
      <c r="BC14" s="130"/>
      <c r="BD14" s="129" t="s">
        <v>51</v>
      </c>
      <c r="BE14" s="178"/>
      <c r="BF14" s="178"/>
      <c r="BG14" s="130"/>
      <c r="BH14" s="129" t="s">
        <v>5</v>
      </c>
      <c r="BI14" s="178"/>
      <c r="BJ14" s="178"/>
      <c r="BK14" s="130"/>
      <c r="BL14" s="129" t="s">
        <v>48</v>
      </c>
      <c r="BM14" s="178"/>
      <c r="BN14" s="130"/>
      <c r="BO14" s="178" t="s">
        <v>244</v>
      </c>
      <c r="BP14" s="130" t="s">
        <v>245</v>
      </c>
      <c r="BQ14" s="179" t="s">
        <v>41</v>
      </c>
      <c r="BR14" s="180"/>
      <c r="BS14" s="181" t="s">
        <v>41</v>
      </c>
    </row>
    <row r="15" spans="1:158">
      <c r="AL15">
        <v>2</v>
      </c>
      <c r="AM15">
        <v>7</v>
      </c>
      <c r="AN15" s="33" t="s">
        <v>115</v>
      </c>
      <c r="AO15" s="36" t="s">
        <v>105</v>
      </c>
      <c r="AP15" s="37" cm="1">
        <f t="array" ref="AP15">unitconverter("T",M38,$L$36,AO15)</f>
        <v>323.15000000000003</v>
      </c>
      <c r="AQ15" s="30" t="s">
        <v>116</v>
      </c>
      <c r="AW15" s="183" t="s">
        <v>248</v>
      </c>
      <c r="AX15" s="184">
        <v>183</v>
      </c>
      <c r="AY15" s="185">
        <v>10206</v>
      </c>
      <c r="AZ15" s="18">
        <v>100</v>
      </c>
      <c r="BA15" s="19">
        <v>0</v>
      </c>
      <c r="BB15" s="20">
        <v>100</v>
      </c>
      <c r="BC15" s="21">
        <v>0</v>
      </c>
      <c r="BD15" s="19">
        <v>0</v>
      </c>
      <c r="BE15" s="20">
        <v>0.77996460296848713</v>
      </c>
      <c r="BF15" s="20">
        <v>0</v>
      </c>
      <c r="BG15" s="21">
        <v>1.2231921287759462</v>
      </c>
      <c r="BH15" s="19">
        <v>0</v>
      </c>
      <c r="BI15" s="20">
        <v>15.752374486700313</v>
      </c>
      <c r="BJ15" s="20">
        <v>0</v>
      </c>
      <c r="BK15" s="21">
        <v>22.375154529945661</v>
      </c>
      <c r="BL15" s="19">
        <v>0</v>
      </c>
      <c r="BM15" s="20">
        <v>1.7295743514963051</v>
      </c>
      <c r="BN15" s="21">
        <v>0</v>
      </c>
      <c r="BO15" s="19">
        <v>0</v>
      </c>
      <c r="BP15" s="20">
        <v>0</v>
      </c>
      <c r="BQ15" s="186"/>
      <c r="BR15" s="187"/>
      <c r="BS15" s="188"/>
    </row>
    <row r="16" spans="1:158">
      <c r="AL16">
        <v>3</v>
      </c>
      <c r="AM16">
        <v>8</v>
      </c>
      <c r="AN16" s="38" t="s">
        <v>119</v>
      </c>
      <c r="AO16" s="43" t="s">
        <v>111</v>
      </c>
      <c r="AP16" s="51" cm="1">
        <f t="array" ref="AP16">unitconverter("P",M39,$L$37,AO16)</f>
        <v>260.46296644446141</v>
      </c>
      <c r="AQ16" s="30" t="s">
        <v>120</v>
      </c>
      <c r="AW16" s="190" t="s">
        <v>251</v>
      </c>
      <c r="AX16" s="191">
        <v>122</v>
      </c>
      <c r="AY16" s="192">
        <v>3763</v>
      </c>
      <c r="AZ16" s="24">
        <v>100</v>
      </c>
      <c r="BA16" s="25">
        <v>0</v>
      </c>
      <c r="BB16" s="26">
        <v>100</v>
      </c>
      <c r="BC16" s="27">
        <v>0</v>
      </c>
      <c r="BD16" s="25">
        <v>0</v>
      </c>
      <c r="BE16" s="26">
        <v>0.75966171698638729</v>
      </c>
      <c r="BF16" s="26">
        <v>0</v>
      </c>
      <c r="BG16" s="27">
        <v>1.215890665680716</v>
      </c>
      <c r="BH16" s="25">
        <v>0</v>
      </c>
      <c r="BI16" s="26">
        <v>15.658710424558084</v>
      </c>
      <c r="BJ16" s="26">
        <v>0</v>
      </c>
      <c r="BK16" s="27">
        <v>22.618528207043706</v>
      </c>
      <c r="BL16" s="25">
        <v>0</v>
      </c>
      <c r="BM16" s="26">
        <v>2.0952089416775732</v>
      </c>
      <c r="BN16" s="27">
        <v>0</v>
      </c>
      <c r="BO16" s="25">
        <v>0</v>
      </c>
      <c r="BP16" s="26">
        <v>0</v>
      </c>
      <c r="BQ16" s="193"/>
      <c r="BR16" s="194"/>
      <c r="BS16" s="195"/>
    </row>
    <row r="17" spans="1:71">
      <c r="AL17">
        <v>4</v>
      </c>
      <c r="AM17">
        <v>9</v>
      </c>
      <c r="AN17" s="62" t="s">
        <v>65</v>
      </c>
      <c r="AO17" s="63" t="s">
        <v>63</v>
      </c>
      <c r="AP17" s="71">
        <f>IFERROR(AE28*BE15*1000,10)</f>
        <v>26.83078234211596</v>
      </c>
      <c r="AQ17" s="32" t="s">
        <v>64</v>
      </c>
      <c r="AW17" s="190" t="s">
        <v>183</v>
      </c>
      <c r="AX17" s="191">
        <v>60</v>
      </c>
      <c r="AY17" s="192">
        <v>1.4784459470007505E-6</v>
      </c>
      <c r="AZ17" s="24">
        <v>100.0000001241328</v>
      </c>
      <c r="BA17" s="25">
        <v>11.867968643297505</v>
      </c>
      <c r="BB17" s="26">
        <v>88.132031480835295</v>
      </c>
      <c r="BC17" s="27">
        <v>0</v>
      </c>
      <c r="BD17" s="25">
        <v>9.4920842173759439E-4</v>
      </c>
      <c r="BE17" s="26">
        <v>0.8714425507845216</v>
      </c>
      <c r="BF17" s="26">
        <v>0</v>
      </c>
      <c r="BG17" s="27">
        <v>1.2108840312369378</v>
      </c>
      <c r="BH17" s="25">
        <v>3.1003741656374918E-2</v>
      </c>
      <c r="BI17" s="26">
        <v>17.335369149065993</v>
      </c>
      <c r="BJ17" s="26">
        <v>0</v>
      </c>
      <c r="BK17" s="27">
        <v>22.910171211772123</v>
      </c>
      <c r="BL17" s="25">
        <v>1.018939887404682E-2</v>
      </c>
      <c r="BM17" s="26">
        <v>11.866469885986426</v>
      </c>
      <c r="BN17" s="27">
        <v>0</v>
      </c>
      <c r="BO17" s="25">
        <v>584.51860458626129</v>
      </c>
      <c r="BP17" s="26">
        <v>0.13466124000418905</v>
      </c>
      <c r="BQ17" s="197">
        <v>1.2174611560432038</v>
      </c>
      <c r="BR17" s="198">
        <v>9.0409174607729064</v>
      </c>
      <c r="BS17" s="199">
        <v>10.25837861681611</v>
      </c>
    </row>
    <row r="18" spans="1:71">
      <c r="AL18">
        <v>5</v>
      </c>
      <c r="AM18">
        <v>10</v>
      </c>
      <c r="AN18" s="38" t="s">
        <v>15</v>
      </c>
      <c r="AO18" s="39" t="s">
        <v>59</v>
      </c>
      <c r="AP18" s="44">
        <v>0.6</v>
      </c>
      <c r="AQ18" s="32" t="s">
        <v>60</v>
      </c>
      <c r="BS18" s="200" t="s">
        <v>257</v>
      </c>
    </row>
    <row r="19" spans="1:71" s="8" customFormat="1">
      <c r="A19" s="7" t="s">
        <v>124</v>
      </c>
      <c r="AL19">
        <v>6</v>
      </c>
      <c r="AM19">
        <v>11</v>
      </c>
      <c r="AN19" s="62" t="s">
        <v>50</v>
      </c>
      <c r="AO19" s="72" t="s">
        <v>78</v>
      </c>
      <c r="AP19" s="64">
        <v>750</v>
      </c>
      <c r="AQ19" s="32" t="s">
        <v>125</v>
      </c>
    </row>
    <row r="20" spans="1:71">
      <c r="A20" s="6"/>
      <c r="AL20">
        <v>7</v>
      </c>
      <c r="AM20">
        <v>12</v>
      </c>
      <c r="AN20" s="41" t="s">
        <v>53</v>
      </c>
      <c r="AO20" s="42"/>
      <c r="AP20" s="73">
        <v>1050</v>
      </c>
    </row>
    <row r="21" spans="1:71" ht="15.75">
      <c r="A21" s="6"/>
      <c r="W21" s="74" t="s">
        <v>126</v>
      </c>
      <c r="AC21" s="9" t="s">
        <v>98</v>
      </c>
      <c r="AL21">
        <v>8</v>
      </c>
      <c r="AM21">
        <v>13</v>
      </c>
      <c r="AN21" s="38" t="s">
        <v>55</v>
      </c>
      <c r="AO21" s="43"/>
      <c r="AP21" s="44">
        <v>1200</v>
      </c>
    </row>
    <row r="22" spans="1:71" ht="15.75">
      <c r="A22" s="6"/>
      <c r="S22" s="9" t="s">
        <v>127</v>
      </c>
      <c r="U22" s="75" t="s">
        <v>128</v>
      </c>
      <c r="V22" s="75" t="s">
        <v>129</v>
      </c>
      <c r="W22" s="76" t="s">
        <v>130</v>
      </c>
      <c r="AB22">
        <v>1</v>
      </c>
      <c r="AC22" s="62" t="s">
        <v>101</v>
      </c>
      <c r="AD22" s="63" t="s">
        <v>70</v>
      </c>
      <c r="AE22" s="64">
        <v>10</v>
      </c>
      <c r="AF22" s="30" t="s">
        <v>102</v>
      </c>
      <c r="AL22">
        <v>9</v>
      </c>
      <c r="AM22">
        <v>14</v>
      </c>
      <c r="AN22" s="62" t="s">
        <v>131</v>
      </c>
      <c r="AO22" s="72" t="s">
        <v>5</v>
      </c>
      <c r="AP22" s="64">
        <v>15</v>
      </c>
      <c r="AQ22" s="32" t="s">
        <v>132</v>
      </c>
    </row>
    <row r="23" spans="1:71">
      <c r="A23" s="6"/>
      <c r="R23">
        <v>1</v>
      </c>
      <c r="S23" s="48" t="s">
        <v>68</v>
      </c>
      <c r="T23" s="77" t="s">
        <v>69</v>
      </c>
      <c r="U23" s="78">
        <v>2.1999999999999999E-2</v>
      </c>
      <c r="V23" s="79">
        <v>0.01</v>
      </c>
      <c r="W23" s="80">
        <f t="array" ref="W23:W25">IF(U23:U25=0,V23:V25,U23:U25)</f>
        <v>2.1999999999999999E-2</v>
      </c>
      <c r="X23" s="32" t="s">
        <v>133</v>
      </c>
      <c r="AB23">
        <v>2</v>
      </c>
      <c r="AC23" s="65" t="s">
        <v>107</v>
      </c>
      <c r="AD23" s="66" t="s">
        <v>108</v>
      </c>
      <c r="AE23" s="67">
        <v>5638</v>
      </c>
      <c r="AF23" s="30" t="s">
        <v>109</v>
      </c>
      <c r="AL23">
        <v>10</v>
      </c>
      <c r="AM23">
        <v>15</v>
      </c>
      <c r="AN23" s="41" t="s">
        <v>134</v>
      </c>
      <c r="AO23" s="42"/>
      <c r="AP23" s="73">
        <v>20</v>
      </c>
    </row>
    <row r="24" spans="1:71">
      <c r="A24" s="6"/>
      <c r="R24">
        <v>2</v>
      </c>
      <c r="S24" s="33" t="s">
        <v>71</v>
      </c>
      <c r="T24" s="83"/>
      <c r="U24" s="84">
        <v>2.1919999999999999E-3</v>
      </c>
      <c r="V24" s="85">
        <v>1E-3</v>
      </c>
      <c r="W24" s="81">
        <v>2.1919999999999999E-3</v>
      </c>
      <c r="X24" s="32" t="s">
        <v>135</v>
      </c>
      <c r="AB24">
        <v>3</v>
      </c>
      <c r="AC24" s="65" t="s">
        <v>113</v>
      </c>
      <c r="AD24" s="66" t="s">
        <v>73</v>
      </c>
      <c r="AE24" s="68">
        <v>17844</v>
      </c>
      <c r="AF24" s="30" t="s">
        <v>114</v>
      </c>
      <c r="AL24">
        <v>11</v>
      </c>
      <c r="AM24">
        <v>16</v>
      </c>
      <c r="AN24" s="38" t="s">
        <v>136</v>
      </c>
      <c r="AO24" s="43"/>
      <c r="AP24" s="44">
        <v>21</v>
      </c>
    </row>
    <row r="25" spans="1:71">
      <c r="A25" s="4" t="s">
        <v>137</v>
      </c>
      <c r="K25" t="s">
        <v>138</v>
      </c>
      <c r="R25">
        <v>3</v>
      </c>
      <c r="S25" s="38" t="s">
        <v>72</v>
      </c>
      <c r="T25" s="86"/>
      <c r="U25" s="87">
        <v>0.03</v>
      </c>
      <c r="V25" s="88">
        <v>1E-3</v>
      </c>
      <c r="W25" s="82">
        <v>0.03</v>
      </c>
      <c r="X25" s="32" t="s">
        <v>139</v>
      </c>
      <c r="AB25">
        <v>4</v>
      </c>
      <c r="AC25" s="38" t="s">
        <v>117</v>
      </c>
      <c r="AD25" s="39" t="s">
        <v>75</v>
      </c>
      <c r="AE25" s="44">
        <v>4.67</v>
      </c>
      <c r="AF25" s="30" t="s">
        <v>118</v>
      </c>
      <c r="AL25">
        <v>12</v>
      </c>
      <c r="AM25">
        <v>17</v>
      </c>
      <c r="AN25" s="62" t="s">
        <v>47</v>
      </c>
      <c r="AO25" s="72" t="s">
        <v>79</v>
      </c>
      <c r="AP25" s="64">
        <v>1E-3</v>
      </c>
      <c r="AQ25" s="32" t="s">
        <v>140</v>
      </c>
    </row>
    <row r="26" spans="1:71" ht="15.75">
      <c r="A26" s="5">
        <v>1</v>
      </c>
      <c r="B26" t="s">
        <v>141</v>
      </c>
      <c r="K26" s="9" t="s">
        <v>142</v>
      </c>
      <c r="R26">
        <v>4</v>
      </c>
      <c r="S26" s="89" t="s">
        <v>143</v>
      </c>
      <c r="T26" s="90" t="s">
        <v>144</v>
      </c>
      <c r="X26" s="32" t="s">
        <v>145</v>
      </c>
      <c r="AB26">
        <v>5</v>
      </c>
      <c r="AC26" s="69" t="s">
        <v>121</v>
      </c>
      <c r="AD26" s="70" t="s">
        <v>122</v>
      </c>
      <c r="AF26" s="30" t="s">
        <v>123</v>
      </c>
      <c r="AL26">
        <v>13</v>
      </c>
      <c r="AM26">
        <v>18</v>
      </c>
      <c r="AN26" s="41" t="s">
        <v>146</v>
      </c>
      <c r="AO26" s="42"/>
      <c r="AP26" s="73">
        <v>2E-3</v>
      </c>
    </row>
    <row r="27" spans="1:71">
      <c r="A27" s="5">
        <v>2</v>
      </c>
      <c r="B27" t="s">
        <v>147</v>
      </c>
      <c r="J27">
        <v>1</v>
      </c>
      <c r="K27" s="91" t="s">
        <v>148</v>
      </c>
      <c r="L27" s="63" t="s">
        <v>32</v>
      </c>
      <c r="M27" s="92">
        <v>183</v>
      </c>
      <c r="N27" s="32" t="s">
        <v>149</v>
      </c>
      <c r="AL27">
        <v>14</v>
      </c>
      <c r="AM27">
        <v>19</v>
      </c>
      <c r="AN27" s="38" t="s">
        <v>150</v>
      </c>
      <c r="AO27" s="43"/>
      <c r="AP27" s="44">
        <v>5.0000000000000001E-3</v>
      </c>
    </row>
    <row r="28" spans="1:71" ht="15.75">
      <c r="A28" s="5">
        <v>3</v>
      </c>
      <c r="B28" t="s">
        <v>151</v>
      </c>
      <c r="J28">
        <v>2</v>
      </c>
      <c r="K28" s="89" t="s">
        <v>152</v>
      </c>
      <c r="L28" s="39" t="s">
        <v>66</v>
      </c>
      <c r="M28" s="93">
        <v>10206</v>
      </c>
      <c r="N28" s="32"/>
      <c r="S28" s="9" t="s">
        <v>153</v>
      </c>
      <c r="U28" s="75" t="s">
        <v>128</v>
      </c>
      <c r="V28" s="75" t="s">
        <v>129</v>
      </c>
      <c r="W28" s="76" t="s">
        <v>130</v>
      </c>
      <c r="AC28" s="57" t="s">
        <v>94</v>
      </c>
      <c r="AD28" s="58" t="s">
        <v>95</v>
      </c>
      <c r="AE28" s="59">
        <v>3.44E-2</v>
      </c>
      <c r="AF28" s="60" t="s">
        <v>96</v>
      </c>
      <c r="AL28">
        <v>15</v>
      </c>
      <c r="AM28">
        <v>20</v>
      </c>
      <c r="AN28" s="62" t="s">
        <v>154</v>
      </c>
      <c r="AO28" s="72" t="s">
        <v>95</v>
      </c>
      <c r="AP28" s="94">
        <f>AE28</f>
        <v>3.44E-2</v>
      </c>
      <c r="AQ28" s="32" t="s">
        <v>155</v>
      </c>
    </row>
    <row r="29" spans="1:71">
      <c r="A29" s="5">
        <v>4</v>
      </c>
      <c r="B29" t="s">
        <v>156</v>
      </c>
      <c r="J29">
        <v>3</v>
      </c>
      <c r="K29" s="91" t="s">
        <v>157</v>
      </c>
      <c r="L29" s="63"/>
      <c r="M29" s="92">
        <v>122</v>
      </c>
      <c r="N29" s="32" t="s">
        <v>158</v>
      </c>
      <c r="R29">
        <v>1</v>
      </c>
      <c r="S29" s="48" t="s">
        <v>159</v>
      </c>
      <c r="T29" s="77" t="s">
        <v>74</v>
      </c>
      <c r="U29" s="78">
        <v>5</v>
      </c>
      <c r="V29" s="79">
        <v>5</v>
      </c>
      <c r="W29" s="80">
        <f t="array" ref="W29:W31">IF(U29:U31="",V29:V31,U29:U31)</f>
        <v>5</v>
      </c>
      <c r="X29" s="32" t="s">
        <v>160</v>
      </c>
      <c r="AL29">
        <v>16</v>
      </c>
      <c r="AM29">
        <v>21</v>
      </c>
      <c r="AN29" s="38" t="s">
        <v>57</v>
      </c>
      <c r="AO29" s="43"/>
      <c r="AP29" s="44">
        <v>0.8</v>
      </c>
    </row>
    <row r="30" spans="1:71">
      <c r="J30">
        <v>4</v>
      </c>
      <c r="K30" s="89" t="s">
        <v>161</v>
      </c>
      <c r="L30" s="39"/>
      <c r="M30" s="93">
        <v>3763</v>
      </c>
      <c r="N30" s="32"/>
      <c r="R30">
        <v>2</v>
      </c>
      <c r="S30" s="33" t="s">
        <v>162</v>
      </c>
      <c r="T30" s="83" t="s">
        <v>163</v>
      </c>
      <c r="U30" s="84">
        <v>0.6</v>
      </c>
      <c r="V30" s="85">
        <v>0</v>
      </c>
      <c r="W30" s="81">
        <v>0.6</v>
      </c>
      <c r="X30" s="32" t="s">
        <v>164</v>
      </c>
      <c r="AL30">
        <v>17</v>
      </c>
      <c r="AM30">
        <v>22</v>
      </c>
      <c r="AN30" s="62" t="s">
        <v>165</v>
      </c>
      <c r="AO30" s="63"/>
      <c r="AP30" s="95" t="s">
        <v>166</v>
      </c>
      <c r="AQ30" s="32" t="s">
        <v>167</v>
      </c>
    </row>
    <row r="31" spans="1:71">
      <c r="J31">
        <v>5</v>
      </c>
      <c r="K31" s="96" t="s">
        <v>168</v>
      </c>
      <c r="L31" s="97" t="s">
        <v>169</v>
      </c>
      <c r="N31" s="32" t="s">
        <v>170</v>
      </c>
      <c r="R31">
        <v>3</v>
      </c>
      <c r="S31" s="38" t="s">
        <v>76</v>
      </c>
      <c r="T31" s="86" t="s">
        <v>163</v>
      </c>
      <c r="U31" s="87">
        <v>0.16</v>
      </c>
      <c r="V31" s="88">
        <v>0.25</v>
      </c>
      <c r="W31" s="82">
        <v>0.16</v>
      </c>
      <c r="X31" s="32" t="s">
        <v>171</v>
      </c>
      <c r="AL31" s="56" t="s">
        <v>172</v>
      </c>
      <c r="AM31">
        <v>23</v>
      </c>
      <c r="AN31" s="38" t="s">
        <v>173</v>
      </c>
      <c r="AO31" s="39"/>
      <c r="AP31" s="98" t="s">
        <v>88</v>
      </c>
      <c r="AQ31" s="32" t="s">
        <v>174</v>
      </c>
    </row>
    <row r="32" spans="1:71">
      <c r="J32" s="99"/>
      <c r="AL32">
        <v>1</v>
      </c>
      <c r="AM32">
        <v>24</v>
      </c>
      <c r="AN32" s="62" t="s">
        <v>175</v>
      </c>
      <c r="AO32" s="63"/>
      <c r="AP32" s="95" t="str">
        <f>T26</f>
        <v>scaled</v>
      </c>
      <c r="AQ32" s="32" t="s">
        <v>176</v>
      </c>
    </row>
    <row r="33" spans="3:77" s="8" customFormat="1">
      <c r="J33" s="100"/>
      <c r="AL33">
        <v>2</v>
      </c>
      <c r="AM33">
        <v>25</v>
      </c>
      <c r="AN33" s="38" t="s">
        <v>67</v>
      </c>
      <c r="AO33" s="39"/>
      <c r="AP33" s="98">
        <v>1</v>
      </c>
      <c r="AQ33" s="47" t="s">
        <v>177</v>
      </c>
    </row>
    <row r="34" spans="3:77" ht="14.65" thickBot="1">
      <c r="AL34">
        <v>3</v>
      </c>
      <c r="AM34">
        <v>26</v>
      </c>
      <c r="AN34" s="62" t="s">
        <v>178</v>
      </c>
      <c r="AO34" s="72" t="s">
        <v>69</v>
      </c>
      <c r="AP34" s="94" t="s">
        <v>339</v>
      </c>
      <c r="AQ34" s="32" t="s">
        <v>179</v>
      </c>
    </row>
    <row r="35" spans="3:77" ht="15.75">
      <c r="E35" s="101" t="s">
        <v>180</v>
      </c>
      <c r="K35" s="102" t="s">
        <v>181</v>
      </c>
      <c r="L35" s="103"/>
      <c r="M35" s="104"/>
      <c r="S35" s="11">
        <v>1</v>
      </c>
      <c r="T35" s="11">
        <v>2</v>
      </c>
      <c r="U35" s="11">
        <v>3</v>
      </c>
      <c r="V35" s="11">
        <v>4</v>
      </c>
      <c r="W35" s="11">
        <v>5</v>
      </c>
      <c r="X35" s="11">
        <v>6</v>
      </c>
      <c r="Y35" s="11">
        <v>7</v>
      </c>
      <c r="Z35" s="11">
        <v>8</v>
      </c>
      <c r="AA35" s="11">
        <v>9</v>
      </c>
      <c r="AB35" s="11">
        <v>10</v>
      </c>
      <c r="AL35">
        <v>4</v>
      </c>
      <c r="AM35">
        <v>27</v>
      </c>
      <c r="AN35" s="62" t="s">
        <v>182</v>
      </c>
      <c r="AO35" s="72"/>
      <c r="AP35" s="105" t="s">
        <v>340</v>
      </c>
      <c r="AQ35" s="32" t="s">
        <v>10</v>
      </c>
      <c r="BE35" s="9" t="s">
        <v>184</v>
      </c>
      <c r="BH35" s="61" t="s">
        <v>185</v>
      </c>
      <c r="BU35" s="9" t="s">
        <v>184</v>
      </c>
    </row>
    <row r="36" spans="3:77" ht="15.75">
      <c r="C36" s="107" t="s">
        <v>186</v>
      </c>
      <c r="D36" s="108"/>
      <c r="E36" s="108"/>
      <c r="F36" s="108" t="s">
        <v>187</v>
      </c>
      <c r="G36" s="109" t="s">
        <v>188</v>
      </c>
      <c r="K36" s="91" t="s">
        <v>189</v>
      </c>
      <c r="L36" s="63" t="str">
        <f t="array" ref="L36:M39">IF(PT_trace="","",PT_trace)</f>
        <v>°F</v>
      </c>
      <c r="M36" s="110">
        <v>183</v>
      </c>
      <c r="R36">
        <v>1</v>
      </c>
      <c r="T36" s="10" t="s">
        <v>49</v>
      </c>
      <c r="U36" s="116" t="s">
        <v>192</v>
      </c>
      <c r="X36" s="10" t="s">
        <v>61</v>
      </c>
      <c r="Y36" s="116" t="s">
        <v>209</v>
      </c>
      <c r="AC36" s="9" t="s">
        <v>190</v>
      </c>
      <c r="AL36">
        <v>5</v>
      </c>
      <c r="AM36">
        <v>28</v>
      </c>
      <c r="AN36" s="38" t="s">
        <v>191</v>
      </c>
      <c r="AO36" s="43"/>
      <c r="AP36" s="117" t="s">
        <v>192</v>
      </c>
      <c r="AQ36" s="32" t="s">
        <v>193</v>
      </c>
      <c r="BG36" s="120" t="s">
        <v>195</v>
      </c>
      <c r="BH36" s="17" t="s">
        <v>196</v>
      </c>
      <c r="BW36" s="120" t="s">
        <v>195</v>
      </c>
      <c r="BX36" s="17" t="s">
        <v>196</v>
      </c>
    </row>
    <row r="37" spans="3:77">
      <c r="C37" s="121" t="s">
        <v>197</v>
      </c>
      <c r="D37" s="122"/>
      <c r="E37" s="11">
        <f>COUNT(M27:M30)</f>
        <v>4</v>
      </c>
      <c r="F37" s="11" t="str">
        <f>IF(E37=4,"N","Y")</f>
        <v>N</v>
      </c>
      <c r="G37" s="123" t="str">
        <f>IF(F37="Y","PT-trace missing required inputs. ","")</f>
        <v/>
      </c>
      <c r="K37" s="124" t="s">
        <v>198</v>
      </c>
      <c r="L37" s="111" t="str">
        <v>psig</v>
      </c>
      <c r="M37" s="112">
        <v>10206</v>
      </c>
      <c r="R37">
        <v>2</v>
      </c>
      <c r="S37" s="53" t="s">
        <v>199</v>
      </c>
      <c r="T37" s="54"/>
      <c r="U37" s="125" t="s">
        <v>40</v>
      </c>
      <c r="V37" s="126" t="s">
        <v>42</v>
      </c>
      <c r="W37" s="126" t="s">
        <v>200</v>
      </c>
      <c r="X37" s="127" t="s">
        <v>46</v>
      </c>
      <c r="Y37" s="125" t="s">
        <v>52</v>
      </c>
      <c r="Z37" s="128" t="s">
        <v>54</v>
      </c>
      <c r="AA37" s="128" t="s">
        <v>56</v>
      </c>
      <c r="AB37" s="127" t="s">
        <v>58</v>
      </c>
      <c r="AL37">
        <v>6</v>
      </c>
      <c r="AM37">
        <v>29</v>
      </c>
      <c r="AN37" s="62" t="s">
        <v>201</v>
      </c>
      <c r="AO37" s="72"/>
      <c r="AP37" s="105" t="s">
        <v>341</v>
      </c>
      <c r="AQ37" s="32" t="s">
        <v>10</v>
      </c>
      <c r="BE37" s="131" t="s">
        <v>203</v>
      </c>
      <c r="BF37" s="63" t="str">
        <f>L28</f>
        <v>psig</v>
      </c>
      <c r="BG37" s="132">
        <f t="array" ref="BG37:BG40">Asp_DepoModel_dP($AP$10,$AP$11,$AP$12,$AY$15,ADEPT_Input,Asp_DepoInputs,CS$59:CS$558)</f>
        <v>72.591151889789757</v>
      </c>
      <c r="BH37" s="132">
        <f t="array" ref="BH37:BH40">Asp_DepoModel_dP($AP$10,$AP$11,$AP$12,$AY$15,ADEPT_Input,Asp_DepoInputs,CT$59:CT$558)</f>
        <v>72.591151889789757</v>
      </c>
      <c r="BI37" s="30" t="s">
        <v>204</v>
      </c>
      <c r="BU37" s="131" t="s">
        <v>205</v>
      </c>
      <c r="BV37" s="63" t="s">
        <v>66</v>
      </c>
      <c r="BW37" s="136">
        <v>353.67850261663403</v>
      </c>
      <c r="BX37" s="136">
        <v>1055.9390990067166</v>
      </c>
      <c r="BY37" s="30" t="s">
        <v>204</v>
      </c>
    </row>
    <row r="38" spans="3:77" ht="15.75">
      <c r="C38" s="137" t="s">
        <v>206</v>
      </c>
      <c r="D38" s="138"/>
      <c r="E38" s="11" t="str">
        <f>IF(M30&lt;=M28,"Y","N")</f>
        <v>Y</v>
      </c>
      <c r="F38" s="11" t="str">
        <f>IF(E38="Y","N","Y")</f>
        <v>N</v>
      </c>
      <c r="G38" s="123" t="str">
        <f>IF(F38="Y","Pressure must be descending. ","")</f>
        <v/>
      </c>
      <c r="K38" s="139" t="s">
        <v>207</v>
      </c>
      <c r="L38" s="113" t="str">
        <v/>
      </c>
      <c r="M38" s="114">
        <v>122</v>
      </c>
      <c r="R38">
        <v>3</v>
      </c>
      <c r="S38" s="96" t="s">
        <v>128</v>
      </c>
      <c r="T38" s="140"/>
      <c r="U38" s="141">
        <v>0.36082655515227396</v>
      </c>
      <c r="V38" s="142">
        <v>41.124223549559069</v>
      </c>
      <c r="W38" s="142"/>
      <c r="X38" s="143"/>
      <c r="Y38" s="141">
        <v>1.8708520137198227E-3</v>
      </c>
      <c r="Z38" s="144"/>
      <c r="AA38" s="144"/>
      <c r="AB38" s="143"/>
      <c r="AC38" s="9" t="s">
        <v>208</v>
      </c>
      <c r="AL38">
        <v>7</v>
      </c>
      <c r="AM38">
        <v>30</v>
      </c>
      <c r="AN38" s="38" t="s">
        <v>61</v>
      </c>
      <c r="AO38" s="43"/>
      <c r="AP38" s="117" t="s">
        <v>209</v>
      </c>
      <c r="AQ38" s="32" t="s">
        <v>210</v>
      </c>
      <c r="BE38" s="146" t="s">
        <v>211</v>
      </c>
      <c r="BF38" s="66"/>
      <c r="BG38" s="133">
        <v>5954.4049394478216</v>
      </c>
      <c r="BH38" s="133">
        <v>5954.4049394478216</v>
      </c>
      <c r="BI38" s="30" t="s">
        <v>212</v>
      </c>
      <c r="BU38" s="146" t="s">
        <v>213</v>
      </c>
      <c r="BV38" s="66"/>
      <c r="BW38" s="147">
        <v>5954.6953238586138</v>
      </c>
      <c r="BX38" s="147">
        <v>5954.6953238586138</v>
      </c>
      <c r="BY38" s="30" t="s">
        <v>212</v>
      </c>
    </row>
    <row r="39" spans="3:77">
      <c r="C39" s="148" t="s">
        <v>214</v>
      </c>
      <c r="D39" s="149"/>
      <c r="E39" s="12">
        <f>COUNT(AE22:AE25)</f>
        <v>4</v>
      </c>
      <c r="F39" s="12" t="str">
        <f>IF(E39=4,"N","Y")</f>
        <v>N</v>
      </c>
      <c r="G39" s="150" t="str">
        <f>IF(F39="Y","Production data missing required inputs. ","")</f>
        <v/>
      </c>
      <c r="K39" s="89" t="s">
        <v>215</v>
      </c>
      <c r="L39" s="39" t="str">
        <v/>
      </c>
      <c r="M39" s="115">
        <v>3763</v>
      </c>
      <c r="S39" s="151" t="s">
        <v>129</v>
      </c>
      <c r="T39" s="152"/>
      <c r="U39" s="153">
        <v>0</v>
      </c>
      <c r="V39" s="154">
        <v>0</v>
      </c>
      <c r="W39" s="154">
        <v>0</v>
      </c>
      <c r="X39" s="143">
        <v>0</v>
      </c>
      <c r="Y39" s="154">
        <v>0</v>
      </c>
      <c r="Z39" s="144">
        <v>0</v>
      </c>
      <c r="AA39" s="144">
        <v>0</v>
      </c>
      <c r="AB39" s="143">
        <v>0</v>
      </c>
      <c r="AL39">
        <v>8</v>
      </c>
      <c r="AM39">
        <v>31</v>
      </c>
      <c r="AN39" s="62" t="s">
        <v>216</v>
      </c>
      <c r="AO39" s="72"/>
      <c r="AP39" s="105" t="s">
        <v>342</v>
      </c>
      <c r="AQ39" s="32" t="s">
        <v>217</v>
      </c>
      <c r="BE39" s="155" t="s">
        <v>218</v>
      </c>
      <c r="BF39" s="39"/>
      <c r="BG39" s="134">
        <v>6026.9960913376117</v>
      </c>
      <c r="BH39" s="134">
        <v>6026.9960913376117</v>
      </c>
      <c r="BI39" s="30" t="s">
        <v>219</v>
      </c>
      <c r="BU39" s="155" t="s">
        <v>220</v>
      </c>
      <c r="BV39" s="39"/>
      <c r="BW39" s="156">
        <v>6308.3738264752483</v>
      </c>
      <c r="BX39" s="156">
        <v>7010.6344228653306</v>
      </c>
      <c r="BY39" s="30" t="s">
        <v>219</v>
      </c>
    </row>
    <row r="40" spans="3:77">
      <c r="C40" s="157" t="s">
        <v>221</v>
      </c>
      <c r="D40" s="109"/>
      <c r="E40" s="158" t="str">
        <f>G37&amp;G38&amp;G39</f>
        <v/>
      </c>
      <c r="K40" s="91" t="s">
        <v>43</v>
      </c>
      <c r="L40" s="63" t="str">
        <f t="array" ref="L40:M40">AD24:AE24</f>
        <v>ft</v>
      </c>
      <c r="M40" s="159">
        <v>17844</v>
      </c>
      <c r="S40" s="151" t="s">
        <v>130</v>
      </c>
      <c r="T40" s="152"/>
      <c r="U40" s="160">
        <f t="array" ref="U40:AB40">IF($T$26="constant",U39:AB39,U38:AB38)</f>
        <v>0.36082655515227396</v>
      </c>
      <c r="V40" s="161">
        <v>41.124223549559069</v>
      </c>
      <c r="W40" s="161">
        <v>0</v>
      </c>
      <c r="X40" s="162">
        <v>0</v>
      </c>
      <c r="Y40" s="161">
        <v>1.8708520137198227E-3</v>
      </c>
      <c r="Z40" s="163">
        <v>0</v>
      </c>
      <c r="AA40" s="163">
        <v>0</v>
      </c>
      <c r="AB40" s="162">
        <v>0</v>
      </c>
      <c r="AL40">
        <v>9</v>
      </c>
      <c r="AM40">
        <v>32</v>
      </c>
      <c r="AN40" s="38" t="s">
        <v>222</v>
      </c>
      <c r="AO40" s="43"/>
      <c r="AP40" s="117" t="s">
        <v>88</v>
      </c>
      <c r="BE40" s="165" t="s">
        <v>224</v>
      </c>
      <c r="BF40" s="46"/>
      <c r="BG40" s="135" t="str">
        <v>flowing</v>
      </c>
      <c r="BH40" s="135" t="str">
        <v>flowing</v>
      </c>
      <c r="BI40" s="30" t="s">
        <v>225</v>
      </c>
      <c r="BU40" s="165" t="s">
        <v>224</v>
      </c>
      <c r="BV40" s="46"/>
      <c r="BW40" s="166" t="s">
        <v>226</v>
      </c>
      <c r="BX40" s="166" t="s">
        <v>226</v>
      </c>
      <c r="BY40" s="30" t="s">
        <v>225</v>
      </c>
    </row>
    <row r="41" spans="3:77">
      <c r="K41" s="167" t="s">
        <v>45</v>
      </c>
      <c r="L41" s="34" t="str">
        <f t="array" ref="L41:M41">AD25:AE25</f>
        <v>in</v>
      </c>
      <c r="M41" s="168">
        <v>4.67</v>
      </c>
      <c r="U41" s="74" t="s">
        <v>126</v>
      </c>
      <c r="AL41">
        <v>10</v>
      </c>
      <c r="AM41">
        <v>33</v>
      </c>
      <c r="AN41" s="62" t="s">
        <v>80</v>
      </c>
      <c r="AO41" s="72"/>
      <c r="AP41" s="169" t="s">
        <v>227</v>
      </c>
      <c r="AQ41" s="32" t="s">
        <v>81</v>
      </c>
    </row>
    <row r="42" spans="3:77" ht="16.149999999999999" thickBot="1">
      <c r="K42" s="172" t="s">
        <v>230</v>
      </c>
      <c r="L42" s="46"/>
      <c r="M42" s="166">
        <v>200</v>
      </c>
      <c r="AL42">
        <v>11</v>
      </c>
      <c r="AM42">
        <v>34</v>
      </c>
      <c r="AN42" s="65" t="s">
        <v>82</v>
      </c>
      <c r="AO42" s="173"/>
      <c r="AP42" s="174" t="s">
        <v>227</v>
      </c>
      <c r="AQ42" s="32" t="s">
        <v>83</v>
      </c>
      <c r="BE42" s="9" t="s">
        <v>233</v>
      </c>
      <c r="BU42" s="9" t="s">
        <v>233</v>
      </c>
    </row>
    <row r="43" spans="3:77">
      <c r="AL43">
        <v>12</v>
      </c>
      <c r="AM43">
        <v>35</v>
      </c>
      <c r="AN43" s="38" t="s">
        <v>85</v>
      </c>
      <c r="AO43" s="43"/>
      <c r="AP43" s="52" t="s">
        <v>234</v>
      </c>
      <c r="AQ43" s="32" t="s">
        <v>86</v>
      </c>
      <c r="BE43" s="28" t="s">
        <v>16</v>
      </c>
      <c r="BF43" s="29" t="str">
        <f>L27</f>
        <v>°F</v>
      </c>
      <c r="BG43" s="31">
        <f>ROUND(AY47,4)</f>
        <v>0</v>
      </c>
      <c r="BU43" s="28" t="s">
        <v>16</v>
      </c>
      <c r="BV43" s="29" t="s">
        <v>32</v>
      </c>
      <c r="BW43" s="31">
        <v>60</v>
      </c>
    </row>
    <row r="44" spans="3:77">
      <c r="AL44" s="56" t="s">
        <v>239</v>
      </c>
      <c r="AM44">
        <v>36</v>
      </c>
      <c r="AN44" s="62" t="s">
        <v>240</v>
      </c>
      <c r="AO44" s="72"/>
      <c r="AP44" s="177" t="s">
        <v>241</v>
      </c>
      <c r="AQ44" s="32" t="s">
        <v>242</v>
      </c>
      <c r="BE44" s="38" t="s">
        <v>194</v>
      </c>
      <c r="BF44" s="39" t="str">
        <f>L28</f>
        <v>psig</v>
      </c>
      <c r="BG44" s="51">
        <f>ROUND(AZ47,4)</f>
        <v>0</v>
      </c>
      <c r="BH44" s="30"/>
      <c r="BU44" s="38" t="s">
        <v>194</v>
      </c>
      <c r="BV44" s="39" t="s">
        <v>66</v>
      </c>
      <c r="BW44" s="51">
        <v>0</v>
      </c>
      <c r="BX44" s="30"/>
    </row>
    <row r="45" spans="3:77">
      <c r="AL45">
        <v>1</v>
      </c>
      <c r="AM45">
        <v>37</v>
      </c>
      <c r="AN45" s="65" t="s">
        <v>246</v>
      </c>
      <c r="AO45" s="173"/>
      <c r="AP45" s="182">
        <v>0</v>
      </c>
      <c r="AQ45" s="32" t="s">
        <v>247</v>
      </c>
      <c r="BE45" s="33" t="s">
        <v>231</v>
      </c>
      <c r="BF45" s="34" t="s">
        <v>244</v>
      </c>
      <c r="BG45" s="35">
        <f>BO17</f>
        <v>584.51860458626129</v>
      </c>
      <c r="BH45" s="30" t="s">
        <v>249</v>
      </c>
      <c r="BU45" s="33" t="s">
        <v>231</v>
      </c>
      <c r="BV45" s="34" t="s">
        <v>244</v>
      </c>
      <c r="BW45" s="37">
        <v>583.96370693503025</v>
      </c>
      <c r="BX45" s="30" t="s">
        <v>249</v>
      </c>
    </row>
    <row r="46" spans="3:77">
      <c r="AL46">
        <v>2</v>
      </c>
      <c r="AM46">
        <v>38</v>
      </c>
      <c r="AN46" s="38" t="s">
        <v>250</v>
      </c>
      <c r="AO46" s="43"/>
      <c r="AP46" s="189">
        <v>10</v>
      </c>
      <c r="AR46" s="32"/>
      <c r="BE46" s="196" t="s">
        <v>252</v>
      </c>
      <c r="BF46" s="34" t="s">
        <v>51</v>
      </c>
      <c r="BG46" s="35">
        <f>BE17</f>
        <v>0.8714425507845216</v>
      </c>
      <c r="BH46" s="30" t="s">
        <v>253</v>
      </c>
      <c r="BU46" s="196" t="s">
        <v>254</v>
      </c>
      <c r="BV46" s="34" t="s">
        <v>51</v>
      </c>
      <c r="BW46" s="37">
        <v>0.87136368417396581</v>
      </c>
      <c r="BX46" s="30" t="s">
        <v>253</v>
      </c>
    </row>
    <row r="47" spans="3:77">
      <c r="BE47" s="33" t="s">
        <v>255</v>
      </c>
      <c r="BF47" s="34" t="s">
        <v>41</v>
      </c>
      <c r="BG47" s="35">
        <f>BR17</f>
        <v>9.0409174607729064</v>
      </c>
      <c r="BH47" s="30" t="s">
        <v>256</v>
      </c>
      <c r="BU47" s="33" t="s">
        <v>255</v>
      </c>
      <c r="BV47" s="34" t="s">
        <v>41</v>
      </c>
      <c r="BW47" s="37">
        <v>9.0400992467485821</v>
      </c>
      <c r="BX47" s="30" t="s">
        <v>256</v>
      </c>
    </row>
    <row r="48" spans="3:77">
      <c r="BE48" s="33" t="s">
        <v>258</v>
      </c>
      <c r="BF48" s="34"/>
      <c r="BG48" s="35">
        <f>BQ17</f>
        <v>1.2174611560432038</v>
      </c>
      <c r="BH48" s="30" t="s">
        <v>259</v>
      </c>
      <c r="BU48" s="33" t="s">
        <v>258</v>
      </c>
      <c r="BV48" s="34"/>
      <c r="BW48" s="37">
        <v>1.2148029133017726</v>
      </c>
      <c r="BX48" s="30" t="s">
        <v>259</v>
      </c>
    </row>
    <row r="49" spans="2:100">
      <c r="Q49" s="201"/>
      <c r="T49" s="32"/>
      <c r="BE49" s="38" t="s">
        <v>260</v>
      </c>
      <c r="BF49" s="39"/>
      <c r="BG49" s="40">
        <f>BS17</f>
        <v>10.25837861681611</v>
      </c>
      <c r="BH49" s="30" t="s">
        <v>261</v>
      </c>
      <c r="BU49" s="38" t="s">
        <v>262</v>
      </c>
      <c r="BV49" s="39"/>
      <c r="BW49" s="51">
        <v>10.254902160050355</v>
      </c>
      <c r="BX49" s="30" t="s">
        <v>261</v>
      </c>
    </row>
    <row r="50" spans="2:100">
      <c r="Q50" s="201"/>
      <c r="T50" s="32"/>
      <c r="BE50" s="33" t="s">
        <v>263</v>
      </c>
      <c r="BU50" s="33" t="s">
        <v>263</v>
      </c>
    </row>
    <row r="51" spans="2:100">
      <c r="Q51" s="201"/>
      <c r="T51" s="32"/>
      <c r="U51" s="32"/>
      <c r="V51" s="32"/>
      <c r="W51" s="32"/>
      <c r="X51" s="32"/>
      <c r="Y51" s="32"/>
      <c r="BL51" t="s">
        <v>264</v>
      </c>
      <c r="BM51" t="s">
        <v>265</v>
      </c>
    </row>
    <row r="52" spans="2:100" s="8" customFormat="1">
      <c r="Q52" s="202"/>
      <c r="T52" s="203"/>
      <c r="V52" s="202"/>
      <c r="W52" s="204"/>
      <c r="X52" s="205"/>
      <c r="Y52" s="203"/>
      <c r="BQ52" s="202"/>
    </row>
    <row r="53" spans="2:100">
      <c r="C53" s="11">
        <v>1</v>
      </c>
      <c r="D53" s="11">
        <v>2</v>
      </c>
      <c r="E53" s="11">
        <v>3</v>
      </c>
      <c r="F53" s="11">
        <v>4</v>
      </c>
      <c r="G53" s="11">
        <v>5</v>
      </c>
      <c r="H53" s="11">
        <v>6</v>
      </c>
      <c r="I53" s="11">
        <v>7</v>
      </c>
      <c r="J53" s="11">
        <v>8</v>
      </c>
      <c r="K53" s="11">
        <v>9</v>
      </c>
      <c r="L53" s="11">
        <v>10</v>
      </c>
      <c r="M53" s="11">
        <v>11</v>
      </c>
      <c r="N53" s="11">
        <v>12</v>
      </c>
      <c r="O53" s="11">
        <v>13</v>
      </c>
      <c r="P53" s="11">
        <v>14</v>
      </c>
      <c r="Q53" s="11">
        <v>15</v>
      </c>
      <c r="BL53" s="11" t="s">
        <v>266</v>
      </c>
      <c r="BM53" s="11" t="s">
        <v>267</v>
      </c>
      <c r="BN53" s="11" t="s">
        <v>268</v>
      </c>
      <c r="BO53" s="11" t="s">
        <v>269</v>
      </c>
      <c r="BP53" s="11" t="s">
        <v>270</v>
      </c>
      <c r="BQ53" s="11" t="s">
        <v>62</v>
      </c>
      <c r="BR53" s="11" t="s">
        <v>271</v>
      </c>
      <c r="BS53" s="11" t="s">
        <v>272</v>
      </c>
      <c r="BT53" s="11" t="s">
        <v>273</v>
      </c>
      <c r="BU53" s="11" t="s">
        <v>274</v>
      </c>
      <c r="BV53" s="11" t="s">
        <v>105</v>
      </c>
      <c r="BW53" s="11" t="s">
        <v>43</v>
      </c>
      <c r="BX53" s="11" t="s">
        <v>275</v>
      </c>
      <c r="BY53" s="11" t="s">
        <v>33</v>
      </c>
      <c r="BZ53" s="11" t="s">
        <v>276</v>
      </c>
      <c r="CA53" s="11" t="s">
        <v>4</v>
      </c>
      <c r="CB53" s="11" t="s">
        <v>277</v>
      </c>
      <c r="CC53" s="11" t="s">
        <v>99</v>
      </c>
      <c r="CD53" s="11" t="s">
        <v>278</v>
      </c>
      <c r="CE53" s="11" t="s">
        <v>3</v>
      </c>
      <c r="CF53" s="11" t="s">
        <v>279</v>
      </c>
      <c r="CG53" s="11" t="s">
        <v>280</v>
      </c>
      <c r="CH53" s="11" t="s">
        <v>281</v>
      </c>
      <c r="CI53" s="11" t="s">
        <v>282</v>
      </c>
      <c r="CJ53" s="11" t="s">
        <v>283</v>
      </c>
      <c r="CK53" s="11" t="s">
        <v>284</v>
      </c>
      <c r="CL53" s="11" t="s">
        <v>285</v>
      </c>
      <c r="CM53" s="11" t="s">
        <v>286</v>
      </c>
      <c r="CN53" s="11" t="s">
        <v>287</v>
      </c>
    </row>
    <row r="54" spans="2:100">
      <c r="C54" t="s">
        <v>555</v>
      </c>
      <c r="O54" s="170" t="s">
        <v>288</v>
      </c>
      <c r="P54" s="165" t="s">
        <v>289</v>
      </c>
      <c r="Q54" s="206">
        <f>SUM(Q59:Q558)</f>
        <v>7155.1165048638513</v>
      </c>
      <c r="AY54" s="11">
        <v>1</v>
      </c>
      <c r="AZ54" s="11">
        <v>2</v>
      </c>
      <c r="BA54" s="11">
        <v>3</v>
      </c>
      <c r="BB54" s="11">
        <v>4</v>
      </c>
      <c r="BC54" s="11">
        <v>5</v>
      </c>
      <c r="BD54" s="11">
        <v>6</v>
      </c>
      <c r="BE54" s="11">
        <v>7</v>
      </c>
      <c r="BF54" s="11">
        <v>8</v>
      </c>
      <c r="BG54" s="11">
        <v>9</v>
      </c>
      <c r="BH54" s="11">
        <v>10</v>
      </c>
      <c r="BL54" s="11">
        <v>1</v>
      </c>
      <c r="BM54" s="11">
        <v>2</v>
      </c>
      <c r="BN54" s="11">
        <v>3</v>
      </c>
      <c r="BO54" s="11">
        <v>4</v>
      </c>
      <c r="BP54" s="11">
        <v>5</v>
      </c>
      <c r="BQ54" s="11">
        <v>6</v>
      </c>
      <c r="BR54" s="11">
        <v>7</v>
      </c>
      <c r="BS54" s="11">
        <v>8</v>
      </c>
      <c r="BT54" s="11">
        <v>9</v>
      </c>
      <c r="BU54" s="11">
        <v>10</v>
      </c>
      <c r="BV54" s="11">
        <v>11</v>
      </c>
      <c r="BW54" s="11">
        <v>12</v>
      </c>
      <c r="BX54" s="11">
        <v>13</v>
      </c>
      <c r="BY54" s="11">
        <v>14</v>
      </c>
      <c r="BZ54" s="11">
        <v>15</v>
      </c>
      <c r="CA54" s="11">
        <v>16</v>
      </c>
      <c r="CB54" s="11">
        <v>17</v>
      </c>
      <c r="CC54" s="11">
        <v>18</v>
      </c>
      <c r="CD54" s="11">
        <v>19</v>
      </c>
      <c r="CE54" s="11">
        <v>20</v>
      </c>
      <c r="CF54" s="11">
        <v>21</v>
      </c>
      <c r="CG54" s="11">
        <v>22</v>
      </c>
      <c r="CH54" s="11">
        <v>23</v>
      </c>
      <c r="CI54" s="11">
        <v>24</v>
      </c>
      <c r="CJ54" s="11">
        <v>25</v>
      </c>
      <c r="CK54" s="11">
        <v>26</v>
      </c>
      <c r="CL54" s="11">
        <v>27</v>
      </c>
      <c r="CM54" s="11">
        <v>28</v>
      </c>
      <c r="CN54" s="11">
        <v>29</v>
      </c>
      <c r="CO54" s="11"/>
      <c r="CP54" s="11">
        <v>2</v>
      </c>
      <c r="CQ54" s="11">
        <v>3</v>
      </c>
      <c r="CR54" s="11">
        <v>4</v>
      </c>
      <c r="CS54" s="11">
        <v>5</v>
      </c>
      <c r="CT54" s="11">
        <v>6</v>
      </c>
      <c r="CU54" s="11">
        <v>7</v>
      </c>
      <c r="CV54" s="11">
        <v>8</v>
      </c>
    </row>
    <row r="55" spans="2:100" ht="15.75">
      <c r="C55" s="14" t="s">
        <v>8</v>
      </c>
      <c r="D55" s="590"/>
      <c r="E55" s="15" t="s">
        <v>557</v>
      </c>
      <c r="F55" s="209" t="s">
        <v>290</v>
      </c>
      <c r="G55" s="207"/>
      <c r="H55" s="207"/>
      <c r="I55" s="207"/>
      <c r="J55" s="207"/>
      <c r="K55" s="207"/>
      <c r="L55" s="207"/>
      <c r="M55" s="207"/>
      <c r="N55" s="207"/>
      <c r="O55" s="207"/>
      <c r="P55" s="594"/>
      <c r="Q55" s="39" t="s">
        <v>291</v>
      </c>
      <c r="R55" s="118">
        <v>0</v>
      </c>
      <c r="S55" s="175"/>
      <c r="T55" s="119"/>
      <c r="U55" s="118">
        <v>1</v>
      </c>
      <c r="V55" s="175"/>
      <c r="W55" s="119"/>
      <c r="X55" s="118">
        <v>2</v>
      </c>
      <c r="Y55" s="175"/>
      <c r="Z55" s="119"/>
      <c r="AA55" s="118">
        <v>3</v>
      </c>
      <c r="AB55" s="175"/>
      <c r="AC55" s="119"/>
      <c r="AD55" s="118">
        <v>4</v>
      </c>
      <c r="AE55" s="175"/>
      <c r="AF55" s="119"/>
      <c r="AG55" s="118">
        <v>5</v>
      </c>
      <c r="AH55" s="175"/>
      <c r="AI55" s="119"/>
      <c r="AJ55" s="118">
        <v>6</v>
      </c>
      <c r="AK55" s="175"/>
      <c r="AL55" s="119"/>
      <c r="AM55" s="118">
        <v>7</v>
      </c>
      <c r="AN55" s="175"/>
      <c r="AO55" s="119"/>
      <c r="AP55" s="118">
        <v>8</v>
      </c>
      <c r="AQ55" s="175"/>
      <c r="AR55" s="119"/>
      <c r="AS55" s="118">
        <v>9</v>
      </c>
      <c r="AT55" s="175"/>
      <c r="AU55" s="119"/>
      <c r="AV55" s="118">
        <v>10</v>
      </c>
      <c r="AW55" s="175"/>
      <c r="AX55" s="119"/>
      <c r="AY55" s="210" t="s">
        <v>292</v>
      </c>
      <c r="AZ55" s="211"/>
      <c r="BA55" s="211"/>
      <c r="BB55" s="211"/>
      <c r="BC55" s="211"/>
      <c r="BD55" s="211"/>
      <c r="BE55" s="211"/>
      <c r="BF55" s="211"/>
      <c r="BG55" s="211"/>
      <c r="BH55" s="212"/>
      <c r="BL55" s="9" t="s">
        <v>293</v>
      </c>
      <c r="BR55" s="9" t="s">
        <v>294</v>
      </c>
      <c r="BS55" s="11"/>
      <c r="BT55" s="9" t="s">
        <v>295</v>
      </c>
      <c r="BV55" s="11"/>
      <c r="BW55" s="11">
        <v>4</v>
      </c>
      <c r="BX55" s="11">
        <v>5</v>
      </c>
      <c r="BY55" s="11">
        <v>6</v>
      </c>
      <c r="BZ55" s="11">
        <v>7</v>
      </c>
      <c r="CA55" s="11">
        <v>8</v>
      </c>
      <c r="CB55" s="11">
        <v>9</v>
      </c>
      <c r="CC55" s="11">
        <v>10</v>
      </c>
      <c r="CD55" s="11">
        <v>11</v>
      </c>
      <c r="CE55" s="11">
        <v>12</v>
      </c>
      <c r="CF55" s="11">
        <v>13</v>
      </c>
      <c r="CG55" s="11">
        <v>14</v>
      </c>
      <c r="CH55" s="11">
        <v>15</v>
      </c>
      <c r="CI55" s="11">
        <v>16</v>
      </c>
      <c r="CJ55" s="11">
        <v>17</v>
      </c>
      <c r="CK55" s="11">
        <v>18</v>
      </c>
      <c r="CL55" s="9" t="s">
        <v>296</v>
      </c>
      <c r="CN55" s="11"/>
      <c r="CO55" s="9" t="s">
        <v>297</v>
      </c>
      <c r="CQ55" s="11"/>
      <c r="CR55" s="11"/>
      <c r="CS55" s="9" t="s">
        <v>298</v>
      </c>
      <c r="CT55" s="11"/>
      <c r="CU55" s="11"/>
      <c r="CV55" s="11"/>
    </row>
    <row r="56" spans="2:100">
      <c r="C56" s="165" t="s">
        <v>304</v>
      </c>
      <c r="D56" s="58"/>
      <c r="E56" s="46"/>
      <c r="F56" s="165" t="s">
        <v>305</v>
      </c>
      <c r="G56" s="46"/>
      <c r="H56" s="165" t="s">
        <v>306</v>
      </c>
      <c r="I56" s="46"/>
      <c r="J56" s="46" t="s">
        <v>307</v>
      </c>
      <c r="K56" s="39"/>
      <c r="L56" s="39"/>
      <c r="M56" s="165" t="s">
        <v>562</v>
      </c>
      <c r="N56" s="58"/>
      <c r="O56" s="46"/>
      <c r="P56" s="39" t="s">
        <v>566</v>
      </c>
      <c r="Q56" s="216" t="s">
        <v>308</v>
      </c>
      <c r="R56" s="215"/>
      <c r="S56" s="217" t="s">
        <v>70</v>
      </c>
      <c r="T56" s="122">
        <v>0</v>
      </c>
      <c r="U56" s="215"/>
      <c r="V56" s="217" t="s">
        <v>70</v>
      </c>
      <c r="W56" s="122">
        <f>IF(U55&gt;$AP$46,0,U55*($AE$22/$AP$46))</f>
        <v>1</v>
      </c>
      <c r="X56" s="215"/>
      <c r="Y56" s="217" t="s">
        <v>70</v>
      </c>
      <c r="Z56" s="122">
        <f>IF(X55&gt;$AP$46,0,X55*($AE$22/$AP$46))</f>
        <v>2</v>
      </c>
      <c r="AA56" s="215"/>
      <c r="AB56" s="217" t="s">
        <v>70</v>
      </c>
      <c r="AC56" s="122">
        <f>IF(AA55&gt;$AP$46,0,AA55*($AE$22/$AP$46))</f>
        <v>3</v>
      </c>
      <c r="AD56" s="215"/>
      <c r="AE56" s="217" t="s">
        <v>70</v>
      </c>
      <c r="AF56" s="122">
        <f>IF(AD55&gt;$AP$46,0,AD55*($AE$22/$AP$46))</f>
        <v>4</v>
      </c>
      <c r="AG56" s="215"/>
      <c r="AH56" s="217" t="s">
        <v>70</v>
      </c>
      <c r="AI56" s="122">
        <f>IF(AG55&gt;$AP$46,0,AG55*($AE$22/$AP$46))</f>
        <v>5</v>
      </c>
      <c r="AJ56" s="215"/>
      <c r="AK56" s="217" t="s">
        <v>70</v>
      </c>
      <c r="AL56" s="122">
        <f>IF(AJ55&gt;$AP$46,0,AJ55*($AE$22/$AP$46))</f>
        <v>6</v>
      </c>
      <c r="AM56" s="215"/>
      <c r="AN56" s="217" t="s">
        <v>70</v>
      </c>
      <c r="AO56" s="122">
        <f>IF(AM55&gt;$AP$46,0,AM55*($AE$22/$AP$46))</f>
        <v>7</v>
      </c>
      <c r="AP56" s="215"/>
      <c r="AQ56" s="217" t="s">
        <v>70</v>
      </c>
      <c r="AR56" s="122">
        <f>IF(AP55&gt;$AP$46,0,AP55*($AE$22/$AP$46))</f>
        <v>8</v>
      </c>
      <c r="AS56" s="215"/>
      <c r="AT56" s="217" t="s">
        <v>70</v>
      </c>
      <c r="AU56" s="122">
        <f>IF(AS55&gt;$AP$46,0,AS55*($AE$22/$AP$46))</f>
        <v>9</v>
      </c>
      <c r="AV56" s="215"/>
      <c r="AW56" s="217" t="s">
        <v>70</v>
      </c>
      <c r="AX56" s="122">
        <f>IF(AV55&gt;$AP$46,0,AV55*($AE$22/$AP$46))</f>
        <v>10</v>
      </c>
      <c r="AY56" s="213"/>
      <c r="AZ56" s="83"/>
      <c r="BA56" s="83"/>
      <c r="BB56" s="83"/>
      <c r="BC56" s="83"/>
      <c r="BD56" s="83"/>
      <c r="BE56" s="83"/>
      <c r="BF56" s="83"/>
      <c r="BG56" s="83"/>
      <c r="BH56" s="34"/>
      <c r="BL56" s="209" t="s">
        <v>309</v>
      </c>
      <c r="BM56" s="207"/>
      <c r="BN56" s="207"/>
      <c r="BO56" s="207"/>
      <c r="BP56" s="207"/>
      <c r="BQ56" s="208"/>
      <c r="BR56" s="165" t="s">
        <v>310</v>
      </c>
      <c r="BS56" s="46"/>
      <c r="BT56" s="170" t="s">
        <v>299</v>
      </c>
      <c r="BU56" s="214" t="s">
        <v>300</v>
      </c>
      <c r="BV56" s="218"/>
      <c r="BW56" s="214" t="s">
        <v>301</v>
      </c>
      <c r="BX56" s="219"/>
      <c r="BY56" s="218"/>
      <c r="BZ56" s="214" t="s">
        <v>302</v>
      </c>
      <c r="CA56" s="219"/>
      <c r="CB56" s="219"/>
      <c r="CC56" s="218"/>
      <c r="CD56" s="219" t="s">
        <v>303</v>
      </c>
      <c r="CE56" s="219"/>
      <c r="CF56" s="219"/>
      <c r="CG56" s="218"/>
      <c r="CH56" s="214" t="s">
        <v>311</v>
      </c>
      <c r="CI56" s="219"/>
      <c r="CJ56" s="219"/>
      <c r="CK56" s="218"/>
      <c r="CL56" s="214" t="s">
        <v>312</v>
      </c>
      <c r="CM56" s="219"/>
      <c r="CN56" s="218"/>
      <c r="CO56" s="165" t="s">
        <v>304</v>
      </c>
      <c r="CP56" s="46"/>
      <c r="CQ56" s="165" t="s">
        <v>305</v>
      </c>
      <c r="CR56" s="46"/>
      <c r="CS56" s="165" t="s">
        <v>306</v>
      </c>
      <c r="CT56" s="46"/>
      <c r="CU56" s="46" t="s">
        <v>307</v>
      </c>
      <c r="CV56" s="170" t="s">
        <v>308</v>
      </c>
    </row>
    <row r="57" spans="2:100" ht="15.75">
      <c r="C57" s="220" t="s">
        <v>556</v>
      </c>
      <c r="D57" s="229" t="s">
        <v>268</v>
      </c>
      <c r="E57" s="223" t="s">
        <v>317</v>
      </c>
      <c r="F57" s="220" t="s">
        <v>318</v>
      </c>
      <c r="G57" s="223" t="s">
        <v>319</v>
      </c>
      <c r="H57" s="220" t="s">
        <v>320</v>
      </c>
      <c r="I57" s="226" t="s">
        <v>321</v>
      </c>
      <c r="J57" s="223" t="s">
        <v>322</v>
      </c>
      <c r="K57" s="223" t="s">
        <v>558</v>
      </c>
      <c r="L57" s="223" t="s">
        <v>563</v>
      </c>
      <c r="M57" s="220" t="s">
        <v>559</v>
      </c>
      <c r="N57" s="229" t="s">
        <v>560</v>
      </c>
      <c r="O57" s="223" t="s">
        <v>561</v>
      </c>
      <c r="P57" s="223" t="s">
        <v>564</v>
      </c>
      <c r="Q57" s="227" t="s">
        <v>323</v>
      </c>
      <c r="R57" s="228" t="s">
        <v>320</v>
      </c>
      <c r="S57" s="225" t="s">
        <v>321</v>
      </c>
      <c r="T57" s="226" t="s">
        <v>322</v>
      </c>
      <c r="U57" s="228" t="s">
        <v>320</v>
      </c>
      <c r="V57" s="225" t="s">
        <v>321</v>
      </c>
      <c r="W57" s="226" t="s">
        <v>322</v>
      </c>
      <c r="X57" s="228" t="s">
        <v>320</v>
      </c>
      <c r="Y57" s="225" t="s">
        <v>321</v>
      </c>
      <c r="Z57" s="226" t="s">
        <v>322</v>
      </c>
      <c r="AA57" s="228" t="s">
        <v>320</v>
      </c>
      <c r="AB57" s="225" t="s">
        <v>321</v>
      </c>
      <c r="AC57" s="226" t="s">
        <v>322</v>
      </c>
      <c r="AD57" s="228" t="s">
        <v>320</v>
      </c>
      <c r="AE57" s="225" t="s">
        <v>321</v>
      </c>
      <c r="AF57" s="226" t="s">
        <v>322</v>
      </c>
      <c r="AG57" s="228" t="s">
        <v>320</v>
      </c>
      <c r="AH57" s="225" t="s">
        <v>321</v>
      </c>
      <c r="AI57" s="226" t="s">
        <v>322</v>
      </c>
      <c r="AJ57" s="228" t="s">
        <v>320</v>
      </c>
      <c r="AK57" s="225" t="s">
        <v>321</v>
      </c>
      <c r="AL57" s="226" t="s">
        <v>322</v>
      </c>
      <c r="AM57" s="228" t="s">
        <v>320</v>
      </c>
      <c r="AN57" s="225" t="s">
        <v>321</v>
      </c>
      <c r="AO57" s="226" t="s">
        <v>322</v>
      </c>
      <c r="AP57" s="228" t="s">
        <v>320</v>
      </c>
      <c r="AQ57" s="225" t="s">
        <v>321</v>
      </c>
      <c r="AR57" s="226" t="s">
        <v>322</v>
      </c>
      <c r="AS57" s="228" t="s">
        <v>320</v>
      </c>
      <c r="AT57" s="225" t="s">
        <v>321</v>
      </c>
      <c r="AU57" s="226" t="s">
        <v>322</v>
      </c>
      <c r="AV57" s="228" t="s">
        <v>320</v>
      </c>
      <c r="AW57" s="225" t="s">
        <v>321</v>
      </c>
      <c r="AX57" s="226" t="s">
        <v>322</v>
      </c>
      <c r="AY57" s="220" t="s">
        <v>324</v>
      </c>
      <c r="AZ57" s="229" t="s">
        <v>205</v>
      </c>
      <c r="BA57" s="229" t="s">
        <v>325</v>
      </c>
      <c r="BB57" s="229" t="s">
        <v>320</v>
      </c>
      <c r="BC57" s="229" t="s">
        <v>321</v>
      </c>
      <c r="BD57" s="229" t="s">
        <v>322</v>
      </c>
      <c r="BE57" s="229" t="s">
        <v>323</v>
      </c>
      <c r="BF57" s="229" t="s">
        <v>326</v>
      </c>
      <c r="BG57" s="229" t="s">
        <v>327</v>
      </c>
      <c r="BH57" s="223" t="s">
        <v>328</v>
      </c>
      <c r="BK57" s="230" t="s">
        <v>329</v>
      </c>
      <c r="BL57" s="220" t="s">
        <v>313</v>
      </c>
      <c r="BM57" s="220" t="s">
        <v>313</v>
      </c>
      <c r="BN57" s="229" t="s">
        <v>194</v>
      </c>
      <c r="BO57" s="229" t="s">
        <v>16</v>
      </c>
      <c r="BP57" s="229" t="s">
        <v>314</v>
      </c>
      <c r="BQ57" s="223" t="s">
        <v>315</v>
      </c>
      <c r="BR57" s="220" t="s">
        <v>320</v>
      </c>
      <c r="BS57" s="226" t="s">
        <v>321</v>
      </c>
      <c r="BT57" s="224" t="s">
        <v>15</v>
      </c>
      <c r="BU57" s="231" t="s">
        <v>316</v>
      </c>
      <c r="BV57" s="226" t="s">
        <v>196</v>
      </c>
      <c r="BW57" s="231" t="s">
        <v>280</v>
      </c>
      <c r="BX57" s="232" t="s">
        <v>316</v>
      </c>
      <c r="BY57" s="226" t="s">
        <v>196</v>
      </c>
      <c r="BZ57" s="231" t="s">
        <v>280</v>
      </c>
      <c r="CA57" s="232" t="s">
        <v>316</v>
      </c>
      <c r="CB57" s="232" t="s">
        <v>196</v>
      </c>
      <c r="CC57" s="226" t="s">
        <v>195</v>
      </c>
      <c r="CD57" s="232" t="s">
        <v>280</v>
      </c>
      <c r="CE57" s="232" t="s">
        <v>316</v>
      </c>
      <c r="CF57" s="232" t="s">
        <v>196</v>
      </c>
      <c r="CG57" s="226" t="s">
        <v>195</v>
      </c>
      <c r="CH57" s="232" t="s">
        <v>280</v>
      </c>
      <c r="CI57" s="232" t="s">
        <v>316</v>
      </c>
      <c r="CJ57" s="232" t="s">
        <v>196</v>
      </c>
      <c r="CK57" s="226" t="s">
        <v>195</v>
      </c>
      <c r="CL57" s="231" t="s">
        <v>68</v>
      </c>
      <c r="CM57" s="232" t="s">
        <v>71</v>
      </c>
      <c r="CN57" s="226" t="s">
        <v>72</v>
      </c>
      <c r="CO57" s="220" t="s">
        <v>268</v>
      </c>
      <c r="CP57" s="223" t="s">
        <v>317</v>
      </c>
      <c r="CQ57" s="220" t="s">
        <v>318</v>
      </c>
      <c r="CR57" s="223" t="s">
        <v>319</v>
      </c>
      <c r="CS57" s="220" t="s">
        <v>320</v>
      </c>
      <c r="CT57" s="226" t="s">
        <v>321</v>
      </c>
      <c r="CU57" s="223" t="s">
        <v>322</v>
      </c>
      <c r="CV57" s="227" t="s">
        <v>323</v>
      </c>
    </row>
    <row r="58" spans="2:100" ht="18" customHeight="1" thickBot="1">
      <c r="C58" s="220" t="s">
        <v>59</v>
      </c>
      <c r="D58" s="229"/>
      <c r="E58" s="223"/>
      <c r="F58" s="220" t="s">
        <v>75</v>
      </c>
      <c r="G58" s="223"/>
      <c r="H58" s="220"/>
      <c r="I58" s="223"/>
      <c r="J58" s="223" t="s">
        <v>332</v>
      </c>
      <c r="K58" s="223"/>
      <c r="L58" s="223"/>
      <c r="M58" s="220"/>
      <c r="N58" s="229"/>
      <c r="O58" s="223"/>
      <c r="P58" s="223" t="s">
        <v>565</v>
      </c>
      <c r="Q58" s="234" t="s">
        <v>289</v>
      </c>
      <c r="R58" s="221"/>
      <c r="S58" s="222"/>
      <c r="T58" s="223" t="s">
        <v>332</v>
      </c>
      <c r="U58" s="221"/>
      <c r="V58" s="222"/>
      <c r="W58" s="223" t="s">
        <v>332</v>
      </c>
      <c r="X58" s="221"/>
      <c r="Y58" s="222"/>
      <c r="Z58" s="223" t="s">
        <v>332</v>
      </c>
      <c r="AA58" s="221"/>
      <c r="AB58" s="222"/>
      <c r="AC58" s="223" t="s">
        <v>332</v>
      </c>
      <c r="AD58" s="221"/>
      <c r="AE58" s="222"/>
      <c r="AF58" s="223" t="s">
        <v>332</v>
      </c>
      <c r="AG58" s="221"/>
      <c r="AH58" s="222"/>
      <c r="AI58" s="223" t="s">
        <v>332</v>
      </c>
      <c r="AJ58" s="221"/>
      <c r="AK58" s="222"/>
      <c r="AL58" s="223" t="s">
        <v>332</v>
      </c>
      <c r="AM58" s="221"/>
      <c r="AN58" s="222"/>
      <c r="AO58" s="223" t="s">
        <v>332</v>
      </c>
      <c r="AP58" s="221"/>
      <c r="AQ58" s="222"/>
      <c r="AR58" s="223" t="s">
        <v>332</v>
      </c>
      <c r="AS58" s="221"/>
      <c r="AT58" s="222"/>
      <c r="AU58" s="223" t="s">
        <v>332</v>
      </c>
      <c r="AV58" s="221"/>
      <c r="AW58" s="222"/>
      <c r="AX58" s="223" t="s">
        <v>332</v>
      </c>
      <c r="AY58" s="233" t="s">
        <v>70</v>
      </c>
      <c r="AZ58" s="235" t="s">
        <v>333</v>
      </c>
      <c r="BA58" s="235" t="s">
        <v>334</v>
      </c>
      <c r="BB58" s="235"/>
      <c r="BC58" s="235"/>
      <c r="BD58" s="235" t="s">
        <v>332</v>
      </c>
      <c r="BE58" s="236" t="s">
        <v>335</v>
      </c>
      <c r="BF58" s="236" t="s">
        <v>336</v>
      </c>
      <c r="BG58" s="235"/>
      <c r="BH58" s="237" t="s">
        <v>337</v>
      </c>
      <c r="BL58" s="233" t="s">
        <v>163</v>
      </c>
      <c r="BM58" s="233" t="s">
        <v>73</v>
      </c>
      <c r="BN58" s="235" t="s">
        <v>66</v>
      </c>
      <c r="BO58" s="235" t="s">
        <v>32</v>
      </c>
      <c r="BP58" s="235" t="s">
        <v>51</v>
      </c>
      <c r="BQ58" s="237" t="s">
        <v>48</v>
      </c>
      <c r="BR58" s="220"/>
      <c r="BS58" s="223"/>
      <c r="BT58" s="227" t="s">
        <v>330</v>
      </c>
      <c r="BU58" s="229" t="s">
        <v>331</v>
      </c>
      <c r="BV58" s="223"/>
      <c r="BW58" s="220" t="s">
        <v>243</v>
      </c>
      <c r="BX58" s="229"/>
      <c r="BY58" s="223"/>
      <c r="BZ58" s="220" t="s">
        <v>51</v>
      </c>
      <c r="CA58" s="229"/>
      <c r="CB58" s="229"/>
      <c r="CC58" s="223"/>
      <c r="CD58" s="229" t="s">
        <v>338</v>
      </c>
      <c r="CE58" s="229"/>
      <c r="CF58" s="229"/>
      <c r="CG58" s="223"/>
      <c r="CH58" s="220" t="s">
        <v>48</v>
      </c>
      <c r="CI58" s="229"/>
      <c r="CJ58" s="229"/>
      <c r="CK58" s="223"/>
      <c r="CL58" s="220" t="s">
        <v>69</v>
      </c>
      <c r="CM58" s="229"/>
      <c r="CN58" s="223"/>
      <c r="CO58" s="220" t="s">
        <v>59</v>
      </c>
      <c r="CP58" s="223"/>
      <c r="CQ58" s="220" t="s">
        <v>75</v>
      </c>
      <c r="CR58" s="223"/>
      <c r="CS58" s="220"/>
      <c r="CT58" s="223"/>
      <c r="CU58" s="223" t="s">
        <v>332</v>
      </c>
      <c r="CV58" s="234" t="s">
        <v>289</v>
      </c>
    </row>
    <row r="59" spans="2:100">
      <c r="B59">
        <v>1</v>
      </c>
      <c r="C59" s="239">
        <f t="array" ref="C59:BH558">IF(ON_Dep="ON",Asph_DepoModel(ADEPT_Input,Asp_DepoInputs),"")</f>
        <v>1.0000000000002836</v>
      </c>
      <c r="D59" s="591">
        <v>0</v>
      </c>
      <c r="E59" s="241">
        <v>0</v>
      </c>
      <c r="F59" s="239">
        <v>0</v>
      </c>
      <c r="G59" s="241">
        <v>0</v>
      </c>
      <c r="H59" s="239">
        <v>0</v>
      </c>
      <c r="I59" s="241">
        <v>0</v>
      </c>
      <c r="J59" s="238">
        <v>0</v>
      </c>
      <c r="K59" s="238">
        <v>18.907096376828406</v>
      </c>
      <c r="L59" s="238">
        <v>5.0251256281407036E-3</v>
      </c>
      <c r="M59" s="239">
        <v>118.99360915292958</v>
      </c>
      <c r="N59" s="591">
        <v>35.025850694365104</v>
      </c>
      <c r="O59" s="241">
        <v>0.56687686338602095</v>
      </c>
      <c r="P59" s="241">
        <v>1.1901373358538994</v>
      </c>
      <c r="Q59" s="250">
        <v>0</v>
      </c>
      <c r="R59" s="251">
        <v>0</v>
      </c>
      <c r="S59" s="252">
        <v>0</v>
      </c>
      <c r="T59" s="253">
        <v>0</v>
      </c>
      <c r="U59" s="251">
        <v>0</v>
      </c>
      <c r="V59" s="252">
        <v>0</v>
      </c>
      <c r="W59" s="253">
        <v>0</v>
      </c>
      <c r="X59" s="251">
        <v>0</v>
      </c>
      <c r="Y59" s="252">
        <v>0</v>
      </c>
      <c r="Z59" s="253">
        <v>0</v>
      </c>
      <c r="AA59" s="251">
        <v>0</v>
      </c>
      <c r="AB59" s="252">
        <v>0</v>
      </c>
      <c r="AC59" s="253">
        <v>0</v>
      </c>
      <c r="AD59" s="251">
        <v>0</v>
      </c>
      <c r="AE59" s="252">
        <v>0</v>
      </c>
      <c r="AF59" s="253">
        <v>0</v>
      </c>
      <c r="AG59" s="251">
        <v>0</v>
      </c>
      <c r="AH59" s="252">
        <v>0</v>
      </c>
      <c r="AI59" s="253">
        <v>0</v>
      </c>
      <c r="AJ59" s="251">
        <v>0</v>
      </c>
      <c r="AK59" s="252">
        <v>0</v>
      </c>
      <c r="AL59" s="253">
        <v>0</v>
      </c>
      <c r="AM59" s="251">
        <v>0</v>
      </c>
      <c r="AN59" s="252">
        <v>0</v>
      </c>
      <c r="AO59" s="253">
        <v>0</v>
      </c>
      <c r="AP59" s="251">
        <v>0</v>
      </c>
      <c r="AQ59" s="252">
        <v>0</v>
      </c>
      <c r="AR59" s="253">
        <v>0</v>
      </c>
      <c r="AS59" s="251">
        <v>0</v>
      </c>
      <c r="AT59" s="252">
        <v>0</v>
      </c>
      <c r="AU59" s="253">
        <v>0</v>
      </c>
      <c r="AV59" s="251">
        <v>0</v>
      </c>
      <c r="AW59" s="252">
        <v>0</v>
      </c>
      <c r="AX59" s="253">
        <v>0</v>
      </c>
      <c r="AY59" s="239">
        <v>0</v>
      </c>
      <c r="AZ59" s="240">
        <v>72.591151889790098</v>
      </c>
      <c r="BA59" s="240">
        <v>0</v>
      </c>
      <c r="BB59" s="240">
        <v>0</v>
      </c>
      <c r="BC59" s="240">
        <v>0</v>
      </c>
      <c r="BD59" s="240">
        <v>0</v>
      </c>
      <c r="BE59" s="240">
        <v>0</v>
      </c>
      <c r="BF59" s="240">
        <v>0</v>
      </c>
      <c r="BG59" s="240">
        <v>0</v>
      </c>
      <c r="BH59" s="241">
        <v>0</v>
      </c>
      <c r="BK59">
        <v>1</v>
      </c>
      <c r="BL59" s="268">
        <v>1</v>
      </c>
      <c r="BM59" s="268">
        <v>17844</v>
      </c>
      <c r="BN59" s="269">
        <v>10206</v>
      </c>
      <c r="BO59" s="269">
        <v>183</v>
      </c>
      <c r="BP59" s="269">
        <v>0</v>
      </c>
      <c r="BQ59" s="270">
        <v>0</v>
      </c>
      <c r="BR59" s="271"/>
      <c r="BS59" s="272"/>
      <c r="BT59" s="273">
        <v>1</v>
      </c>
      <c r="BU59" s="274">
        <v>3.4430039393564885E-2</v>
      </c>
      <c r="BV59" s="275">
        <v>0</v>
      </c>
      <c r="BW59" s="274">
        <v>0</v>
      </c>
      <c r="BX59" s="276">
        <v>100</v>
      </c>
      <c r="BY59" s="275">
        <v>0</v>
      </c>
      <c r="BZ59" s="274">
        <v>0</v>
      </c>
      <c r="CA59" s="276">
        <v>0.7799896347238181</v>
      </c>
      <c r="CB59" s="276">
        <v>0</v>
      </c>
      <c r="CC59" s="275">
        <v>1.2231921287759489</v>
      </c>
      <c r="CD59" s="276">
        <v>0</v>
      </c>
      <c r="CE59" s="276">
        <v>15.75582285931319</v>
      </c>
      <c r="CF59" s="276">
        <v>0</v>
      </c>
      <c r="CG59" s="275">
        <v>22.375154529945689</v>
      </c>
      <c r="CH59" s="274">
        <v>0</v>
      </c>
      <c r="CI59" s="276">
        <v>1.7295743514963051</v>
      </c>
      <c r="CJ59" s="276">
        <v>0</v>
      </c>
      <c r="CK59" s="275"/>
      <c r="CL59" s="274"/>
      <c r="CM59" s="276"/>
      <c r="CN59" s="275"/>
      <c r="CO59" s="277"/>
      <c r="CP59" s="278"/>
      <c r="CQ59" s="277"/>
      <c r="CR59" s="278"/>
      <c r="CS59" s="271"/>
      <c r="CT59" s="272"/>
      <c r="CU59" s="279"/>
      <c r="CV59" s="280"/>
    </row>
    <row r="60" spans="2:100">
      <c r="B60">
        <v>2</v>
      </c>
      <c r="C60" s="243">
        <v>1.0000000000001776</v>
      </c>
      <c r="D60" s="592">
        <v>0</v>
      </c>
      <c r="E60" s="245">
        <v>0</v>
      </c>
      <c r="F60" s="243">
        <v>0</v>
      </c>
      <c r="G60" s="245">
        <v>0</v>
      </c>
      <c r="H60" s="243">
        <v>0</v>
      </c>
      <c r="I60" s="245">
        <v>0</v>
      </c>
      <c r="J60" s="242">
        <v>0</v>
      </c>
      <c r="K60" s="242">
        <v>18.909051832636827</v>
      </c>
      <c r="L60" s="242">
        <v>5.0251256281407036E-3</v>
      </c>
      <c r="M60" s="243">
        <v>118.95569065934603</v>
      </c>
      <c r="N60" s="592">
        <v>34.99718368254301</v>
      </c>
      <c r="O60" s="245">
        <v>0.56685519436544352</v>
      </c>
      <c r="P60" s="245">
        <v>1.1902604251384639</v>
      </c>
      <c r="Q60" s="254">
        <v>0</v>
      </c>
      <c r="R60" s="255">
        <v>0</v>
      </c>
      <c r="S60" s="256">
        <v>0</v>
      </c>
      <c r="T60" s="257">
        <v>0</v>
      </c>
      <c r="U60" s="255">
        <v>0</v>
      </c>
      <c r="V60" s="256">
        <v>0</v>
      </c>
      <c r="W60" s="257">
        <v>0</v>
      </c>
      <c r="X60" s="255">
        <v>0</v>
      </c>
      <c r="Y60" s="256">
        <v>0</v>
      </c>
      <c r="Z60" s="257">
        <v>0</v>
      </c>
      <c r="AA60" s="255">
        <v>0</v>
      </c>
      <c r="AB60" s="256">
        <v>0</v>
      </c>
      <c r="AC60" s="257">
        <v>0</v>
      </c>
      <c r="AD60" s="255">
        <v>0</v>
      </c>
      <c r="AE60" s="256">
        <v>0</v>
      </c>
      <c r="AF60" s="257">
        <v>0</v>
      </c>
      <c r="AG60" s="255">
        <v>0</v>
      </c>
      <c r="AH60" s="256">
        <v>0</v>
      </c>
      <c r="AI60" s="257">
        <v>0</v>
      </c>
      <c r="AJ60" s="255">
        <v>0</v>
      </c>
      <c r="AK60" s="256">
        <v>0</v>
      </c>
      <c r="AL60" s="257">
        <v>0</v>
      </c>
      <c r="AM60" s="255">
        <v>0</v>
      </c>
      <c r="AN60" s="256">
        <v>0</v>
      </c>
      <c r="AO60" s="257">
        <v>0</v>
      </c>
      <c r="AP60" s="255">
        <v>0</v>
      </c>
      <c r="AQ60" s="256">
        <v>0</v>
      </c>
      <c r="AR60" s="257">
        <v>0</v>
      </c>
      <c r="AS60" s="255">
        <v>0</v>
      </c>
      <c r="AT60" s="256">
        <v>0</v>
      </c>
      <c r="AU60" s="257">
        <v>0</v>
      </c>
      <c r="AV60" s="255">
        <v>0</v>
      </c>
      <c r="AW60" s="256">
        <v>0</v>
      </c>
      <c r="AX60" s="257">
        <v>0</v>
      </c>
      <c r="AY60" s="243">
        <v>1</v>
      </c>
      <c r="AZ60" s="244">
        <v>73.094688167321024</v>
      </c>
      <c r="BA60" s="244">
        <v>0.50353627753065666</v>
      </c>
      <c r="BB60" s="244">
        <v>1.2119412898161916E-2</v>
      </c>
      <c r="BC60" s="244">
        <v>1.6434806836788367E-2</v>
      </c>
      <c r="BD60" s="244">
        <v>1.0126947227154361E-5</v>
      </c>
      <c r="BE60" s="244">
        <v>0</v>
      </c>
      <c r="BF60" s="244">
        <v>1.0313434044506232E-2</v>
      </c>
      <c r="BG60" s="244">
        <v>1.3961987988802315E-2</v>
      </c>
      <c r="BH60" s="245">
        <v>0.82914572864321612</v>
      </c>
      <c r="BK60">
        <v>2</v>
      </c>
      <c r="BL60" s="281">
        <v>0.99497487437185916</v>
      </c>
      <c r="BM60" s="281">
        <v>17754.331658291456</v>
      </c>
      <c r="BN60" s="282">
        <v>10173.62311557789</v>
      </c>
      <c r="BO60" s="282">
        <v>182.69346733668343</v>
      </c>
      <c r="BP60" s="282">
        <v>0</v>
      </c>
      <c r="BQ60" s="283">
        <v>0</v>
      </c>
      <c r="BR60" s="284"/>
      <c r="BS60" s="147"/>
      <c r="BT60" s="285">
        <v>1</v>
      </c>
      <c r="BU60" s="286">
        <v>3.4430039393564885E-2</v>
      </c>
      <c r="BV60" s="287">
        <v>0</v>
      </c>
      <c r="BW60" s="288">
        <v>0</v>
      </c>
      <c r="BX60" s="286">
        <v>100</v>
      </c>
      <c r="BY60" s="287">
        <v>0</v>
      </c>
      <c r="BZ60" s="288">
        <v>0</v>
      </c>
      <c r="CA60" s="286">
        <v>0.77990897307693963</v>
      </c>
      <c r="CB60" s="286">
        <v>0</v>
      </c>
      <c r="CC60" s="287">
        <v>1.2231563812927717</v>
      </c>
      <c r="CD60" s="286">
        <v>0</v>
      </c>
      <c r="CE60" s="286">
        <v>15.755729685177648</v>
      </c>
      <c r="CF60" s="286">
        <v>0</v>
      </c>
      <c r="CG60" s="287">
        <v>22.376369420608178</v>
      </c>
      <c r="CH60" s="288">
        <v>0</v>
      </c>
      <c r="CI60" s="286">
        <v>1.7299865370384659</v>
      </c>
      <c r="CJ60" s="286">
        <v>0</v>
      </c>
      <c r="CK60" s="287"/>
      <c r="CL60" s="288"/>
      <c r="CM60" s="286"/>
      <c r="CN60" s="287"/>
      <c r="CO60" s="289"/>
      <c r="CP60" s="290"/>
      <c r="CQ60" s="289"/>
      <c r="CR60" s="290"/>
      <c r="CS60" s="284"/>
      <c r="CT60" s="147"/>
      <c r="CU60" s="291"/>
      <c r="CV60" s="292"/>
    </row>
    <row r="61" spans="2:100">
      <c r="B61">
        <v>3</v>
      </c>
      <c r="C61" s="243">
        <v>1.0000000000001112</v>
      </c>
      <c r="D61" s="592">
        <v>0</v>
      </c>
      <c r="E61" s="245">
        <v>0</v>
      </c>
      <c r="F61" s="243">
        <v>0</v>
      </c>
      <c r="G61" s="245">
        <v>0</v>
      </c>
      <c r="H61" s="243">
        <v>0</v>
      </c>
      <c r="I61" s="245">
        <v>0</v>
      </c>
      <c r="J61" s="242">
        <v>0</v>
      </c>
      <c r="K61" s="242">
        <v>18.911011481648327</v>
      </c>
      <c r="L61" s="242">
        <v>5.0251256281407036E-3</v>
      </c>
      <c r="M61" s="243">
        <v>118.91792733668473</v>
      </c>
      <c r="N61" s="592">
        <v>34.968237889886616</v>
      </c>
      <c r="O61" s="245">
        <v>0.56683465551918977</v>
      </c>
      <c r="P61" s="245">
        <v>1.1903837783708837</v>
      </c>
      <c r="Q61" s="254">
        <v>0</v>
      </c>
      <c r="R61" s="255">
        <v>0</v>
      </c>
      <c r="S61" s="256">
        <v>0</v>
      </c>
      <c r="T61" s="257">
        <v>0</v>
      </c>
      <c r="U61" s="255">
        <v>0</v>
      </c>
      <c r="V61" s="256">
        <v>0</v>
      </c>
      <c r="W61" s="257">
        <v>0</v>
      </c>
      <c r="X61" s="255">
        <v>0</v>
      </c>
      <c r="Y61" s="256">
        <v>0</v>
      </c>
      <c r="Z61" s="257">
        <v>0</v>
      </c>
      <c r="AA61" s="255">
        <v>0</v>
      </c>
      <c r="AB61" s="256">
        <v>0</v>
      </c>
      <c r="AC61" s="257">
        <v>0</v>
      </c>
      <c r="AD61" s="255">
        <v>0</v>
      </c>
      <c r="AE61" s="256">
        <v>0</v>
      </c>
      <c r="AF61" s="257">
        <v>0</v>
      </c>
      <c r="AG61" s="255">
        <v>0</v>
      </c>
      <c r="AH61" s="256">
        <v>0</v>
      </c>
      <c r="AI61" s="257">
        <v>0</v>
      </c>
      <c r="AJ61" s="255">
        <v>0</v>
      </c>
      <c r="AK61" s="256">
        <v>0</v>
      </c>
      <c r="AL61" s="257">
        <v>0</v>
      </c>
      <c r="AM61" s="255">
        <v>0</v>
      </c>
      <c r="AN61" s="256">
        <v>0</v>
      </c>
      <c r="AO61" s="257">
        <v>0</v>
      </c>
      <c r="AP61" s="255">
        <v>0</v>
      </c>
      <c r="AQ61" s="256">
        <v>0</v>
      </c>
      <c r="AR61" s="257">
        <v>0</v>
      </c>
      <c r="AS61" s="255">
        <v>0</v>
      </c>
      <c r="AT61" s="256">
        <v>0</v>
      </c>
      <c r="AU61" s="257">
        <v>0</v>
      </c>
      <c r="AV61" s="255">
        <v>0</v>
      </c>
      <c r="AW61" s="256">
        <v>0</v>
      </c>
      <c r="AX61" s="257">
        <v>0</v>
      </c>
      <c r="AY61" s="243">
        <v>2</v>
      </c>
      <c r="AZ61" s="244">
        <v>75.595157450464228</v>
      </c>
      <c r="BA61" s="244">
        <v>2.5004692831435023</v>
      </c>
      <c r="BB61" s="244">
        <v>2.4176013703189118E-2</v>
      </c>
      <c r="BC61" s="244">
        <v>3.2784328047402903E-2</v>
      </c>
      <c r="BD61" s="244">
        <v>1.0074395162254888E-5</v>
      </c>
      <c r="BE61" s="244">
        <v>4.9297813767575624E-2</v>
      </c>
      <c r="BF61" s="244">
        <v>2.0455585671961218E-2</v>
      </c>
      <c r="BG61" s="244">
        <v>2.7638278347373611E-2</v>
      </c>
      <c r="BH61" s="245">
        <v>0.82914572864321612</v>
      </c>
      <c r="BK61">
        <v>3</v>
      </c>
      <c r="BL61" s="281">
        <v>0.98994974874371844</v>
      </c>
      <c r="BM61" s="281">
        <v>17664.663316582912</v>
      </c>
      <c r="BN61" s="282">
        <v>10141.246231155779</v>
      </c>
      <c r="BO61" s="282">
        <v>182.38693467336685</v>
      </c>
      <c r="BP61" s="282">
        <v>0</v>
      </c>
      <c r="BQ61" s="283">
        <v>0</v>
      </c>
      <c r="BR61" s="284"/>
      <c r="BS61" s="147"/>
      <c r="BT61" s="285">
        <v>1</v>
      </c>
      <c r="BU61" s="288">
        <v>3.4430039393564885E-2</v>
      </c>
      <c r="BV61" s="287">
        <v>0</v>
      </c>
      <c r="BW61" s="288">
        <v>0</v>
      </c>
      <c r="BX61" s="286">
        <v>100</v>
      </c>
      <c r="BY61" s="287">
        <v>0</v>
      </c>
      <c r="BZ61" s="288">
        <v>0</v>
      </c>
      <c r="CA61" s="286">
        <v>0.77982815519738669</v>
      </c>
      <c r="CB61" s="286">
        <v>0</v>
      </c>
      <c r="CC61" s="287">
        <v>1.2231206258345799</v>
      </c>
      <c r="CD61" s="286">
        <v>0</v>
      </c>
      <c r="CE61" s="286">
        <v>15.755633787058116</v>
      </c>
      <c r="CF61" s="286">
        <v>0</v>
      </c>
      <c r="CG61" s="287">
        <v>22.377584402960427</v>
      </c>
      <c r="CH61" s="288">
        <v>0</v>
      </c>
      <c r="CI61" s="286">
        <v>1.7304130180631201</v>
      </c>
      <c r="CJ61" s="286">
        <v>0</v>
      </c>
      <c r="CK61" s="287"/>
      <c r="CL61" s="288"/>
      <c r="CM61" s="286"/>
      <c r="CN61" s="287"/>
      <c r="CO61" s="289"/>
      <c r="CP61" s="290"/>
      <c r="CQ61" s="289"/>
      <c r="CR61" s="290"/>
      <c r="CS61" s="284"/>
      <c r="CT61" s="147"/>
      <c r="CU61" s="291"/>
      <c r="CV61" s="292"/>
    </row>
    <row r="62" spans="2:100">
      <c r="B62">
        <v>4</v>
      </c>
      <c r="C62" s="243">
        <v>1.0000000000000693</v>
      </c>
      <c r="D62" s="592">
        <v>0</v>
      </c>
      <c r="E62" s="245">
        <v>0</v>
      </c>
      <c r="F62" s="243">
        <v>0</v>
      </c>
      <c r="G62" s="245">
        <v>0</v>
      </c>
      <c r="H62" s="243">
        <v>0</v>
      </c>
      <c r="I62" s="245">
        <v>0</v>
      </c>
      <c r="J62" s="242">
        <v>0</v>
      </c>
      <c r="K62" s="242">
        <v>18.912975341778225</v>
      </c>
      <c r="L62" s="242">
        <v>5.0251256281407036E-3</v>
      </c>
      <c r="M62" s="243">
        <v>118.88031985112779</v>
      </c>
      <c r="N62" s="592">
        <v>34.939014557472582</v>
      </c>
      <c r="O62" s="245">
        <v>0.56681524141477824</v>
      </c>
      <c r="P62" s="245">
        <v>1.1905073966788673</v>
      </c>
      <c r="Q62" s="254">
        <v>0</v>
      </c>
      <c r="R62" s="255">
        <v>0</v>
      </c>
      <c r="S62" s="256">
        <v>0</v>
      </c>
      <c r="T62" s="257">
        <v>0</v>
      </c>
      <c r="U62" s="255">
        <v>0</v>
      </c>
      <c r="V62" s="256">
        <v>0</v>
      </c>
      <c r="W62" s="257">
        <v>0</v>
      </c>
      <c r="X62" s="255">
        <v>0</v>
      </c>
      <c r="Y62" s="256">
        <v>0</v>
      </c>
      <c r="Z62" s="257">
        <v>0</v>
      </c>
      <c r="AA62" s="255">
        <v>0</v>
      </c>
      <c r="AB62" s="256">
        <v>0</v>
      </c>
      <c r="AC62" s="257">
        <v>0</v>
      </c>
      <c r="AD62" s="255">
        <v>0</v>
      </c>
      <c r="AE62" s="256">
        <v>0</v>
      </c>
      <c r="AF62" s="257">
        <v>0</v>
      </c>
      <c r="AG62" s="255">
        <v>0</v>
      </c>
      <c r="AH62" s="256">
        <v>0</v>
      </c>
      <c r="AI62" s="257">
        <v>0</v>
      </c>
      <c r="AJ62" s="255">
        <v>0</v>
      </c>
      <c r="AK62" s="256">
        <v>0</v>
      </c>
      <c r="AL62" s="257">
        <v>0</v>
      </c>
      <c r="AM62" s="255">
        <v>0</v>
      </c>
      <c r="AN62" s="256">
        <v>0</v>
      </c>
      <c r="AO62" s="257">
        <v>0</v>
      </c>
      <c r="AP62" s="255">
        <v>0</v>
      </c>
      <c r="AQ62" s="256">
        <v>0</v>
      </c>
      <c r="AR62" s="257">
        <v>0</v>
      </c>
      <c r="AS62" s="255">
        <v>0</v>
      </c>
      <c r="AT62" s="256">
        <v>0</v>
      </c>
      <c r="AU62" s="257">
        <v>0</v>
      </c>
      <c r="AV62" s="255">
        <v>0</v>
      </c>
      <c r="AW62" s="256">
        <v>0</v>
      </c>
      <c r="AX62" s="257">
        <v>0</v>
      </c>
      <c r="AY62" s="243">
        <v>3</v>
      </c>
      <c r="AZ62" s="244">
        <v>78.306435811835584</v>
      </c>
      <c r="BA62" s="244">
        <v>2.7112783613711144</v>
      </c>
      <c r="BB62" s="244">
        <v>3.6258642262260922E-2</v>
      </c>
      <c r="BC62" s="244">
        <v>4.9168037244937207E-2</v>
      </c>
      <c r="BD62" s="244">
        <v>1.0095938627661799E-5</v>
      </c>
      <c r="BE62" s="244">
        <v>3.6745871980500208E-2</v>
      </c>
      <c r="BF62" s="244">
        <v>3.0494594077066221E-2</v>
      </c>
      <c r="BG62" s="244">
        <v>4.1121080383603875E-2</v>
      </c>
      <c r="BH62" s="245">
        <v>0.82914572864321612</v>
      </c>
      <c r="BK62">
        <v>4</v>
      </c>
      <c r="BL62" s="281">
        <v>0.9849246231155776</v>
      </c>
      <c r="BM62" s="281">
        <v>17574.994974874367</v>
      </c>
      <c r="BN62" s="282">
        <v>10108.869346733669</v>
      </c>
      <c r="BO62" s="282">
        <v>182.08040201005028</v>
      </c>
      <c r="BP62" s="282">
        <v>0</v>
      </c>
      <c r="BQ62" s="283">
        <v>0</v>
      </c>
      <c r="BR62" s="284"/>
      <c r="BS62" s="147"/>
      <c r="BT62" s="285">
        <v>1</v>
      </c>
      <c r="BU62" s="288">
        <v>3.4430039393564885E-2</v>
      </c>
      <c r="BV62" s="287">
        <v>0</v>
      </c>
      <c r="BW62" s="288">
        <v>0</v>
      </c>
      <c r="BX62" s="286">
        <v>100</v>
      </c>
      <c r="BY62" s="287">
        <v>0</v>
      </c>
      <c r="BZ62" s="288">
        <v>0</v>
      </c>
      <c r="CA62" s="286">
        <v>0.77974718044886149</v>
      </c>
      <c r="CB62" s="286">
        <v>0</v>
      </c>
      <c r="CC62" s="287">
        <v>1.2230848623811195</v>
      </c>
      <c r="CD62" s="286">
        <v>0</v>
      </c>
      <c r="CE62" s="286">
        <v>15.755535153340629</v>
      </c>
      <c r="CF62" s="286">
        <v>0</v>
      </c>
      <c r="CG62" s="287">
        <v>22.37879947689165</v>
      </c>
      <c r="CH62" s="288">
        <v>0</v>
      </c>
      <c r="CI62" s="286">
        <v>1.7308537779114752</v>
      </c>
      <c r="CJ62" s="286">
        <v>0</v>
      </c>
      <c r="CK62" s="287"/>
      <c r="CL62" s="288"/>
      <c r="CM62" s="286"/>
      <c r="CN62" s="287"/>
      <c r="CO62" s="289"/>
      <c r="CP62" s="290"/>
      <c r="CQ62" s="289"/>
      <c r="CR62" s="290"/>
      <c r="CS62" s="284"/>
      <c r="CT62" s="147"/>
      <c r="CU62" s="291"/>
      <c r="CV62" s="292"/>
    </row>
    <row r="63" spans="2:100">
      <c r="B63">
        <v>5</v>
      </c>
      <c r="C63" s="243">
        <v>1.0000000000000435</v>
      </c>
      <c r="D63" s="592">
        <v>0</v>
      </c>
      <c r="E63" s="245">
        <v>0</v>
      </c>
      <c r="F63" s="243">
        <v>0</v>
      </c>
      <c r="G63" s="245">
        <v>0</v>
      </c>
      <c r="H63" s="243">
        <v>0</v>
      </c>
      <c r="I63" s="245">
        <v>0</v>
      </c>
      <c r="J63" s="242">
        <v>0</v>
      </c>
      <c r="K63" s="242">
        <v>18.914943431050105</v>
      </c>
      <c r="L63" s="242">
        <v>5.0251256281407036E-3</v>
      </c>
      <c r="M63" s="243">
        <v>118.8428688730026</v>
      </c>
      <c r="N63" s="592">
        <v>34.909514928496989</v>
      </c>
      <c r="O63" s="245">
        <v>0.56679694656230395</v>
      </c>
      <c r="P63" s="245">
        <v>1.190631281196938</v>
      </c>
      <c r="Q63" s="254">
        <v>0</v>
      </c>
      <c r="R63" s="255">
        <v>0</v>
      </c>
      <c r="S63" s="256">
        <v>0</v>
      </c>
      <c r="T63" s="257">
        <v>0</v>
      </c>
      <c r="U63" s="255">
        <v>0</v>
      </c>
      <c r="V63" s="256">
        <v>0</v>
      </c>
      <c r="W63" s="257">
        <v>0</v>
      </c>
      <c r="X63" s="255">
        <v>0</v>
      </c>
      <c r="Y63" s="256">
        <v>0</v>
      </c>
      <c r="Z63" s="257">
        <v>0</v>
      </c>
      <c r="AA63" s="255">
        <v>0</v>
      </c>
      <c r="AB63" s="256">
        <v>0</v>
      </c>
      <c r="AC63" s="257">
        <v>0</v>
      </c>
      <c r="AD63" s="255">
        <v>0</v>
      </c>
      <c r="AE63" s="256">
        <v>0</v>
      </c>
      <c r="AF63" s="257">
        <v>0</v>
      </c>
      <c r="AG63" s="255">
        <v>0</v>
      </c>
      <c r="AH63" s="256">
        <v>0</v>
      </c>
      <c r="AI63" s="257">
        <v>0</v>
      </c>
      <c r="AJ63" s="255">
        <v>0</v>
      </c>
      <c r="AK63" s="256">
        <v>0</v>
      </c>
      <c r="AL63" s="257">
        <v>0</v>
      </c>
      <c r="AM63" s="255">
        <v>0</v>
      </c>
      <c r="AN63" s="256">
        <v>0</v>
      </c>
      <c r="AO63" s="257">
        <v>0</v>
      </c>
      <c r="AP63" s="255">
        <v>0</v>
      </c>
      <c r="AQ63" s="256">
        <v>0</v>
      </c>
      <c r="AR63" s="257">
        <v>0</v>
      </c>
      <c r="AS63" s="255">
        <v>0</v>
      </c>
      <c r="AT63" s="256">
        <v>0</v>
      </c>
      <c r="AU63" s="257">
        <v>0</v>
      </c>
      <c r="AV63" s="255">
        <v>0</v>
      </c>
      <c r="AW63" s="256">
        <v>0</v>
      </c>
      <c r="AX63" s="257">
        <v>0</v>
      </c>
      <c r="AY63" s="243">
        <v>4</v>
      </c>
      <c r="AZ63" s="244">
        <v>81.265515534267806</v>
      </c>
      <c r="BA63" s="244">
        <v>2.9590797224327616</v>
      </c>
      <c r="BB63" s="244">
        <v>4.8356720979004307E-2</v>
      </c>
      <c r="BC63" s="244">
        <v>6.5573471862000812E-2</v>
      </c>
      <c r="BD63" s="244">
        <v>1.0109513742743839E-5</v>
      </c>
      <c r="BE63" s="244">
        <v>3.2473222476836386E-2</v>
      </c>
      <c r="BF63" s="244">
        <v>4.0423235334864478E-2</v>
      </c>
      <c r="BG63" s="244">
        <v>5.440057569841459E-2</v>
      </c>
      <c r="BH63" s="245">
        <v>0.82914572864321612</v>
      </c>
      <c r="BK63">
        <v>5</v>
      </c>
      <c r="BL63" s="281">
        <v>0.97989949748743688</v>
      </c>
      <c r="BM63" s="281">
        <v>17485.326633165823</v>
      </c>
      <c r="BN63" s="282">
        <v>10076.492462311558</v>
      </c>
      <c r="BO63" s="282">
        <v>181.7738693467337</v>
      </c>
      <c r="BP63" s="282">
        <v>0</v>
      </c>
      <c r="BQ63" s="283">
        <v>0</v>
      </c>
      <c r="BR63" s="284"/>
      <c r="BS63" s="147"/>
      <c r="BT63" s="285">
        <v>1</v>
      </c>
      <c r="BU63" s="288">
        <v>3.4430039393564885E-2</v>
      </c>
      <c r="BV63" s="287">
        <v>0</v>
      </c>
      <c r="BW63" s="288">
        <v>0</v>
      </c>
      <c r="BX63" s="286">
        <v>100</v>
      </c>
      <c r="BY63" s="287">
        <v>0</v>
      </c>
      <c r="BZ63" s="288">
        <v>0</v>
      </c>
      <c r="CA63" s="286">
        <v>0.77966604819138396</v>
      </c>
      <c r="CB63" s="286">
        <v>0</v>
      </c>
      <c r="CC63" s="287">
        <v>1.2230490909120819</v>
      </c>
      <c r="CD63" s="286">
        <v>0</v>
      </c>
      <c r="CE63" s="286">
        <v>15.755433772343324</v>
      </c>
      <c r="CF63" s="286">
        <v>0</v>
      </c>
      <c r="CG63" s="287">
        <v>22.380014642290451</v>
      </c>
      <c r="CH63" s="288">
        <v>0</v>
      </c>
      <c r="CI63" s="286">
        <v>1.7313088003780908</v>
      </c>
      <c r="CJ63" s="286">
        <v>0</v>
      </c>
      <c r="CK63" s="287"/>
      <c r="CL63" s="288"/>
      <c r="CM63" s="286"/>
      <c r="CN63" s="287"/>
      <c r="CO63" s="289"/>
      <c r="CP63" s="290"/>
      <c r="CQ63" s="289"/>
      <c r="CR63" s="290"/>
      <c r="CS63" s="284"/>
      <c r="CT63" s="147"/>
      <c r="CU63" s="291"/>
      <c r="CV63" s="292"/>
    </row>
    <row r="64" spans="2:100">
      <c r="B64">
        <v>6</v>
      </c>
      <c r="C64" s="243">
        <v>1.0000000000000273</v>
      </c>
      <c r="D64" s="592">
        <v>0</v>
      </c>
      <c r="E64" s="245">
        <v>0</v>
      </c>
      <c r="F64" s="243">
        <v>0</v>
      </c>
      <c r="G64" s="245">
        <v>0</v>
      </c>
      <c r="H64" s="243">
        <v>0</v>
      </c>
      <c r="I64" s="245">
        <v>0</v>
      </c>
      <c r="J64" s="242">
        <v>0</v>
      </c>
      <c r="K64" s="242">
        <v>18.916915767596631</v>
      </c>
      <c r="L64" s="242">
        <v>5.0251256281407036E-3</v>
      </c>
      <c r="M64" s="243">
        <v>118.80557507680395</v>
      </c>
      <c r="N64" s="592">
        <v>34.879740248237958</v>
      </c>
      <c r="O64" s="245">
        <v>0.56677976541462982</v>
      </c>
      <c r="P64" s="245">
        <v>1.1907554330664849</v>
      </c>
      <c r="Q64" s="254">
        <v>0</v>
      </c>
      <c r="R64" s="255">
        <v>0</v>
      </c>
      <c r="S64" s="256">
        <v>0</v>
      </c>
      <c r="T64" s="257">
        <v>0</v>
      </c>
      <c r="U64" s="255">
        <v>0</v>
      </c>
      <c r="V64" s="256">
        <v>0</v>
      </c>
      <c r="W64" s="257">
        <v>0</v>
      </c>
      <c r="X64" s="255">
        <v>0</v>
      </c>
      <c r="Y64" s="256">
        <v>0</v>
      </c>
      <c r="Z64" s="257">
        <v>0</v>
      </c>
      <c r="AA64" s="255">
        <v>0</v>
      </c>
      <c r="AB64" s="256">
        <v>0</v>
      </c>
      <c r="AC64" s="257">
        <v>0</v>
      </c>
      <c r="AD64" s="255">
        <v>0</v>
      </c>
      <c r="AE64" s="256">
        <v>0</v>
      </c>
      <c r="AF64" s="257">
        <v>0</v>
      </c>
      <c r="AG64" s="255">
        <v>0</v>
      </c>
      <c r="AH64" s="256">
        <v>0</v>
      </c>
      <c r="AI64" s="257">
        <v>0</v>
      </c>
      <c r="AJ64" s="255">
        <v>0</v>
      </c>
      <c r="AK64" s="256">
        <v>0</v>
      </c>
      <c r="AL64" s="257">
        <v>0</v>
      </c>
      <c r="AM64" s="255">
        <v>0</v>
      </c>
      <c r="AN64" s="256">
        <v>0</v>
      </c>
      <c r="AO64" s="257">
        <v>0</v>
      </c>
      <c r="AP64" s="255">
        <v>0</v>
      </c>
      <c r="AQ64" s="256">
        <v>0</v>
      </c>
      <c r="AR64" s="257">
        <v>0</v>
      </c>
      <c r="AS64" s="255">
        <v>0</v>
      </c>
      <c r="AT64" s="256">
        <v>0</v>
      </c>
      <c r="AU64" s="257">
        <v>0</v>
      </c>
      <c r="AV64" s="255">
        <v>0</v>
      </c>
      <c r="AW64" s="256">
        <v>0</v>
      </c>
      <c r="AX64" s="257">
        <v>0</v>
      </c>
      <c r="AY64" s="243">
        <v>5</v>
      </c>
      <c r="AZ64" s="244">
        <v>84.498501399926681</v>
      </c>
      <c r="BA64" s="244">
        <v>3.2329858656585202</v>
      </c>
      <c r="BB64" s="244">
        <v>6.0459206351955563E-2</v>
      </c>
      <c r="BC64" s="244">
        <v>8.1984882065105055E-2</v>
      </c>
      <c r="BD64" s="244">
        <v>1.0114914926991355E-5</v>
      </c>
      <c r="BE64" s="244">
        <v>3.0266091612074768E-2</v>
      </c>
      <c r="BF64" s="244">
        <v>5.0234363700020934E-2</v>
      </c>
      <c r="BG64" s="244">
        <v>6.7467214726939506E-2</v>
      </c>
      <c r="BH64" s="245">
        <v>0.82914572864321612</v>
      </c>
      <c r="BK64">
        <v>6</v>
      </c>
      <c r="BL64" s="281">
        <v>0.97487437185929604</v>
      </c>
      <c r="BM64" s="281">
        <v>17395.658291457279</v>
      </c>
      <c r="BN64" s="282">
        <v>10044.115577889448</v>
      </c>
      <c r="BO64" s="282">
        <v>181.46733668341713</v>
      </c>
      <c r="BP64" s="282">
        <v>0</v>
      </c>
      <c r="BQ64" s="283">
        <v>0</v>
      </c>
      <c r="BR64" s="284"/>
      <c r="BS64" s="147"/>
      <c r="BT64" s="285">
        <v>1</v>
      </c>
      <c r="BU64" s="288">
        <v>3.4430039393564885E-2</v>
      </c>
      <c r="BV64" s="287">
        <v>0</v>
      </c>
      <c r="BW64" s="288">
        <v>0</v>
      </c>
      <c r="BX64" s="286">
        <v>100</v>
      </c>
      <c r="BY64" s="287">
        <v>0</v>
      </c>
      <c r="BZ64" s="288">
        <v>0</v>
      </c>
      <c r="CA64" s="286">
        <v>0.77958475778126501</v>
      </c>
      <c r="CB64" s="286">
        <v>0</v>
      </c>
      <c r="CC64" s="287">
        <v>1.2230133114071007</v>
      </c>
      <c r="CD64" s="286">
        <v>0</v>
      </c>
      <c r="CE64" s="286">
        <v>15.755329632315943</v>
      </c>
      <c r="CF64" s="286">
        <v>0</v>
      </c>
      <c r="CG64" s="287">
        <v>22.381229899044719</v>
      </c>
      <c r="CH64" s="288">
        <v>0</v>
      </c>
      <c r="CI64" s="286">
        <v>1.7317780697080962</v>
      </c>
      <c r="CJ64" s="286">
        <v>0</v>
      </c>
      <c r="CK64" s="287"/>
      <c r="CL64" s="288"/>
      <c r="CM64" s="286"/>
      <c r="CN64" s="287"/>
      <c r="CO64" s="289"/>
      <c r="CP64" s="290"/>
      <c r="CQ64" s="289"/>
      <c r="CR64" s="290"/>
      <c r="CS64" s="284"/>
      <c r="CT64" s="147"/>
      <c r="CU64" s="291"/>
      <c r="CV64" s="292"/>
    </row>
    <row r="65" spans="2:100">
      <c r="B65">
        <v>7</v>
      </c>
      <c r="C65" s="243">
        <v>1.0000000000000171</v>
      </c>
      <c r="D65" s="592">
        <v>0</v>
      </c>
      <c r="E65" s="245">
        <v>0</v>
      </c>
      <c r="F65" s="243">
        <v>0</v>
      </c>
      <c r="G65" s="245">
        <v>0</v>
      </c>
      <c r="H65" s="243">
        <v>0</v>
      </c>
      <c r="I65" s="245">
        <v>0</v>
      </c>
      <c r="J65" s="242">
        <v>0</v>
      </c>
      <c r="K65" s="242">
        <v>18.918892369660405</v>
      </c>
      <c r="L65" s="242">
        <v>5.0251256281407036E-3</v>
      </c>
      <c r="M65" s="243">
        <v>118.76843914123265</v>
      </c>
      <c r="N65" s="592">
        <v>34.849691764017841</v>
      </c>
      <c r="O65" s="245">
        <v>0.5667636923675694</v>
      </c>
      <c r="P65" s="245">
        <v>1.190879853435818</v>
      </c>
      <c r="Q65" s="254">
        <v>0</v>
      </c>
      <c r="R65" s="255">
        <v>0</v>
      </c>
      <c r="S65" s="256">
        <v>0</v>
      </c>
      <c r="T65" s="257">
        <v>0</v>
      </c>
      <c r="U65" s="255">
        <v>0</v>
      </c>
      <c r="V65" s="256">
        <v>0</v>
      </c>
      <c r="W65" s="257">
        <v>0</v>
      </c>
      <c r="X65" s="255">
        <v>0</v>
      </c>
      <c r="Y65" s="256">
        <v>0</v>
      </c>
      <c r="Z65" s="257">
        <v>0</v>
      </c>
      <c r="AA65" s="255">
        <v>0</v>
      </c>
      <c r="AB65" s="256">
        <v>0</v>
      </c>
      <c r="AC65" s="257">
        <v>0</v>
      </c>
      <c r="AD65" s="255">
        <v>0</v>
      </c>
      <c r="AE65" s="256">
        <v>0</v>
      </c>
      <c r="AF65" s="257">
        <v>0</v>
      </c>
      <c r="AG65" s="255">
        <v>0</v>
      </c>
      <c r="AH65" s="256">
        <v>0</v>
      </c>
      <c r="AI65" s="257">
        <v>0</v>
      </c>
      <c r="AJ65" s="255">
        <v>0</v>
      </c>
      <c r="AK65" s="256">
        <v>0</v>
      </c>
      <c r="AL65" s="257">
        <v>0</v>
      </c>
      <c r="AM65" s="255">
        <v>0</v>
      </c>
      <c r="AN65" s="256">
        <v>0</v>
      </c>
      <c r="AO65" s="257">
        <v>0</v>
      </c>
      <c r="AP65" s="255">
        <v>0</v>
      </c>
      <c r="AQ65" s="256">
        <v>0</v>
      </c>
      <c r="AR65" s="257">
        <v>0</v>
      </c>
      <c r="AS65" s="255">
        <v>0</v>
      </c>
      <c r="AT65" s="256">
        <v>0</v>
      </c>
      <c r="AU65" s="257">
        <v>0</v>
      </c>
      <c r="AV65" s="255">
        <v>0</v>
      </c>
      <c r="AW65" s="256">
        <v>0</v>
      </c>
      <c r="AX65" s="257">
        <v>0</v>
      </c>
      <c r="AY65" s="243">
        <v>6</v>
      </c>
      <c r="AZ65" s="244">
        <v>88.034402397587172</v>
      </c>
      <c r="BA65" s="244">
        <v>3.5359009976600646</v>
      </c>
      <c r="BB65" s="244">
        <v>7.2558850723892301E-2</v>
      </c>
      <c r="BC65" s="244">
        <v>9.8389419545091825E-2</v>
      </c>
      <c r="BD65" s="244">
        <v>1.0112027721324738E-5</v>
      </c>
      <c r="BE65" s="244">
        <v>2.8881800038555179E-2</v>
      </c>
      <c r="BF65" s="244">
        <v>5.9920989744407994E-2</v>
      </c>
      <c r="BG65" s="244">
        <v>8.03118278852617E-2</v>
      </c>
      <c r="BH65" s="245">
        <v>0.82914572864321612</v>
      </c>
      <c r="BK65">
        <v>7</v>
      </c>
      <c r="BL65" s="281">
        <v>0.96984924623115532</v>
      </c>
      <c r="BM65" s="281">
        <v>17305.989949748735</v>
      </c>
      <c r="BN65" s="282">
        <v>10011.738693467338</v>
      </c>
      <c r="BO65" s="282">
        <v>181.16080402010056</v>
      </c>
      <c r="BP65" s="282">
        <v>0</v>
      </c>
      <c r="BQ65" s="283">
        <v>0</v>
      </c>
      <c r="BR65" s="284"/>
      <c r="BS65" s="147"/>
      <c r="BT65" s="285">
        <v>1</v>
      </c>
      <c r="BU65" s="288">
        <v>3.4430039393564885E-2</v>
      </c>
      <c r="BV65" s="287">
        <v>0</v>
      </c>
      <c r="BW65" s="288">
        <v>0</v>
      </c>
      <c r="BX65" s="286">
        <v>100</v>
      </c>
      <c r="BY65" s="287">
        <v>0</v>
      </c>
      <c r="BZ65" s="288">
        <v>0</v>
      </c>
      <c r="CA65" s="286">
        <v>0.77950330857107841</v>
      </c>
      <c r="CB65" s="286">
        <v>0</v>
      </c>
      <c r="CC65" s="287">
        <v>1.2229775238457468</v>
      </c>
      <c r="CD65" s="286">
        <v>0</v>
      </c>
      <c r="CE65" s="286">
        <v>15.755222721439292</v>
      </c>
      <c r="CF65" s="286">
        <v>0</v>
      </c>
      <c r="CG65" s="287">
        <v>22.382445247041645</v>
      </c>
      <c r="CH65" s="288">
        <v>0</v>
      </c>
      <c r="CI65" s="286">
        <v>1.732261570594446</v>
      </c>
      <c r="CJ65" s="286">
        <v>0</v>
      </c>
      <c r="CK65" s="287"/>
      <c r="CL65" s="288"/>
      <c r="CM65" s="286"/>
      <c r="CN65" s="287"/>
      <c r="CO65" s="289"/>
      <c r="CP65" s="290"/>
      <c r="CQ65" s="289"/>
      <c r="CR65" s="290"/>
      <c r="CS65" s="284"/>
      <c r="CT65" s="147"/>
      <c r="CU65" s="291"/>
      <c r="CV65" s="292"/>
    </row>
    <row r="66" spans="2:100">
      <c r="B66">
        <v>8</v>
      </c>
      <c r="C66" s="243">
        <v>1.0000000000000109</v>
      </c>
      <c r="D66" s="592">
        <v>0</v>
      </c>
      <c r="E66" s="245">
        <v>0</v>
      </c>
      <c r="F66" s="243">
        <v>0</v>
      </c>
      <c r="G66" s="245">
        <v>0</v>
      </c>
      <c r="H66" s="243">
        <v>0</v>
      </c>
      <c r="I66" s="245">
        <v>0</v>
      </c>
      <c r="J66" s="242">
        <v>0</v>
      </c>
      <c r="K66" s="242">
        <v>18.920873255594845</v>
      </c>
      <c r="L66" s="242">
        <v>5.0251256281407036E-3</v>
      </c>
      <c r="M66" s="243">
        <v>118.73146174922555</v>
      </c>
      <c r="N66" s="592">
        <v>34.819370725167772</v>
      </c>
      <c r="O66" s="245">
        <v>0.56674872176005675</v>
      </c>
      <c r="P66" s="245">
        <v>1.1910045434602228</v>
      </c>
      <c r="Q66" s="254">
        <v>0</v>
      </c>
      <c r="R66" s="255">
        <v>0</v>
      </c>
      <c r="S66" s="256">
        <v>0</v>
      </c>
      <c r="T66" s="257">
        <v>0</v>
      </c>
      <c r="U66" s="255">
        <v>0</v>
      </c>
      <c r="V66" s="256">
        <v>0</v>
      </c>
      <c r="W66" s="257">
        <v>0</v>
      </c>
      <c r="X66" s="255">
        <v>0</v>
      </c>
      <c r="Y66" s="256">
        <v>0</v>
      </c>
      <c r="Z66" s="257">
        <v>0</v>
      </c>
      <c r="AA66" s="255">
        <v>0</v>
      </c>
      <c r="AB66" s="256">
        <v>0</v>
      </c>
      <c r="AC66" s="257">
        <v>0</v>
      </c>
      <c r="AD66" s="255">
        <v>0</v>
      </c>
      <c r="AE66" s="256">
        <v>0</v>
      </c>
      <c r="AF66" s="257">
        <v>0</v>
      </c>
      <c r="AG66" s="255">
        <v>0</v>
      </c>
      <c r="AH66" s="256">
        <v>0</v>
      </c>
      <c r="AI66" s="257">
        <v>0</v>
      </c>
      <c r="AJ66" s="255">
        <v>0</v>
      </c>
      <c r="AK66" s="256">
        <v>0</v>
      </c>
      <c r="AL66" s="257">
        <v>0</v>
      </c>
      <c r="AM66" s="255">
        <v>0</v>
      </c>
      <c r="AN66" s="256">
        <v>0</v>
      </c>
      <c r="AO66" s="257">
        <v>0</v>
      </c>
      <c r="AP66" s="255">
        <v>0</v>
      </c>
      <c r="AQ66" s="256">
        <v>0</v>
      </c>
      <c r="AR66" s="257">
        <v>0</v>
      </c>
      <c r="AS66" s="255">
        <v>0</v>
      </c>
      <c r="AT66" s="256">
        <v>0</v>
      </c>
      <c r="AU66" s="257">
        <v>0</v>
      </c>
      <c r="AV66" s="255">
        <v>0</v>
      </c>
      <c r="AW66" s="256">
        <v>0</v>
      </c>
      <c r="AX66" s="257">
        <v>0</v>
      </c>
      <c r="AY66" s="243">
        <v>7</v>
      </c>
      <c r="AZ66" s="244">
        <v>91.905462282222359</v>
      </c>
      <c r="BA66" s="244">
        <v>3.871059884635542</v>
      </c>
      <c r="BB66" s="244">
        <v>8.4642147320595162E-2</v>
      </c>
      <c r="BC66" s="244">
        <v>0.11477430610930672</v>
      </c>
      <c r="BD66" s="244">
        <v>1.01009714190738E-5</v>
      </c>
      <c r="BE66" s="244">
        <v>2.7906203467551415E-2</v>
      </c>
      <c r="BF66" s="244">
        <v>6.9476328523533207E-2</v>
      </c>
      <c r="BG66" s="244">
        <v>9.2925694576457704E-2</v>
      </c>
      <c r="BH66" s="245">
        <v>0.82914572864321612</v>
      </c>
      <c r="BK66">
        <v>8</v>
      </c>
      <c r="BL66" s="281">
        <v>0.96482412060301448</v>
      </c>
      <c r="BM66" s="281">
        <v>17216.321608040191</v>
      </c>
      <c r="BN66" s="282">
        <v>9979.3618090452273</v>
      </c>
      <c r="BO66" s="282">
        <v>180.85427135678398</v>
      </c>
      <c r="BP66" s="282">
        <v>0</v>
      </c>
      <c r="BQ66" s="283">
        <v>0</v>
      </c>
      <c r="BR66" s="284"/>
      <c r="BS66" s="147"/>
      <c r="BT66" s="285">
        <v>1</v>
      </c>
      <c r="BU66" s="288">
        <v>3.4430039393564885E-2</v>
      </c>
      <c r="BV66" s="287">
        <v>0</v>
      </c>
      <c r="BW66" s="288">
        <v>0</v>
      </c>
      <c r="BX66" s="286">
        <v>100</v>
      </c>
      <c r="BY66" s="287">
        <v>0</v>
      </c>
      <c r="BZ66" s="288">
        <v>0</v>
      </c>
      <c r="CA66" s="286">
        <v>0.77942169990963106</v>
      </c>
      <c r="CB66" s="286">
        <v>0</v>
      </c>
      <c r="CC66" s="287">
        <v>1.2229417282075321</v>
      </c>
      <c r="CD66" s="286">
        <v>0</v>
      </c>
      <c r="CE66" s="286">
        <v>15.755113027824741</v>
      </c>
      <c r="CF66" s="286">
        <v>0</v>
      </c>
      <c r="CG66" s="287">
        <v>22.383660686167712</v>
      </c>
      <c r="CH66" s="288">
        <v>0</v>
      </c>
      <c r="CI66" s="286">
        <v>1.7327592881751244</v>
      </c>
      <c r="CJ66" s="286">
        <v>0</v>
      </c>
      <c r="CK66" s="287"/>
      <c r="CL66" s="288"/>
      <c r="CM66" s="286"/>
      <c r="CN66" s="287"/>
      <c r="CO66" s="289"/>
      <c r="CP66" s="290"/>
      <c r="CQ66" s="289"/>
      <c r="CR66" s="290"/>
      <c r="CS66" s="284"/>
      <c r="CT66" s="147"/>
      <c r="CU66" s="291"/>
      <c r="CV66" s="292"/>
    </row>
    <row r="67" spans="2:100">
      <c r="B67">
        <v>9</v>
      </c>
      <c r="C67" s="243">
        <v>1.0000000000000067</v>
      </c>
      <c r="D67" s="592">
        <v>0</v>
      </c>
      <c r="E67" s="245">
        <v>0</v>
      </c>
      <c r="F67" s="243">
        <v>0</v>
      </c>
      <c r="G67" s="245">
        <v>0</v>
      </c>
      <c r="H67" s="243">
        <v>0</v>
      </c>
      <c r="I67" s="245">
        <v>0</v>
      </c>
      <c r="J67" s="242">
        <v>0</v>
      </c>
      <c r="K67" s="242">
        <v>18.922858443865096</v>
      </c>
      <c r="L67" s="242">
        <v>5.0251256281407036E-3</v>
      </c>
      <c r="M67" s="243">
        <v>118.69464358799816</v>
      </c>
      <c r="N67" s="592">
        <v>34.78877838298957</v>
      </c>
      <c r="O67" s="245">
        <v>0.56673484787431916</v>
      </c>
      <c r="P67" s="245">
        <v>1.1911295043020165</v>
      </c>
      <c r="Q67" s="254">
        <v>0</v>
      </c>
      <c r="R67" s="255">
        <v>0</v>
      </c>
      <c r="S67" s="256">
        <v>0</v>
      </c>
      <c r="T67" s="257">
        <v>0</v>
      </c>
      <c r="U67" s="255">
        <v>0</v>
      </c>
      <c r="V67" s="256">
        <v>0</v>
      </c>
      <c r="W67" s="257">
        <v>0</v>
      </c>
      <c r="X67" s="255">
        <v>0</v>
      </c>
      <c r="Y67" s="256">
        <v>0</v>
      </c>
      <c r="Z67" s="257">
        <v>0</v>
      </c>
      <c r="AA67" s="255">
        <v>0</v>
      </c>
      <c r="AB67" s="256">
        <v>0</v>
      </c>
      <c r="AC67" s="257">
        <v>0</v>
      </c>
      <c r="AD67" s="255">
        <v>0</v>
      </c>
      <c r="AE67" s="256">
        <v>0</v>
      </c>
      <c r="AF67" s="257">
        <v>0</v>
      </c>
      <c r="AG67" s="255">
        <v>0</v>
      </c>
      <c r="AH67" s="256">
        <v>0</v>
      </c>
      <c r="AI67" s="257">
        <v>0</v>
      </c>
      <c r="AJ67" s="255">
        <v>0</v>
      </c>
      <c r="AK67" s="256">
        <v>0</v>
      </c>
      <c r="AL67" s="257">
        <v>0</v>
      </c>
      <c r="AM67" s="255">
        <v>0</v>
      </c>
      <c r="AN67" s="256">
        <v>0</v>
      </c>
      <c r="AO67" s="257">
        <v>0</v>
      </c>
      <c r="AP67" s="255">
        <v>0</v>
      </c>
      <c r="AQ67" s="256">
        <v>0</v>
      </c>
      <c r="AR67" s="257">
        <v>0</v>
      </c>
      <c r="AS67" s="255">
        <v>0</v>
      </c>
      <c r="AT67" s="256">
        <v>0</v>
      </c>
      <c r="AU67" s="257">
        <v>0</v>
      </c>
      <c r="AV67" s="255">
        <v>0</v>
      </c>
      <c r="AW67" s="256">
        <v>0</v>
      </c>
      <c r="AX67" s="257">
        <v>0</v>
      </c>
      <c r="AY67" s="243">
        <v>8</v>
      </c>
      <c r="AZ67" s="244">
        <v>96.147518708518064</v>
      </c>
      <c r="BA67" s="244">
        <v>4.2420564262956759</v>
      </c>
      <c r="BB67" s="244">
        <v>9.6698668274261004E-2</v>
      </c>
      <c r="BC67" s="244">
        <v>0.13112024993615048</v>
      </c>
      <c r="BD67" s="244">
        <v>1.0081442617842687E-5</v>
      </c>
      <c r="BE67" s="244">
        <v>2.7161898273612709E-2</v>
      </c>
      <c r="BF67" s="244">
        <v>7.889384710888396E-2</v>
      </c>
      <c r="BG67" s="244">
        <v>0.10530060951842624</v>
      </c>
      <c r="BH67" s="245">
        <v>0.82914572864321612</v>
      </c>
      <c r="BK67">
        <v>9</v>
      </c>
      <c r="BL67" s="281">
        <v>0.95979899497487375</v>
      </c>
      <c r="BM67" s="281">
        <v>17126.653266331647</v>
      </c>
      <c r="BN67" s="282">
        <v>9946.984924623117</v>
      </c>
      <c r="BO67" s="282">
        <v>180.54773869346741</v>
      </c>
      <c r="BP67" s="282">
        <v>0</v>
      </c>
      <c r="BQ67" s="283">
        <v>0</v>
      </c>
      <c r="BR67" s="284"/>
      <c r="BS67" s="147"/>
      <c r="BT67" s="285">
        <v>1</v>
      </c>
      <c r="BU67" s="288">
        <v>3.4430039393564885E-2</v>
      </c>
      <c r="BV67" s="287">
        <v>0</v>
      </c>
      <c r="BW67" s="288">
        <v>0</v>
      </c>
      <c r="BX67" s="286">
        <v>100</v>
      </c>
      <c r="BY67" s="287">
        <v>0</v>
      </c>
      <c r="BZ67" s="288">
        <v>0</v>
      </c>
      <c r="CA67" s="286">
        <v>0.77933993114193534</v>
      </c>
      <c r="CB67" s="286">
        <v>0</v>
      </c>
      <c r="CC67" s="287">
        <v>1.2229059244719078</v>
      </c>
      <c r="CD67" s="286">
        <v>0</v>
      </c>
      <c r="CE67" s="286">
        <v>15.75500053951364</v>
      </c>
      <c r="CF67" s="286">
        <v>0</v>
      </c>
      <c r="CG67" s="287">
        <v>22.384876216308715</v>
      </c>
      <c r="CH67" s="288">
        <v>0</v>
      </c>
      <c r="CI67" s="286">
        <v>1.7332712080304995</v>
      </c>
      <c r="CJ67" s="286">
        <v>0</v>
      </c>
      <c r="CK67" s="287"/>
      <c r="CL67" s="288"/>
      <c r="CM67" s="286"/>
      <c r="CN67" s="287"/>
      <c r="CO67" s="289"/>
      <c r="CP67" s="290"/>
      <c r="CQ67" s="289"/>
      <c r="CR67" s="290"/>
      <c r="CS67" s="284"/>
      <c r="CT67" s="147"/>
      <c r="CU67" s="291"/>
      <c r="CV67" s="292"/>
    </row>
    <row r="68" spans="2:100">
      <c r="B68">
        <v>10</v>
      </c>
      <c r="C68" s="243">
        <v>1.0000000000000042</v>
      </c>
      <c r="D68" s="592">
        <v>0</v>
      </c>
      <c r="E68" s="245">
        <v>0</v>
      </c>
      <c r="F68" s="243">
        <v>0</v>
      </c>
      <c r="G68" s="245">
        <v>0</v>
      </c>
      <c r="H68" s="243">
        <v>0</v>
      </c>
      <c r="I68" s="245">
        <v>0</v>
      </c>
      <c r="J68" s="242">
        <v>0</v>
      </c>
      <c r="K68" s="242">
        <v>18.924847953048847</v>
      </c>
      <c r="L68" s="242">
        <v>5.0251256281407036E-3</v>
      </c>
      <c r="M68" s="243">
        <v>118.65798534907526</v>
      </c>
      <c r="N68" s="592">
        <v>34.757915990720022</v>
      </c>
      <c r="O68" s="245">
        <v>0.56672206493603572</v>
      </c>
      <c r="P68" s="245">
        <v>1.1912547371306019</v>
      </c>
      <c r="Q68" s="254">
        <v>0</v>
      </c>
      <c r="R68" s="255">
        <v>0</v>
      </c>
      <c r="S68" s="256">
        <v>0</v>
      </c>
      <c r="T68" s="257">
        <v>0</v>
      </c>
      <c r="U68" s="255">
        <v>0</v>
      </c>
      <c r="V68" s="256">
        <v>0</v>
      </c>
      <c r="W68" s="257">
        <v>0</v>
      </c>
      <c r="X68" s="255">
        <v>0</v>
      </c>
      <c r="Y68" s="256">
        <v>0</v>
      </c>
      <c r="Z68" s="257">
        <v>0</v>
      </c>
      <c r="AA68" s="255">
        <v>0</v>
      </c>
      <c r="AB68" s="256">
        <v>0</v>
      </c>
      <c r="AC68" s="257">
        <v>0</v>
      </c>
      <c r="AD68" s="255">
        <v>0</v>
      </c>
      <c r="AE68" s="256">
        <v>0</v>
      </c>
      <c r="AF68" s="257">
        <v>0</v>
      </c>
      <c r="AG68" s="255">
        <v>0</v>
      </c>
      <c r="AH68" s="256">
        <v>0</v>
      </c>
      <c r="AI68" s="257">
        <v>0</v>
      </c>
      <c r="AJ68" s="255">
        <v>0</v>
      </c>
      <c r="AK68" s="256">
        <v>0</v>
      </c>
      <c r="AL68" s="257">
        <v>0</v>
      </c>
      <c r="AM68" s="255">
        <v>0</v>
      </c>
      <c r="AN68" s="256">
        <v>0</v>
      </c>
      <c r="AO68" s="257">
        <v>0</v>
      </c>
      <c r="AP68" s="255">
        <v>0</v>
      </c>
      <c r="AQ68" s="256">
        <v>0</v>
      </c>
      <c r="AR68" s="257">
        <v>0</v>
      </c>
      <c r="AS68" s="255">
        <v>0</v>
      </c>
      <c r="AT68" s="256">
        <v>0</v>
      </c>
      <c r="AU68" s="257">
        <v>0</v>
      </c>
      <c r="AV68" s="255">
        <v>0</v>
      </c>
      <c r="AW68" s="256">
        <v>0</v>
      </c>
      <c r="AX68" s="257">
        <v>0</v>
      </c>
      <c r="AY68" s="243">
        <v>9</v>
      </c>
      <c r="AZ68" s="244">
        <v>100.80040027627047</v>
      </c>
      <c r="BA68" s="244">
        <v>4.6528815677529565</v>
      </c>
      <c r="BB68" s="244">
        <v>0.10872060099064976</v>
      </c>
      <c r="BC68" s="244">
        <v>0.1474200355889497</v>
      </c>
      <c r="BD68" s="244">
        <v>1.0053478131501675E-5</v>
      </c>
      <c r="BE68" s="244">
        <v>2.6560272450026314E-2</v>
      </c>
      <c r="BF68" s="244">
        <v>8.8167310642349797E-2</v>
      </c>
      <c r="BG68" s="244">
        <v>0.11742894514108485</v>
      </c>
      <c r="BH68" s="245">
        <v>0.82914572864321612</v>
      </c>
      <c r="BK68">
        <v>10</v>
      </c>
      <c r="BL68" s="281">
        <v>0.95477386934673292</v>
      </c>
      <c r="BM68" s="281">
        <v>17036.984924623102</v>
      </c>
      <c r="BN68" s="282">
        <v>9914.6080402010066</v>
      </c>
      <c r="BO68" s="282">
        <v>180.24120603015083</v>
      </c>
      <c r="BP68" s="282">
        <v>0</v>
      </c>
      <c r="BQ68" s="283">
        <v>0</v>
      </c>
      <c r="BR68" s="284"/>
      <c r="BS68" s="147"/>
      <c r="BT68" s="285">
        <v>1</v>
      </c>
      <c r="BU68" s="288">
        <v>3.4430039393564885E-2</v>
      </c>
      <c r="BV68" s="287">
        <v>0</v>
      </c>
      <c r="BW68" s="288">
        <v>0</v>
      </c>
      <c r="BX68" s="286">
        <v>100</v>
      </c>
      <c r="BY68" s="287">
        <v>0</v>
      </c>
      <c r="BZ68" s="288">
        <v>0</v>
      </c>
      <c r="CA68" s="286">
        <v>0.77925800160917924</v>
      </c>
      <c r="CB68" s="286">
        <v>0</v>
      </c>
      <c r="CC68" s="287">
        <v>1.2228701126182702</v>
      </c>
      <c r="CD68" s="286">
        <v>0</v>
      </c>
      <c r="CE68" s="286">
        <v>15.754885244476853</v>
      </c>
      <c r="CF68" s="286">
        <v>0</v>
      </c>
      <c r="CG68" s="287">
        <v>22.386091837349785</v>
      </c>
      <c r="CH68" s="288">
        <v>0</v>
      </c>
      <c r="CI68" s="286">
        <v>1.7337973161805953</v>
      </c>
      <c r="CJ68" s="286">
        <v>0</v>
      </c>
      <c r="CK68" s="287"/>
      <c r="CL68" s="288"/>
      <c r="CM68" s="286"/>
      <c r="CN68" s="287"/>
      <c r="CO68" s="289"/>
      <c r="CP68" s="290"/>
      <c r="CQ68" s="289"/>
      <c r="CR68" s="290"/>
      <c r="CS68" s="284"/>
      <c r="CT68" s="147"/>
      <c r="CU68" s="291"/>
      <c r="CV68" s="292"/>
    </row>
    <row r="69" spans="2:100">
      <c r="B69">
        <v>11</v>
      </c>
      <c r="C69" s="243">
        <v>1.0000000000000024</v>
      </c>
      <c r="D69" s="592">
        <v>0</v>
      </c>
      <c r="E69" s="245">
        <v>0</v>
      </c>
      <c r="F69" s="243">
        <v>0</v>
      </c>
      <c r="G69" s="245">
        <v>0</v>
      </c>
      <c r="H69" s="243">
        <v>0</v>
      </c>
      <c r="I69" s="245">
        <v>0</v>
      </c>
      <c r="J69" s="242">
        <v>0</v>
      </c>
      <c r="K69" s="242">
        <v>18.926841801837323</v>
      </c>
      <c r="L69" s="242">
        <v>5.0251256281407036E-3</v>
      </c>
      <c r="M69" s="243">
        <v>118.62148772832225</v>
      </c>
      <c r="N69" s="592">
        <v>34.726784803493487</v>
      </c>
      <c r="O69" s="245">
        <v>0.56671036711449796</v>
      </c>
      <c r="P69" s="245">
        <v>1.191380243122528</v>
      </c>
      <c r="Q69" s="254">
        <v>0</v>
      </c>
      <c r="R69" s="255">
        <v>0</v>
      </c>
      <c r="S69" s="256">
        <v>0</v>
      </c>
      <c r="T69" s="257">
        <v>0</v>
      </c>
      <c r="U69" s="255">
        <v>0</v>
      </c>
      <c r="V69" s="256">
        <v>0</v>
      </c>
      <c r="W69" s="257">
        <v>0</v>
      </c>
      <c r="X69" s="255">
        <v>0</v>
      </c>
      <c r="Y69" s="256">
        <v>0</v>
      </c>
      <c r="Z69" s="257">
        <v>0</v>
      </c>
      <c r="AA69" s="255">
        <v>0</v>
      </c>
      <c r="AB69" s="256">
        <v>0</v>
      </c>
      <c r="AC69" s="257">
        <v>0</v>
      </c>
      <c r="AD69" s="255">
        <v>0</v>
      </c>
      <c r="AE69" s="256">
        <v>0</v>
      </c>
      <c r="AF69" s="257">
        <v>0</v>
      </c>
      <c r="AG69" s="255">
        <v>0</v>
      </c>
      <c r="AH69" s="256">
        <v>0</v>
      </c>
      <c r="AI69" s="257">
        <v>0</v>
      </c>
      <c r="AJ69" s="255">
        <v>0</v>
      </c>
      <c r="AK69" s="256">
        <v>0</v>
      </c>
      <c r="AL69" s="257">
        <v>0</v>
      </c>
      <c r="AM69" s="255">
        <v>0</v>
      </c>
      <c r="AN69" s="256">
        <v>0</v>
      </c>
      <c r="AO69" s="257">
        <v>0</v>
      </c>
      <c r="AP69" s="255">
        <v>0</v>
      </c>
      <c r="AQ69" s="256">
        <v>0</v>
      </c>
      <c r="AR69" s="257">
        <v>0</v>
      </c>
      <c r="AS69" s="255">
        <v>0</v>
      </c>
      <c r="AT69" s="256">
        <v>0</v>
      </c>
      <c r="AU69" s="257">
        <v>0</v>
      </c>
      <c r="AV69" s="255">
        <v>0</v>
      </c>
      <c r="AW69" s="256">
        <v>0</v>
      </c>
      <c r="AX69" s="257">
        <v>0</v>
      </c>
      <c r="AY69" s="258">
        <v>10</v>
      </c>
      <c r="AZ69" s="259">
        <v>105.90836513657591</v>
      </c>
      <c r="BA69" s="259">
        <v>5.1079648603054011</v>
      </c>
      <c r="BB69" s="259">
        <v>0.12069168203394498</v>
      </c>
      <c r="BC69" s="259">
        <v>0.1636522600005178</v>
      </c>
      <c r="BD69" s="259">
        <v>1.0017168371030492E-5</v>
      </c>
      <c r="BE69" s="259">
        <v>2.6052188637777751E-2</v>
      </c>
      <c r="BF69" s="259">
        <v>9.7290826065732874E-2</v>
      </c>
      <c r="BG69" s="259">
        <v>0.12930370884051295</v>
      </c>
      <c r="BH69" s="260">
        <v>0.82914572864321612</v>
      </c>
      <c r="BK69">
        <v>11</v>
      </c>
      <c r="BL69" s="281">
        <v>0.94974874371859219</v>
      </c>
      <c r="BM69" s="281">
        <v>16947.316582914558</v>
      </c>
      <c r="BN69" s="282">
        <v>9882.2311557788962</v>
      </c>
      <c r="BO69" s="282">
        <v>179.93467336683426</v>
      </c>
      <c r="BP69" s="282">
        <v>0</v>
      </c>
      <c r="BQ69" s="283">
        <v>0</v>
      </c>
      <c r="BR69" s="284"/>
      <c r="BS69" s="147"/>
      <c r="BT69" s="285">
        <v>1</v>
      </c>
      <c r="BU69" s="288">
        <v>3.4430039393564885E-2</v>
      </c>
      <c r="BV69" s="287">
        <v>0</v>
      </c>
      <c r="BW69" s="288">
        <v>0</v>
      </c>
      <c r="BX69" s="286">
        <v>100</v>
      </c>
      <c r="BY69" s="287">
        <v>0</v>
      </c>
      <c r="BZ69" s="288">
        <v>0</v>
      </c>
      <c r="CA69" s="286">
        <v>0.77917591064869629</v>
      </c>
      <c r="CB69" s="286">
        <v>0</v>
      </c>
      <c r="CC69" s="287">
        <v>1.222834292625945</v>
      </c>
      <c r="CD69" s="286">
        <v>0</v>
      </c>
      <c r="CE69" s="286">
        <v>15.754767130614123</v>
      </c>
      <c r="CF69" s="286">
        <v>0</v>
      </c>
      <c r="CG69" s="287">
        <v>22.387307549175247</v>
      </c>
      <c r="CH69" s="288">
        <v>0</v>
      </c>
      <c r="CI69" s="286">
        <v>1.7343375990825127</v>
      </c>
      <c r="CJ69" s="286">
        <v>0</v>
      </c>
      <c r="CK69" s="287"/>
      <c r="CL69" s="288"/>
      <c r="CM69" s="286"/>
      <c r="CN69" s="287"/>
      <c r="CO69" s="289"/>
      <c r="CP69" s="290"/>
      <c r="CQ69" s="289"/>
      <c r="CR69" s="290"/>
      <c r="CS69" s="284"/>
      <c r="CT69" s="147"/>
      <c r="CU69" s="291"/>
      <c r="CV69" s="292"/>
    </row>
    <row r="70" spans="2:100">
      <c r="B70">
        <v>12</v>
      </c>
      <c r="C70" s="243">
        <v>1.0000000000000016</v>
      </c>
      <c r="D70" s="592">
        <v>0</v>
      </c>
      <c r="E70" s="245">
        <v>0</v>
      </c>
      <c r="F70" s="243">
        <v>0</v>
      </c>
      <c r="G70" s="245">
        <v>0</v>
      </c>
      <c r="H70" s="243">
        <v>0</v>
      </c>
      <c r="I70" s="245">
        <v>0</v>
      </c>
      <c r="J70" s="242">
        <v>0</v>
      </c>
      <c r="K70" s="242">
        <v>18.928840009036065</v>
      </c>
      <c r="L70" s="242">
        <v>5.0251256281407036E-3</v>
      </c>
      <c r="M70" s="243">
        <v>118.58515142598547</v>
      </c>
      <c r="N70" s="592">
        <v>34.695386078306875</v>
      </c>
      <c r="O70" s="245">
        <v>0.56669974852275506</v>
      </c>
      <c r="P70" s="245">
        <v>1.1915060234615391</v>
      </c>
      <c r="Q70" s="254">
        <v>0</v>
      </c>
      <c r="R70" s="255">
        <v>0</v>
      </c>
      <c r="S70" s="256">
        <v>0</v>
      </c>
      <c r="T70" s="257">
        <v>0</v>
      </c>
      <c r="U70" s="255">
        <v>0</v>
      </c>
      <c r="V70" s="256">
        <v>0</v>
      </c>
      <c r="W70" s="257">
        <v>0</v>
      </c>
      <c r="X70" s="255">
        <v>0</v>
      </c>
      <c r="Y70" s="256">
        <v>0</v>
      </c>
      <c r="Z70" s="257">
        <v>0</v>
      </c>
      <c r="AA70" s="255">
        <v>0</v>
      </c>
      <c r="AB70" s="256">
        <v>0</v>
      </c>
      <c r="AC70" s="257">
        <v>0</v>
      </c>
      <c r="AD70" s="255">
        <v>0</v>
      </c>
      <c r="AE70" s="256">
        <v>0</v>
      </c>
      <c r="AF70" s="257">
        <v>0</v>
      </c>
      <c r="AG70" s="255">
        <v>0</v>
      </c>
      <c r="AH70" s="256">
        <v>0</v>
      </c>
      <c r="AI70" s="257">
        <v>0</v>
      </c>
      <c r="AJ70" s="255">
        <v>0</v>
      </c>
      <c r="AK70" s="256">
        <v>0</v>
      </c>
      <c r="AL70" s="257">
        <v>0</v>
      </c>
      <c r="AM70" s="255">
        <v>0</v>
      </c>
      <c r="AN70" s="256">
        <v>0</v>
      </c>
      <c r="AO70" s="257">
        <v>0</v>
      </c>
      <c r="AP70" s="255">
        <v>0</v>
      </c>
      <c r="AQ70" s="256">
        <v>0</v>
      </c>
      <c r="AR70" s="257">
        <v>0</v>
      </c>
      <c r="AS70" s="255">
        <v>0</v>
      </c>
      <c r="AT70" s="256">
        <v>0</v>
      </c>
      <c r="AU70" s="257">
        <v>0</v>
      </c>
      <c r="AV70" s="255">
        <v>0</v>
      </c>
      <c r="AW70" s="256">
        <v>0</v>
      </c>
      <c r="AX70" s="257">
        <v>0</v>
      </c>
      <c r="AY70" s="261">
        <v>0</v>
      </c>
      <c r="AZ70" s="262">
        <v>0</v>
      </c>
      <c r="BA70" s="262">
        <v>0</v>
      </c>
      <c r="BB70" s="262">
        <v>0</v>
      </c>
      <c r="BC70" s="262">
        <v>0</v>
      </c>
      <c r="BD70" s="262">
        <v>0</v>
      </c>
      <c r="BE70" s="262">
        <v>0</v>
      </c>
      <c r="BF70" s="262">
        <v>0</v>
      </c>
      <c r="BG70" s="262">
        <v>0</v>
      </c>
      <c r="BH70" s="263">
        <v>0</v>
      </c>
      <c r="BK70">
        <v>12</v>
      </c>
      <c r="BL70" s="281">
        <v>0.94472361809045136</v>
      </c>
      <c r="BM70" s="281">
        <v>16857.648241206014</v>
      </c>
      <c r="BN70" s="282">
        <v>9849.8542713567858</v>
      </c>
      <c r="BO70" s="282">
        <v>179.62814070351769</v>
      </c>
      <c r="BP70" s="282">
        <v>0</v>
      </c>
      <c r="BQ70" s="283">
        <v>0</v>
      </c>
      <c r="BR70" s="284"/>
      <c r="BS70" s="147"/>
      <c r="BT70" s="285">
        <v>1</v>
      </c>
      <c r="BU70" s="288">
        <v>3.4430039393564885E-2</v>
      </c>
      <c r="BV70" s="287">
        <v>0</v>
      </c>
      <c r="BW70" s="288">
        <v>0</v>
      </c>
      <c r="BX70" s="286">
        <v>100</v>
      </c>
      <c r="BY70" s="287">
        <v>0</v>
      </c>
      <c r="BZ70" s="288">
        <v>0</v>
      </c>
      <c r="CA70" s="286">
        <v>0.77909365759393967</v>
      </c>
      <c r="CB70" s="286">
        <v>0</v>
      </c>
      <c r="CC70" s="287">
        <v>1.2227984644742009</v>
      </c>
      <c r="CD70" s="286">
        <v>0</v>
      </c>
      <c r="CE70" s="286">
        <v>15.754646185753639</v>
      </c>
      <c r="CF70" s="286">
        <v>0</v>
      </c>
      <c r="CG70" s="287">
        <v>22.388523351668773</v>
      </c>
      <c r="CH70" s="288">
        <v>0</v>
      </c>
      <c r="CI70" s="286">
        <v>1.7348920436277433</v>
      </c>
      <c r="CJ70" s="286">
        <v>0</v>
      </c>
      <c r="CK70" s="287"/>
      <c r="CL70" s="288"/>
      <c r="CM70" s="286"/>
      <c r="CN70" s="287"/>
      <c r="CO70" s="289"/>
      <c r="CP70" s="290"/>
      <c r="CQ70" s="289"/>
      <c r="CR70" s="290"/>
      <c r="CS70" s="284"/>
      <c r="CT70" s="147"/>
      <c r="CU70" s="291"/>
      <c r="CV70" s="292"/>
    </row>
    <row r="71" spans="2:100">
      <c r="B71">
        <v>13</v>
      </c>
      <c r="C71" s="243">
        <v>1.0000000000000011</v>
      </c>
      <c r="D71" s="592">
        <v>0</v>
      </c>
      <c r="E71" s="245">
        <v>0</v>
      </c>
      <c r="F71" s="243">
        <v>0</v>
      </c>
      <c r="G71" s="245">
        <v>0</v>
      </c>
      <c r="H71" s="243">
        <v>0</v>
      </c>
      <c r="I71" s="245">
        <v>0</v>
      </c>
      <c r="J71" s="242">
        <v>0</v>
      </c>
      <c r="K71" s="242">
        <v>18.93084259356602</v>
      </c>
      <c r="L71" s="242">
        <v>5.0251256281407036E-3</v>
      </c>
      <c r="M71" s="243">
        <v>118.54897714673987</v>
      </c>
      <c r="N71" s="592">
        <v>34.663721073981968</v>
      </c>
      <c r="O71" s="245">
        <v>0.56669020321776065</v>
      </c>
      <c r="P71" s="245">
        <v>1.1916320793386446</v>
      </c>
      <c r="Q71" s="254">
        <v>0</v>
      </c>
      <c r="R71" s="255">
        <v>0</v>
      </c>
      <c r="S71" s="256">
        <v>0</v>
      </c>
      <c r="T71" s="257">
        <v>0</v>
      </c>
      <c r="U71" s="255">
        <v>0</v>
      </c>
      <c r="V71" s="256">
        <v>0</v>
      </c>
      <c r="W71" s="257">
        <v>0</v>
      </c>
      <c r="X71" s="255">
        <v>0</v>
      </c>
      <c r="Y71" s="256">
        <v>0</v>
      </c>
      <c r="Z71" s="257">
        <v>0</v>
      </c>
      <c r="AA71" s="255">
        <v>0</v>
      </c>
      <c r="AB71" s="256">
        <v>0</v>
      </c>
      <c r="AC71" s="257">
        <v>0</v>
      </c>
      <c r="AD71" s="255">
        <v>0</v>
      </c>
      <c r="AE71" s="256">
        <v>0</v>
      </c>
      <c r="AF71" s="257">
        <v>0</v>
      </c>
      <c r="AG71" s="255">
        <v>0</v>
      </c>
      <c r="AH71" s="256">
        <v>0</v>
      </c>
      <c r="AI71" s="257">
        <v>0</v>
      </c>
      <c r="AJ71" s="255">
        <v>0</v>
      </c>
      <c r="AK71" s="256">
        <v>0</v>
      </c>
      <c r="AL71" s="257">
        <v>0</v>
      </c>
      <c r="AM71" s="255">
        <v>0</v>
      </c>
      <c r="AN71" s="256">
        <v>0</v>
      </c>
      <c r="AO71" s="257">
        <v>0</v>
      </c>
      <c r="AP71" s="255">
        <v>0</v>
      </c>
      <c r="AQ71" s="256">
        <v>0</v>
      </c>
      <c r="AR71" s="257">
        <v>0</v>
      </c>
      <c r="AS71" s="255">
        <v>0</v>
      </c>
      <c r="AT71" s="256">
        <v>0</v>
      </c>
      <c r="AU71" s="257">
        <v>0</v>
      </c>
      <c r="AV71" s="255">
        <v>0</v>
      </c>
      <c r="AW71" s="256">
        <v>0</v>
      </c>
      <c r="AX71" s="257">
        <v>0</v>
      </c>
      <c r="AY71" s="243">
        <v>0</v>
      </c>
      <c r="AZ71" s="244">
        <v>0</v>
      </c>
      <c r="BA71" s="244">
        <v>0</v>
      </c>
      <c r="BB71" s="244">
        <v>0</v>
      </c>
      <c r="BC71" s="244">
        <v>0</v>
      </c>
      <c r="BD71" s="244">
        <v>0</v>
      </c>
      <c r="BE71" s="244">
        <v>0</v>
      </c>
      <c r="BF71" s="244">
        <v>0</v>
      </c>
      <c r="BG71" s="244">
        <v>0</v>
      </c>
      <c r="BH71" s="245">
        <v>0</v>
      </c>
      <c r="BK71">
        <v>13</v>
      </c>
      <c r="BL71" s="281">
        <v>0.93969849246231052</v>
      </c>
      <c r="BM71" s="281">
        <v>16767.97989949747</v>
      </c>
      <c r="BN71" s="282">
        <v>9817.4773869346755</v>
      </c>
      <c r="BO71" s="282">
        <v>179.32160804020111</v>
      </c>
      <c r="BP71" s="282">
        <v>0</v>
      </c>
      <c r="BQ71" s="283">
        <v>0</v>
      </c>
      <c r="BR71" s="284"/>
      <c r="BS71" s="147"/>
      <c r="BT71" s="285">
        <v>1</v>
      </c>
      <c r="BU71" s="288">
        <v>3.4430039393564885E-2</v>
      </c>
      <c r="BV71" s="287">
        <v>0</v>
      </c>
      <c r="BW71" s="288">
        <v>0</v>
      </c>
      <c r="BX71" s="286">
        <v>100</v>
      </c>
      <c r="BY71" s="287">
        <v>0</v>
      </c>
      <c r="BZ71" s="288">
        <v>0</v>
      </c>
      <c r="CA71" s="286">
        <v>0.7790112417744447</v>
      </c>
      <c r="CB71" s="286">
        <v>0</v>
      </c>
      <c r="CC71" s="287">
        <v>1.2227626281422546</v>
      </c>
      <c r="CD71" s="286">
        <v>0</v>
      </c>
      <c r="CE71" s="286">
        <v>15.754522397651344</v>
      </c>
      <c r="CF71" s="286">
        <v>0</v>
      </c>
      <c r="CG71" s="287">
        <v>22.389739244713379</v>
      </c>
      <c r="CH71" s="288">
        <v>0</v>
      </c>
      <c r="CI71" s="286">
        <v>1.7354606371396604</v>
      </c>
      <c r="CJ71" s="286">
        <v>0</v>
      </c>
      <c r="CK71" s="287"/>
      <c r="CL71" s="288"/>
      <c r="CM71" s="286"/>
      <c r="CN71" s="287"/>
      <c r="CO71" s="289"/>
      <c r="CP71" s="290"/>
      <c r="CQ71" s="289"/>
      <c r="CR71" s="290"/>
      <c r="CS71" s="284"/>
      <c r="CT71" s="147"/>
      <c r="CU71" s="291"/>
      <c r="CV71" s="292"/>
    </row>
    <row r="72" spans="2:100">
      <c r="B72">
        <v>14</v>
      </c>
      <c r="C72" s="243">
        <v>1.0000000000000007</v>
      </c>
      <c r="D72" s="592">
        <v>0</v>
      </c>
      <c r="E72" s="245">
        <v>0</v>
      </c>
      <c r="F72" s="243">
        <v>0</v>
      </c>
      <c r="G72" s="245">
        <v>0</v>
      </c>
      <c r="H72" s="243">
        <v>0</v>
      </c>
      <c r="I72" s="245">
        <v>0</v>
      </c>
      <c r="J72" s="242">
        <v>0</v>
      </c>
      <c r="K72" s="242">
        <v>18.932849574464253</v>
      </c>
      <c r="L72" s="242">
        <v>5.0251256281407036E-3</v>
      </c>
      <c r="M72" s="243">
        <v>118.51296559969745</v>
      </c>
      <c r="N72" s="592">
        <v>34.631791051130925</v>
      </c>
      <c r="O72" s="245">
        <v>0.56668172520051108</v>
      </c>
      <c r="P72" s="245">
        <v>1.1917584119521634</v>
      </c>
      <c r="Q72" s="254">
        <v>0</v>
      </c>
      <c r="R72" s="255">
        <v>0</v>
      </c>
      <c r="S72" s="256">
        <v>0</v>
      </c>
      <c r="T72" s="257">
        <v>0</v>
      </c>
      <c r="U72" s="255">
        <v>0</v>
      </c>
      <c r="V72" s="256">
        <v>0</v>
      </c>
      <c r="W72" s="257">
        <v>0</v>
      </c>
      <c r="X72" s="255">
        <v>0</v>
      </c>
      <c r="Y72" s="256">
        <v>0</v>
      </c>
      <c r="Z72" s="257">
        <v>0</v>
      </c>
      <c r="AA72" s="255">
        <v>0</v>
      </c>
      <c r="AB72" s="256">
        <v>0</v>
      </c>
      <c r="AC72" s="257">
        <v>0</v>
      </c>
      <c r="AD72" s="255">
        <v>0</v>
      </c>
      <c r="AE72" s="256">
        <v>0</v>
      </c>
      <c r="AF72" s="257">
        <v>0</v>
      </c>
      <c r="AG72" s="255">
        <v>0</v>
      </c>
      <c r="AH72" s="256">
        <v>0</v>
      </c>
      <c r="AI72" s="257">
        <v>0</v>
      </c>
      <c r="AJ72" s="255">
        <v>0</v>
      </c>
      <c r="AK72" s="256">
        <v>0</v>
      </c>
      <c r="AL72" s="257">
        <v>0</v>
      </c>
      <c r="AM72" s="255">
        <v>0</v>
      </c>
      <c r="AN72" s="256">
        <v>0</v>
      </c>
      <c r="AO72" s="257">
        <v>0</v>
      </c>
      <c r="AP72" s="255">
        <v>0</v>
      </c>
      <c r="AQ72" s="256">
        <v>0</v>
      </c>
      <c r="AR72" s="257">
        <v>0</v>
      </c>
      <c r="AS72" s="255">
        <v>0</v>
      </c>
      <c r="AT72" s="256">
        <v>0</v>
      </c>
      <c r="AU72" s="257">
        <v>0</v>
      </c>
      <c r="AV72" s="255">
        <v>0</v>
      </c>
      <c r="AW72" s="256">
        <v>0</v>
      </c>
      <c r="AX72" s="257">
        <v>0</v>
      </c>
      <c r="AY72" s="243">
        <v>0</v>
      </c>
      <c r="AZ72" s="244">
        <v>0</v>
      </c>
      <c r="BA72" s="244">
        <v>0</v>
      </c>
      <c r="BB72" s="244">
        <v>0</v>
      </c>
      <c r="BC72" s="244">
        <v>0</v>
      </c>
      <c r="BD72" s="244">
        <v>0</v>
      </c>
      <c r="BE72" s="244">
        <v>0</v>
      </c>
      <c r="BF72" s="244">
        <v>0</v>
      </c>
      <c r="BG72" s="244">
        <v>0</v>
      </c>
      <c r="BH72" s="245">
        <v>0</v>
      </c>
      <c r="BK72">
        <v>14</v>
      </c>
      <c r="BL72" s="281">
        <v>0.93467336683416979</v>
      </c>
      <c r="BM72" s="281">
        <v>16678.311557788926</v>
      </c>
      <c r="BN72" s="282">
        <v>9785.1005025125651</v>
      </c>
      <c r="BO72" s="282">
        <v>179.01507537688454</v>
      </c>
      <c r="BP72" s="282">
        <v>0</v>
      </c>
      <c r="BQ72" s="283">
        <v>0</v>
      </c>
      <c r="BR72" s="284"/>
      <c r="BS72" s="147"/>
      <c r="BT72" s="285">
        <v>1</v>
      </c>
      <c r="BU72" s="288">
        <v>3.4430039393564885E-2</v>
      </c>
      <c r="BV72" s="287">
        <v>0</v>
      </c>
      <c r="BW72" s="288">
        <v>0</v>
      </c>
      <c r="BX72" s="286">
        <v>100</v>
      </c>
      <c r="BY72" s="287">
        <v>0</v>
      </c>
      <c r="BZ72" s="288">
        <v>0</v>
      </c>
      <c r="CA72" s="286">
        <v>0.77892866251580717</v>
      </c>
      <c r="CB72" s="286">
        <v>0</v>
      </c>
      <c r="CC72" s="287">
        <v>1.2227267836092452</v>
      </c>
      <c r="CD72" s="286">
        <v>0</v>
      </c>
      <c r="CE72" s="286">
        <v>15.754395753990513</v>
      </c>
      <c r="CF72" s="286">
        <v>0</v>
      </c>
      <c r="CG72" s="287">
        <v>22.390955228191235</v>
      </c>
      <c r="CH72" s="288">
        <v>0</v>
      </c>
      <c r="CI72" s="286">
        <v>1.7360433673709028</v>
      </c>
      <c r="CJ72" s="286">
        <v>0</v>
      </c>
      <c r="CK72" s="287"/>
      <c r="CL72" s="288"/>
      <c r="CM72" s="286"/>
      <c r="CN72" s="287"/>
      <c r="CO72" s="289"/>
      <c r="CP72" s="290"/>
      <c r="CQ72" s="289"/>
      <c r="CR72" s="290"/>
      <c r="CS72" s="284"/>
      <c r="CT72" s="147"/>
      <c r="CU72" s="291"/>
      <c r="CV72" s="292"/>
    </row>
    <row r="73" spans="2:100">
      <c r="B73">
        <v>15</v>
      </c>
      <c r="C73" s="243">
        <v>1.0000000000000007</v>
      </c>
      <c r="D73" s="592">
        <v>0</v>
      </c>
      <c r="E73" s="245">
        <v>0</v>
      </c>
      <c r="F73" s="243">
        <v>0</v>
      </c>
      <c r="G73" s="245">
        <v>0</v>
      </c>
      <c r="H73" s="243">
        <v>0</v>
      </c>
      <c r="I73" s="245">
        <v>0</v>
      </c>
      <c r="J73" s="242">
        <v>0</v>
      </c>
      <c r="K73" s="242">
        <v>18.934860970885087</v>
      </c>
      <c r="L73" s="242">
        <v>5.0251256281407036E-3</v>
      </c>
      <c r="M73" s="243">
        <v>118.4771174984724</v>
      </c>
      <c r="N73" s="592">
        <v>34.599597272119077</v>
      </c>
      <c r="O73" s="245">
        <v>0.56667430841617761</v>
      </c>
      <c r="P73" s="245">
        <v>1.1918850225077942</v>
      </c>
      <c r="Q73" s="254">
        <v>0</v>
      </c>
      <c r="R73" s="255">
        <v>0</v>
      </c>
      <c r="S73" s="256">
        <v>0</v>
      </c>
      <c r="T73" s="257">
        <v>0</v>
      </c>
      <c r="U73" s="255">
        <v>0</v>
      </c>
      <c r="V73" s="256">
        <v>0</v>
      </c>
      <c r="W73" s="257">
        <v>0</v>
      </c>
      <c r="X73" s="255">
        <v>0</v>
      </c>
      <c r="Y73" s="256">
        <v>0</v>
      </c>
      <c r="Z73" s="257">
        <v>0</v>
      </c>
      <c r="AA73" s="255">
        <v>0</v>
      </c>
      <c r="AB73" s="256">
        <v>0</v>
      </c>
      <c r="AC73" s="257">
        <v>0</v>
      </c>
      <c r="AD73" s="255">
        <v>0</v>
      </c>
      <c r="AE73" s="256">
        <v>0</v>
      </c>
      <c r="AF73" s="257">
        <v>0</v>
      </c>
      <c r="AG73" s="255">
        <v>0</v>
      </c>
      <c r="AH73" s="256">
        <v>0</v>
      </c>
      <c r="AI73" s="257">
        <v>0</v>
      </c>
      <c r="AJ73" s="255">
        <v>0</v>
      </c>
      <c r="AK73" s="256">
        <v>0</v>
      </c>
      <c r="AL73" s="257">
        <v>0</v>
      </c>
      <c r="AM73" s="255">
        <v>0</v>
      </c>
      <c r="AN73" s="256">
        <v>0</v>
      </c>
      <c r="AO73" s="257">
        <v>0</v>
      </c>
      <c r="AP73" s="255">
        <v>0</v>
      </c>
      <c r="AQ73" s="256">
        <v>0</v>
      </c>
      <c r="AR73" s="257">
        <v>0</v>
      </c>
      <c r="AS73" s="255">
        <v>0</v>
      </c>
      <c r="AT73" s="256">
        <v>0</v>
      </c>
      <c r="AU73" s="257">
        <v>0</v>
      </c>
      <c r="AV73" s="255">
        <v>0</v>
      </c>
      <c r="AW73" s="256">
        <v>0</v>
      </c>
      <c r="AX73" s="257">
        <v>0</v>
      </c>
      <c r="AY73" s="243">
        <v>0</v>
      </c>
      <c r="AZ73" s="244">
        <v>0</v>
      </c>
      <c r="BA73" s="244">
        <v>0</v>
      </c>
      <c r="BB73" s="244">
        <v>0</v>
      </c>
      <c r="BC73" s="244">
        <v>0</v>
      </c>
      <c r="BD73" s="244">
        <v>0</v>
      </c>
      <c r="BE73" s="244">
        <v>0</v>
      </c>
      <c r="BF73" s="244">
        <v>0</v>
      </c>
      <c r="BG73" s="244">
        <v>0</v>
      </c>
      <c r="BH73" s="245">
        <v>0</v>
      </c>
      <c r="BK73">
        <v>15</v>
      </c>
      <c r="BL73" s="281">
        <v>0.92964824120602896</v>
      </c>
      <c r="BM73" s="281">
        <v>16588.643216080382</v>
      </c>
      <c r="BN73" s="282">
        <v>9752.7236180904547</v>
      </c>
      <c r="BO73" s="282">
        <v>178.70854271356797</v>
      </c>
      <c r="BP73" s="282">
        <v>0</v>
      </c>
      <c r="BQ73" s="283">
        <v>0</v>
      </c>
      <c r="BR73" s="284"/>
      <c r="BS73" s="147"/>
      <c r="BT73" s="285">
        <v>1</v>
      </c>
      <c r="BU73" s="288">
        <v>3.4430039393564885E-2</v>
      </c>
      <c r="BV73" s="287">
        <v>0</v>
      </c>
      <c r="BW73" s="288">
        <v>0</v>
      </c>
      <c r="BX73" s="286">
        <v>100</v>
      </c>
      <c r="BY73" s="287">
        <v>0</v>
      </c>
      <c r="BZ73" s="288">
        <v>0</v>
      </c>
      <c r="CA73" s="286">
        <v>0.7788459191396464</v>
      </c>
      <c r="CB73" s="286">
        <v>0</v>
      </c>
      <c r="CC73" s="287">
        <v>1.2226909308542615</v>
      </c>
      <c r="CD73" s="286">
        <v>0</v>
      </c>
      <c r="CE73" s="286">
        <v>15.754266242381078</v>
      </c>
      <c r="CF73" s="286">
        <v>0</v>
      </c>
      <c r="CG73" s="287">
        <v>22.392171301983872</v>
      </c>
      <c r="CH73" s="288">
        <v>0</v>
      </c>
      <c r="CI73" s="286">
        <v>1.7366402225009101</v>
      </c>
      <c r="CJ73" s="286">
        <v>0</v>
      </c>
      <c r="CK73" s="287"/>
      <c r="CL73" s="288"/>
      <c r="CM73" s="286"/>
      <c r="CN73" s="287"/>
      <c r="CO73" s="289"/>
      <c r="CP73" s="290"/>
      <c r="CQ73" s="289"/>
      <c r="CR73" s="290"/>
      <c r="CS73" s="284"/>
      <c r="CT73" s="147"/>
      <c r="CU73" s="291"/>
      <c r="CV73" s="292"/>
    </row>
    <row r="74" spans="2:100">
      <c r="B74">
        <v>16</v>
      </c>
      <c r="C74" s="243">
        <v>1.0000000000000004</v>
      </c>
      <c r="D74" s="592">
        <v>0</v>
      </c>
      <c r="E74" s="245">
        <v>0</v>
      </c>
      <c r="F74" s="243">
        <v>0</v>
      </c>
      <c r="G74" s="245">
        <v>0</v>
      </c>
      <c r="H74" s="243">
        <v>0</v>
      </c>
      <c r="I74" s="245">
        <v>0</v>
      </c>
      <c r="J74" s="242">
        <v>0</v>
      </c>
      <c r="K74" s="242">
        <v>18.936876802100873</v>
      </c>
      <c r="L74" s="242">
        <v>5.0251256281407036E-3</v>
      </c>
      <c r="M74" s="243">
        <v>118.44143356120671</v>
      </c>
      <c r="N74" s="592">
        <v>34.567141001029789</v>
      </c>
      <c r="O74" s="245">
        <v>0.56666794675423515</v>
      </c>
      <c r="P74" s="245">
        <v>1.1920119122186663</v>
      </c>
      <c r="Q74" s="254">
        <v>0</v>
      </c>
      <c r="R74" s="255">
        <v>0</v>
      </c>
      <c r="S74" s="256">
        <v>0</v>
      </c>
      <c r="T74" s="257">
        <v>0</v>
      </c>
      <c r="U74" s="255">
        <v>0</v>
      </c>
      <c r="V74" s="256">
        <v>0</v>
      </c>
      <c r="W74" s="257">
        <v>0</v>
      </c>
      <c r="X74" s="255">
        <v>0</v>
      </c>
      <c r="Y74" s="256">
        <v>0</v>
      </c>
      <c r="Z74" s="257">
        <v>0</v>
      </c>
      <c r="AA74" s="255">
        <v>0</v>
      </c>
      <c r="AB74" s="256">
        <v>0</v>
      </c>
      <c r="AC74" s="257">
        <v>0</v>
      </c>
      <c r="AD74" s="255">
        <v>0</v>
      </c>
      <c r="AE74" s="256">
        <v>0</v>
      </c>
      <c r="AF74" s="257">
        <v>0</v>
      </c>
      <c r="AG74" s="255">
        <v>0</v>
      </c>
      <c r="AH74" s="256">
        <v>0</v>
      </c>
      <c r="AI74" s="257">
        <v>0</v>
      </c>
      <c r="AJ74" s="255">
        <v>0</v>
      </c>
      <c r="AK74" s="256">
        <v>0</v>
      </c>
      <c r="AL74" s="257">
        <v>0</v>
      </c>
      <c r="AM74" s="255">
        <v>0</v>
      </c>
      <c r="AN74" s="256">
        <v>0</v>
      </c>
      <c r="AO74" s="257">
        <v>0</v>
      </c>
      <c r="AP74" s="255">
        <v>0</v>
      </c>
      <c r="AQ74" s="256">
        <v>0</v>
      </c>
      <c r="AR74" s="257">
        <v>0</v>
      </c>
      <c r="AS74" s="255">
        <v>0</v>
      </c>
      <c r="AT74" s="256">
        <v>0</v>
      </c>
      <c r="AU74" s="257">
        <v>0</v>
      </c>
      <c r="AV74" s="255">
        <v>0</v>
      </c>
      <c r="AW74" s="256">
        <v>0</v>
      </c>
      <c r="AX74" s="257">
        <v>0</v>
      </c>
      <c r="AY74" s="243">
        <v>0</v>
      </c>
      <c r="AZ74" s="244">
        <v>0</v>
      </c>
      <c r="BA74" s="244">
        <v>0</v>
      </c>
      <c r="BB74" s="244">
        <v>0</v>
      </c>
      <c r="BC74" s="244">
        <v>0</v>
      </c>
      <c r="BD74" s="244">
        <v>0</v>
      </c>
      <c r="BE74" s="244">
        <v>0</v>
      </c>
      <c r="BF74" s="244">
        <v>0</v>
      </c>
      <c r="BG74" s="244">
        <v>0</v>
      </c>
      <c r="BH74" s="245">
        <v>0</v>
      </c>
      <c r="BK74">
        <v>16</v>
      </c>
      <c r="BL74" s="281">
        <v>0.92462311557788823</v>
      </c>
      <c r="BM74" s="281">
        <v>16498.974874371837</v>
      </c>
      <c r="BN74" s="282">
        <v>9720.3467336683443</v>
      </c>
      <c r="BO74" s="282">
        <v>178.40201005025139</v>
      </c>
      <c r="BP74" s="282">
        <v>0</v>
      </c>
      <c r="BQ74" s="283">
        <v>0</v>
      </c>
      <c r="BR74" s="284"/>
      <c r="BS74" s="147"/>
      <c r="BT74" s="285">
        <v>1</v>
      </c>
      <c r="BU74" s="288">
        <v>3.4430039393564885E-2</v>
      </c>
      <c r="BV74" s="287">
        <v>0</v>
      </c>
      <c r="BW74" s="288">
        <v>0</v>
      </c>
      <c r="BX74" s="286">
        <v>100</v>
      </c>
      <c r="BY74" s="287">
        <v>0</v>
      </c>
      <c r="BZ74" s="288">
        <v>0</v>
      </c>
      <c r="CA74" s="286">
        <v>0.77876301096357825</v>
      </c>
      <c r="CB74" s="286">
        <v>0</v>
      </c>
      <c r="CC74" s="287">
        <v>1.2226550698563297</v>
      </c>
      <c r="CD74" s="286">
        <v>0</v>
      </c>
      <c r="CE74" s="286">
        <v>15.754133850359135</v>
      </c>
      <c r="CF74" s="286">
        <v>0</v>
      </c>
      <c r="CG74" s="287">
        <v>22.393387465972115</v>
      </c>
      <c r="CH74" s="288">
        <v>0</v>
      </c>
      <c r="CI74" s="286">
        <v>1.7372511911333968</v>
      </c>
      <c r="CJ74" s="286">
        <v>0</v>
      </c>
      <c r="CK74" s="287"/>
      <c r="CL74" s="288"/>
      <c r="CM74" s="286"/>
      <c r="CN74" s="287"/>
      <c r="CO74" s="289"/>
      <c r="CP74" s="290"/>
      <c r="CQ74" s="289"/>
      <c r="CR74" s="290"/>
      <c r="CS74" s="284"/>
      <c r="CT74" s="147"/>
      <c r="CU74" s="291"/>
      <c r="CV74" s="292"/>
    </row>
    <row r="75" spans="2:100">
      <c r="B75">
        <v>17</v>
      </c>
      <c r="C75" s="243">
        <v>1.0000000000000002</v>
      </c>
      <c r="D75" s="592">
        <v>0</v>
      </c>
      <c r="E75" s="245">
        <v>0</v>
      </c>
      <c r="F75" s="243">
        <v>0</v>
      </c>
      <c r="G75" s="245">
        <v>0</v>
      </c>
      <c r="H75" s="243">
        <v>0</v>
      </c>
      <c r="I75" s="245">
        <v>0</v>
      </c>
      <c r="J75" s="242">
        <v>0</v>
      </c>
      <c r="K75" s="242">
        <v>18.93889708750309</v>
      </c>
      <c r="L75" s="242">
        <v>5.0251256281407036E-3</v>
      </c>
      <c r="M75" s="243">
        <v>118.40591451060565</v>
      </c>
      <c r="N75" s="592">
        <v>34.534423503629377</v>
      </c>
      <c r="O75" s="245">
        <v>0.56666263404857842</v>
      </c>
      <c r="P75" s="245">
        <v>1.192139082305407</v>
      </c>
      <c r="Q75" s="254">
        <v>0</v>
      </c>
      <c r="R75" s="255">
        <v>0</v>
      </c>
      <c r="S75" s="256">
        <v>0</v>
      </c>
      <c r="T75" s="257">
        <v>0</v>
      </c>
      <c r="U75" s="255">
        <v>0</v>
      </c>
      <c r="V75" s="256">
        <v>0</v>
      </c>
      <c r="W75" s="257">
        <v>0</v>
      </c>
      <c r="X75" s="255">
        <v>0</v>
      </c>
      <c r="Y75" s="256">
        <v>0</v>
      </c>
      <c r="Z75" s="257">
        <v>0</v>
      </c>
      <c r="AA75" s="255">
        <v>0</v>
      </c>
      <c r="AB75" s="256">
        <v>0</v>
      </c>
      <c r="AC75" s="257">
        <v>0</v>
      </c>
      <c r="AD75" s="255">
        <v>0</v>
      </c>
      <c r="AE75" s="256">
        <v>0</v>
      </c>
      <c r="AF75" s="257">
        <v>0</v>
      </c>
      <c r="AG75" s="255">
        <v>0</v>
      </c>
      <c r="AH75" s="256">
        <v>0</v>
      </c>
      <c r="AI75" s="257">
        <v>0</v>
      </c>
      <c r="AJ75" s="255">
        <v>0</v>
      </c>
      <c r="AK75" s="256">
        <v>0</v>
      </c>
      <c r="AL75" s="257">
        <v>0</v>
      </c>
      <c r="AM75" s="255">
        <v>0</v>
      </c>
      <c r="AN75" s="256">
        <v>0</v>
      </c>
      <c r="AO75" s="257">
        <v>0</v>
      </c>
      <c r="AP75" s="255">
        <v>0</v>
      </c>
      <c r="AQ75" s="256">
        <v>0</v>
      </c>
      <c r="AR75" s="257">
        <v>0</v>
      </c>
      <c r="AS75" s="255">
        <v>0</v>
      </c>
      <c r="AT75" s="256">
        <v>0</v>
      </c>
      <c r="AU75" s="257">
        <v>0</v>
      </c>
      <c r="AV75" s="255">
        <v>0</v>
      </c>
      <c r="AW75" s="256">
        <v>0</v>
      </c>
      <c r="AX75" s="257">
        <v>0</v>
      </c>
      <c r="AY75" s="243">
        <v>0</v>
      </c>
      <c r="AZ75" s="244">
        <v>0</v>
      </c>
      <c r="BA75" s="244">
        <v>0</v>
      </c>
      <c r="BB75" s="244">
        <v>0</v>
      </c>
      <c r="BC75" s="244">
        <v>0</v>
      </c>
      <c r="BD75" s="244">
        <v>0</v>
      </c>
      <c r="BE75" s="244">
        <v>0</v>
      </c>
      <c r="BF75" s="244">
        <v>0</v>
      </c>
      <c r="BG75" s="244">
        <v>0</v>
      </c>
      <c r="BH75" s="245">
        <v>0</v>
      </c>
      <c r="BK75">
        <v>17</v>
      </c>
      <c r="BL75" s="281">
        <v>0.9195979899497474</v>
      </c>
      <c r="BM75" s="281">
        <v>16409.306532663293</v>
      </c>
      <c r="BN75" s="282">
        <v>9687.9698492462339</v>
      </c>
      <c r="BO75" s="282">
        <v>178.09547738693482</v>
      </c>
      <c r="BP75" s="282">
        <v>0</v>
      </c>
      <c r="BQ75" s="283">
        <v>0</v>
      </c>
      <c r="BR75" s="284"/>
      <c r="BS75" s="147"/>
      <c r="BT75" s="285">
        <v>1</v>
      </c>
      <c r="BU75" s="288">
        <v>3.4430039393564885E-2</v>
      </c>
      <c r="BV75" s="287">
        <v>0</v>
      </c>
      <c r="BW75" s="288">
        <v>0</v>
      </c>
      <c r="BX75" s="286">
        <v>100</v>
      </c>
      <c r="BY75" s="287">
        <v>0</v>
      </c>
      <c r="BZ75" s="288">
        <v>0</v>
      </c>
      <c r="CA75" s="286">
        <v>0.77867993730118046</v>
      </c>
      <c r="CB75" s="286">
        <v>0</v>
      </c>
      <c r="CC75" s="287">
        <v>1.2226192005944105</v>
      </c>
      <c r="CD75" s="286">
        <v>0</v>
      </c>
      <c r="CE75" s="286">
        <v>15.753998565386308</v>
      </c>
      <c r="CF75" s="286">
        <v>0</v>
      </c>
      <c r="CG75" s="287">
        <v>22.394603720036002</v>
      </c>
      <c r="CH75" s="288">
        <v>0</v>
      </c>
      <c r="CI75" s="286">
        <v>1.7378762622938746</v>
      </c>
      <c r="CJ75" s="286">
        <v>0</v>
      </c>
      <c r="CK75" s="287"/>
      <c r="CL75" s="288"/>
      <c r="CM75" s="286"/>
      <c r="CN75" s="287"/>
      <c r="CO75" s="289"/>
      <c r="CP75" s="290"/>
      <c r="CQ75" s="289"/>
      <c r="CR75" s="290"/>
      <c r="CS75" s="284"/>
      <c r="CT75" s="147"/>
      <c r="CU75" s="291"/>
      <c r="CV75" s="292"/>
    </row>
    <row r="76" spans="2:100">
      <c r="B76">
        <v>18</v>
      </c>
      <c r="C76" s="243">
        <v>1</v>
      </c>
      <c r="D76" s="592">
        <v>0</v>
      </c>
      <c r="E76" s="245">
        <v>0</v>
      </c>
      <c r="F76" s="243">
        <v>0</v>
      </c>
      <c r="G76" s="245">
        <v>0</v>
      </c>
      <c r="H76" s="243">
        <v>0</v>
      </c>
      <c r="I76" s="245">
        <v>0</v>
      </c>
      <c r="J76" s="242">
        <v>0</v>
      </c>
      <c r="K76" s="242">
        <v>18.940921846603178</v>
      </c>
      <c r="L76" s="242">
        <v>5.0251256281407036E-3</v>
      </c>
      <c r="M76" s="243">
        <v>118.37056107398315</v>
      </c>
      <c r="N76" s="592">
        <v>34.501446047330617</v>
      </c>
      <c r="O76" s="245">
        <v>0.56665836407764603</v>
      </c>
      <c r="P76" s="245">
        <v>1.1922665339961955</v>
      </c>
      <c r="Q76" s="254">
        <v>0</v>
      </c>
      <c r="R76" s="255">
        <v>0</v>
      </c>
      <c r="S76" s="256">
        <v>0</v>
      </c>
      <c r="T76" s="257">
        <v>0</v>
      </c>
      <c r="U76" s="255">
        <v>0</v>
      </c>
      <c r="V76" s="256">
        <v>0</v>
      </c>
      <c r="W76" s="257">
        <v>0</v>
      </c>
      <c r="X76" s="255">
        <v>0</v>
      </c>
      <c r="Y76" s="256">
        <v>0</v>
      </c>
      <c r="Z76" s="257">
        <v>0</v>
      </c>
      <c r="AA76" s="255">
        <v>0</v>
      </c>
      <c r="AB76" s="256">
        <v>0</v>
      </c>
      <c r="AC76" s="257">
        <v>0</v>
      </c>
      <c r="AD76" s="255">
        <v>0</v>
      </c>
      <c r="AE76" s="256">
        <v>0</v>
      </c>
      <c r="AF76" s="257">
        <v>0</v>
      </c>
      <c r="AG76" s="255">
        <v>0</v>
      </c>
      <c r="AH76" s="256">
        <v>0</v>
      </c>
      <c r="AI76" s="257">
        <v>0</v>
      </c>
      <c r="AJ76" s="255">
        <v>0</v>
      </c>
      <c r="AK76" s="256">
        <v>0</v>
      </c>
      <c r="AL76" s="257">
        <v>0</v>
      </c>
      <c r="AM76" s="255">
        <v>0</v>
      </c>
      <c r="AN76" s="256">
        <v>0</v>
      </c>
      <c r="AO76" s="257">
        <v>0</v>
      </c>
      <c r="AP76" s="255">
        <v>0</v>
      </c>
      <c r="AQ76" s="256">
        <v>0</v>
      </c>
      <c r="AR76" s="257">
        <v>0</v>
      </c>
      <c r="AS76" s="255">
        <v>0</v>
      </c>
      <c r="AT76" s="256">
        <v>0</v>
      </c>
      <c r="AU76" s="257">
        <v>0</v>
      </c>
      <c r="AV76" s="255">
        <v>0</v>
      </c>
      <c r="AW76" s="256">
        <v>0</v>
      </c>
      <c r="AX76" s="257">
        <v>0</v>
      </c>
      <c r="AY76" s="243">
        <v>0</v>
      </c>
      <c r="AZ76" s="244">
        <v>0</v>
      </c>
      <c r="BA76" s="244">
        <v>0</v>
      </c>
      <c r="BB76" s="244">
        <v>0</v>
      </c>
      <c r="BC76" s="244">
        <v>0</v>
      </c>
      <c r="BD76" s="244">
        <v>0</v>
      </c>
      <c r="BE76" s="244">
        <v>0</v>
      </c>
      <c r="BF76" s="244">
        <v>0</v>
      </c>
      <c r="BG76" s="244">
        <v>0</v>
      </c>
      <c r="BH76" s="245">
        <v>0</v>
      </c>
      <c r="BK76">
        <v>18</v>
      </c>
      <c r="BL76" s="281">
        <v>0.91457286432160678</v>
      </c>
      <c r="BM76" s="281">
        <v>16319.638190954751</v>
      </c>
      <c r="BN76" s="282">
        <v>9655.5929648241236</v>
      </c>
      <c r="BO76" s="282">
        <v>177.78894472361824</v>
      </c>
      <c r="BP76" s="282">
        <v>0</v>
      </c>
      <c r="BQ76" s="283">
        <v>0</v>
      </c>
      <c r="BR76" s="284"/>
      <c r="BS76" s="147"/>
      <c r="BT76" s="285">
        <v>1</v>
      </c>
      <c r="BU76" s="288">
        <v>3.4430039393564885E-2</v>
      </c>
      <c r="BV76" s="287">
        <v>0</v>
      </c>
      <c r="BW76" s="288">
        <v>0</v>
      </c>
      <c r="BX76" s="286">
        <v>100</v>
      </c>
      <c r="BY76" s="287">
        <v>0</v>
      </c>
      <c r="BZ76" s="288">
        <v>0</v>
      </c>
      <c r="CA76" s="286">
        <v>0.77859669746196458</v>
      </c>
      <c r="CB76" s="286">
        <v>0</v>
      </c>
      <c r="CC76" s="287">
        <v>1.2225833230474059</v>
      </c>
      <c r="CD76" s="286">
        <v>0</v>
      </c>
      <c r="CE76" s="286">
        <v>15.75386037484922</v>
      </c>
      <c r="CF76" s="286">
        <v>0</v>
      </c>
      <c r="CG76" s="287">
        <v>22.395820064054909</v>
      </c>
      <c r="CH76" s="288">
        <v>0</v>
      </c>
      <c r="CI76" s="286">
        <v>1.7385154254272548</v>
      </c>
      <c r="CJ76" s="286">
        <v>0</v>
      </c>
      <c r="CK76" s="287"/>
      <c r="CL76" s="288"/>
      <c r="CM76" s="286"/>
      <c r="CN76" s="287"/>
      <c r="CO76" s="289"/>
      <c r="CP76" s="290"/>
      <c r="CQ76" s="289"/>
      <c r="CR76" s="290"/>
      <c r="CS76" s="284"/>
      <c r="CT76" s="147"/>
      <c r="CU76" s="291"/>
      <c r="CV76" s="292"/>
    </row>
    <row r="77" spans="2:100">
      <c r="B77">
        <v>19</v>
      </c>
      <c r="C77" s="243">
        <v>1</v>
      </c>
      <c r="D77" s="592">
        <v>0</v>
      </c>
      <c r="E77" s="245">
        <v>0</v>
      </c>
      <c r="F77" s="243">
        <v>0</v>
      </c>
      <c r="G77" s="245">
        <v>0</v>
      </c>
      <c r="H77" s="243">
        <v>0</v>
      </c>
      <c r="I77" s="245">
        <v>0</v>
      </c>
      <c r="J77" s="242">
        <v>0</v>
      </c>
      <c r="K77" s="242">
        <v>18.9429510990336</v>
      </c>
      <c r="L77" s="242">
        <v>5.0251256281407036E-3</v>
      </c>
      <c r="M77" s="243">
        <v>118.33537398328869</v>
      </c>
      <c r="N77" s="592">
        <v>34.46820990115792</v>
      </c>
      <c r="O77" s="245">
        <v>0.56665513056452654</v>
      </c>
      <c r="P77" s="245">
        <v>1.1923942685268278</v>
      </c>
      <c r="Q77" s="254">
        <v>0</v>
      </c>
      <c r="R77" s="255">
        <v>0</v>
      </c>
      <c r="S77" s="256">
        <v>0</v>
      </c>
      <c r="T77" s="257">
        <v>0</v>
      </c>
      <c r="U77" s="255">
        <v>0</v>
      </c>
      <c r="V77" s="256">
        <v>0</v>
      </c>
      <c r="W77" s="257">
        <v>0</v>
      </c>
      <c r="X77" s="255">
        <v>0</v>
      </c>
      <c r="Y77" s="256">
        <v>0</v>
      </c>
      <c r="Z77" s="257">
        <v>0</v>
      </c>
      <c r="AA77" s="255">
        <v>0</v>
      </c>
      <c r="AB77" s="256">
        <v>0</v>
      </c>
      <c r="AC77" s="257">
        <v>0</v>
      </c>
      <c r="AD77" s="255">
        <v>0</v>
      </c>
      <c r="AE77" s="256">
        <v>0</v>
      </c>
      <c r="AF77" s="257">
        <v>0</v>
      </c>
      <c r="AG77" s="255">
        <v>0</v>
      </c>
      <c r="AH77" s="256">
        <v>0</v>
      </c>
      <c r="AI77" s="257">
        <v>0</v>
      </c>
      <c r="AJ77" s="255">
        <v>0</v>
      </c>
      <c r="AK77" s="256">
        <v>0</v>
      </c>
      <c r="AL77" s="257">
        <v>0</v>
      </c>
      <c r="AM77" s="255">
        <v>0</v>
      </c>
      <c r="AN77" s="256">
        <v>0</v>
      </c>
      <c r="AO77" s="257">
        <v>0</v>
      </c>
      <c r="AP77" s="255">
        <v>0</v>
      </c>
      <c r="AQ77" s="256">
        <v>0</v>
      </c>
      <c r="AR77" s="257">
        <v>0</v>
      </c>
      <c r="AS77" s="255">
        <v>0</v>
      </c>
      <c r="AT77" s="256">
        <v>0</v>
      </c>
      <c r="AU77" s="257">
        <v>0</v>
      </c>
      <c r="AV77" s="255">
        <v>0</v>
      </c>
      <c r="AW77" s="256">
        <v>0</v>
      </c>
      <c r="AX77" s="257">
        <v>0</v>
      </c>
      <c r="AY77" s="243">
        <v>0</v>
      </c>
      <c r="AZ77" s="244">
        <v>0</v>
      </c>
      <c r="BA77" s="244">
        <v>0</v>
      </c>
      <c r="BB77" s="244">
        <v>0</v>
      </c>
      <c r="BC77" s="244">
        <v>0</v>
      </c>
      <c r="BD77" s="244">
        <v>0</v>
      </c>
      <c r="BE77" s="244">
        <v>0</v>
      </c>
      <c r="BF77" s="244">
        <v>0</v>
      </c>
      <c r="BG77" s="244">
        <v>0</v>
      </c>
      <c r="BH77" s="245">
        <v>0</v>
      </c>
      <c r="BK77">
        <v>19</v>
      </c>
      <c r="BL77" s="281">
        <v>0.90954773869346606</v>
      </c>
      <c r="BM77" s="281">
        <v>16229.969849246208</v>
      </c>
      <c r="BN77" s="282">
        <v>9623.2160804020132</v>
      </c>
      <c r="BO77" s="282">
        <v>177.48241206030167</v>
      </c>
      <c r="BP77" s="282">
        <v>0</v>
      </c>
      <c r="BQ77" s="283">
        <v>0</v>
      </c>
      <c r="BR77" s="284"/>
      <c r="BS77" s="147"/>
      <c r="BT77" s="285">
        <v>1</v>
      </c>
      <c r="BU77" s="288">
        <v>3.4430039393564885E-2</v>
      </c>
      <c r="BV77" s="287">
        <v>0</v>
      </c>
      <c r="BW77" s="288">
        <v>0</v>
      </c>
      <c r="BX77" s="286">
        <v>100</v>
      </c>
      <c r="BY77" s="287">
        <v>0</v>
      </c>
      <c r="BZ77" s="288">
        <v>0</v>
      </c>
      <c r="CA77" s="286">
        <v>0.7785132907513429</v>
      </c>
      <c r="CB77" s="286">
        <v>0</v>
      </c>
      <c r="CC77" s="287">
        <v>1.2225474371941494</v>
      </c>
      <c r="CD77" s="286">
        <v>0</v>
      </c>
      <c r="CE77" s="286">
        <v>15.753719266058871</v>
      </c>
      <c r="CF77" s="286">
        <v>0</v>
      </c>
      <c r="CG77" s="287">
        <v>22.397036497907386</v>
      </c>
      <c r="CH77" s="288">
        <v>0</v>
      </c>
      <c r="CI77" s="286">
        <v>1.7391686703954234</v>
      </c>
      <c r="CJ77" s="286">
        <v>0</v>
      </c>
      <c r="CK77" s="287"/>
      <c r="CL77" s="288"/>
      <c r="CM77" s="286"/>
      <c r="CN77" s="287"/>
      <c r="CO77" s="289"/>
      <c r="CP77" s="290"/>
      <c r="CQ77" s="289"/>
      <c r="CR77" s="290"/>
      <c r="CS77" s="284"/>
      <c r="CT77" s="147"/>
      <c r="CU77" s="291"/>
      <c r="CV77" s="292"/>
    </row>
    <row r="78" spans="2:100">
      <c r="B78">
        <v>20</v>
      </c>
      <c r="C78" s="243">
        <v>0.99999999999999989</v>
      </c>
      <c r="D78" s="592">
        <v>0</v>
      </c>
      <c r="E78" s="245">
        <v>0</v>
      </c>
      <c r="F78" s="243">
        <v>0</v>
      </c>
      <c r="G78" s="245">
        <v>0</v>
      </c>
      <c r="H78" s="243">
        <v>0</v>
      </c>
      <c r="I78" s="245">
        <v>0</v>
      </c>
      <c r="J78" s="242">
        <v>0</v>
      </c>
      <c r="K78" s="242">
        <v>18.944984864548772</v>
      </c>
      <c r="L78" s="242">
        <v>5.0251256281407036E-3</v>
      </c>
      <c r="M78" s="243">
        <v>118.30035397516366</v>
      </c>
      <c r="N78" s="592">
        <v>34.434716335713205</v>
      </c>
      <c r="O78" s="245">
        <v>0.5666529271770625</v>
      </c>
      <c r="P78" s="245">
        <v>1.1925222871407779</v>
      </c>
      <c r="Q78" s="254">
        <v>0</v>
      </c>
      <c r="R78" s="255">
        <v>0</v>
      </c>
      <c r="S78" s="256">
        <v>0</v>
      </c>
      <c r="T78" s="257">
        <v>0</v>
      </c>
      <c r="U78" s="255">
        <v>0</v>
      </c>
      <c r="V78" s="256">
        <v>0</v>
      </c>
      <c r="W78" s="257">
        <v>0</v>
      </c>
      <c r="X78" s="255">
        <v>0</v>
      </c>
      <c r="Y78" s="256">
        <v>0</v>
      </c>
      <c r="Z78" s="257">
        <v>0</v>
      </c>
      <c r="AA78" s="255">
        <v>0</v>
      </c>
      <c r="AB78" s="256">
        <v>0</v>
      </c>
      <c r="AC78" s="257">
        <v>0</v>
      </c>
      <c r="AD78" s="255">
        <v>0</v>
      </c>
      <c r="AE78" s="256">
        <v>0</v>
      </c>
      <c r="AF78" s="257">
        <v>0</v>
      </c>
      <c r="AG78" s="255">
        <v>0</v>
      </c>
      <c r="AH78" s="256">
        <v>0</v>
      </c>
      <c r="AI78" s="257">
        <v>0</v>
      </c>
      <c r="AJ78" s="255">
        <v>0</v>
      </c>
      <c r="AK78" s="256">
        <v>0</v>
      </c>
      <c r="AL78" s="257">
        <v>0</v>
      </c>
      <c r="AM78" s="255">
        <v>0</v>
      </c>
      <c r="AN78" s="256">
        <v>0</v>
      </c>
      <c r="AO78" s="257">
        <v>0</v>
      </c>
      <c r="AP78" s="255">
        <v>0</v>
      </c>
      <c r="AQ78" s="256">
        <v>0</v>
      </c>
      <c r="AR78" s="257">
        <v>0</v>
      </c>
      <c r="AS78" s="255">
        <v>0</v>
      </c>
      <c r="AT78" s="256">
        <v>0</v>
      </c>
      <c r="AU78" s="257">
        <v>0</v>
      </c>
      <c r="AV78" s="255">
        <v>0</v>
      </c>
      <c r="AW78" s="256">
        <v>0</v>
      </c>
      <c r="AX78" s="257">
        <v>0</v>
      </c>
      <c r="AY78" s="243">
        <v>0</v>
      </c>
      <c r="AZ78" s="244">
        <v>0</v>
      </c>
      <c r="BA78" s="244">
        <v>0</v>
      </c>
      <c r="BB78" s="244">
        <v>0</v>
      </c>
      <c r="BC78" s="244">
        <v>0</v>
      </c>
      <c r="BD78" s="244">
        <v>0</v>
      </c>
      <c r="BE78" s="244">
        <v>0</v>
      </c>
      <c r="BF78" s="244">
        <v>0</v>
      </c>
      <c r="BG78" s="244">
        <v>0</v>
      </c>
      <c r="BH78" s="245">
        <v>0</v>
      </c>
      <c r="BK78">
        <v>20</v>
      </c>
      <c r="BL78" s="281">
        <v>0.90452261306532533</v>
      </c>
      <c r="BM78" s="281">
        <v>16140.301507537666</v>
      </c>
      <c r="BN78" s="282">
        <v>9590.8391959799028</v>
      </c>
      <c r="BO78" s="282">
        <v>177.1758793969851</v>
      </c>
      <c r="BP78" s="282">
        <v>0</v>
      </c>
      <c r="BQ78" s="283">
        <v>0</v>
      </c>
      <c r="BR78" s="284"/>
      <c r="BS78" s="147"/>
      <c r="BT78" s="285">
        <v>1</v>
      </c>
      <c r="BU78" s="288">
        <v>3.4430039393564885E-2</v>
      </c>
      <c r="BV78" s="287">
        <v>0</v>
      </c>
      <c r="BW78" s="288">
        <v>0</v>
      </c>
      <c r="BX78" s="286">
        <v>100</v>
      </c>
      <c r="BY78" s="287">
        <v>0</v>
      </c>
      <c r="BZ78" s="288">
        <v>0</v>
      </c>
      <c r="CA78" s="286">
        <v>0.77842971647059478</v>
      </c>
      <c r="CB78" s="286">
        <v>0</v>
      </c>
      <c r="CC78" s="287">
        <v>1.2225115430134192</v>
      </c>
      <c r="CD78" s="286">
        <v>0</v>
      </c>
      <c r="CE78" s="286">
        <v>15.753575226250053</v>
      </c>
      <c r="CF78" s="286">
        <v>0</v>
      </c>
      <c r="CG78" s="287">
        <v>22.398253021471341</v>
      </c>
      <c r="CH78" s="288">
        <v>0</v>
      </c>
      <c r="CI78" s="286">
        <v>1.7398359874748168</v>
      </c>
      <c r="CJ78" s="286">
        <v>0</v>
      </c>
      <c r="CK78" s="287"/>
      <c r="CL78" s="288"/>
      <c r="CM78" s="286"/>
      <c r="CN78" s="287"/>
      <c r="CO78" s="289"/>
      <c r="CP78" s="290"/>
      <c r="CQ78" s="289"/>
      <c r="CR78" s="290"/>
      <c r="CS78" s="284"/>
      <c r="CT78" s="147"/>
      <c r="CU78" s="291"/>
      <c r="CV78" s="292"/>
    </row>
    <row r="79" spans="2:100">
      <c r="B79">
        <v>21</v>
      </c>
      <c r="C79" s="243">
        <v>0.99999999999999978</v>
      </c>
      <c r="D79" s="592">
        <v>0</v>
      </c>
      <c r="E79" s="245">
        <v>0</v>
      </c>
      <c r="F79" s="243">
        <v>0</v>
      </c>
      <c r="G79" s="245">
        <v>0</v>
      </c>
      <c r="H79" s="243">
        <v>0</v>
      </c>
      <c r="I79" s="245">
        <v>0</v>
      </c>
      <c r="J79" s="242">
        <v>0</v>
      </c>
      <c r="K79" s="242">
        <v>18.947023163026081</v>
      </c>
      <c r="L79" s="242">
        <v>5.0251256281407036E-3</v>
      </c>
      <c r="M79" s="243">
        <v>118.26550179096223</v>
      </c>
      <c r="N79" s="592">
        <v>34.400966623138757</v>
      </c>
      <c r="O79" s="245">
        <v>0.56665174752795677</v>
      </c>
      <c r="P79" s="245">
        <v>1.1926505910892589</v>
      </c>
      <c r="Q79" s="254">
        <v>0</v>
      </c>
      <c r="R79" s="255">
        <v>0</v>
      </c>
      <c r="S79" s="256">
        <v>0</v>
      </c>
      <c r="T79" s="257">
        <v>0</v>
      </c>
      <c r="U79" s="255">
        <v>0</v>
      </c>
      <c r="V79" s="256">
        <v>0</v>
      </c>
      <c r="W79" s="257">
        <v>0</v>
      </c>
      <c r="X79" s="255">
        <v>0</v>
      </c>
      <c r="Y79" s="256">
        <v>0</v>
      </c>
      <c r="Z79" s="257">
        <v>0</v>
      </c>
      <c r="AA79" s="255">
        <v>0</v>
      </c>
      <c r="AB79" s="256">
        <v>0</v>
      </c>
      <c r="AC79" s="257">
        <v>0</v>
      </c>
      <c r="AD79" s="255">
        <v>0</v>
      </c>
      <c r="AE79" s="256">
        <v>0</v>
      </c>
      <c r="AF79" s="257">
        <v>0</v>
      </c>
      <c r="AG79" s="255">
        <v>0</v>
      </c>
      <c r="AH79" s="256">
        <v>0</v>
      </c>
      <c r="AI79" s="257">
        <v>0</v>
      </c>
      <c r="AJ79" s="255">
        <v>0</v>
      </c>
      <c r="AK79" s="256">
        <v>0</v>
      </c>
      <c r="AL79" s="257">
        <v>0</v>
      </c>
      <c r="AM79" s="255">
        <v>0</v>
      </c>
      <c r="AN79" s="256">
        <v>0</v>
      </c>
      <c r="AO79" s="257">
        <v>0</v>
      </c>
      <c r="AP79" s="255">
        <v>0</v>
      </c>
      <c r="AQ79" s="256">
        <v>0</v>
      </c>
      <c r="AR79" s="257">
        <v>0</v>
      </c>
      <c r="AS79" s="255">
        <v>0</v>
      </c>
      <c r="AT79" s="256">
        <v>0</v>
      </c>
      <c r="AU79" s="257">
        <v>0</v>
      </c>
      <c r="AV79" s="255">
        <v>0</v>
      </c>
      <c r="AW79" s="256">
        <v>0</v>
      </c>
      <c r="AX79" s="257">
        <v>0</v>
      </c>
      <c r="AY79" s="243">
        <v>0</v>
      </c>
      <c r="AZ79" s="244">
        <v>0</v>
      </c>
      <c r="BA79" s="244">
        <v>0</v>
      </c>
      <c r="BB79" s="244">
        <v>0</v>
      </c>
      <c r="BC79" s="244">
        <v>0</v>
      </c>
      <c r="BD79" s="244">
        <v>0</v>
      </c>
      <c r="BE79" s="244">
        <v>0</v>
      </c>
      <c r="BF79" s="244">
        <v>0</v>
      </c>
      <c r="BG79" s="244">
        <v>0</v>
      </c>
      <c r="BH79" s="245">
        <v>0</v>
      </c>
      <c r="BK79">
        <v>21</v>
      </c>
      <c r="BL79" s="281">
        <v>0.89949748743718472</v>
      </c>
      <c r="BM79" s="281">
        <v>16050.633165829124</v>
      </c>
      <c r="BN79" s="282">
        <v>9558.4623115577924</v>
      </c>
      <c r="BO79" s="282">
        <v>176.86934673366852</v>
      </c>
      <c r="BP79" s="282">
        <v>0</v>
      </c>
      <c r="BQ79" s="283">
        <v>0</v>
      </c>
      <c r="BR79" s="284"/>
      <c r="BS79" s="147"/>
      <c r="BT79" s="285">
        <v>1</v>
      </c>
      <c r="BU79" s="288">
        <v>3.4430039393564885E-2</v>
      </c>
      <c r="BV79" s="287">
        <v>0</v>
      </c>
      <c r="BW79" s="288">
        <v>0</v>
      </c>
      <c r="BX79" s="286">
        <v>100</v>
      </c>
      <c r="BY79" s="287">
        <v>0</v>
      </c>
      <c r="BZ79" s="288">
        <v>0</v>
      </c>
      <c r="CA79" s="286">
        <v>0.77834597391683746</v>
      </c>
      <c r="CB79" s="286">
        <v>0</v>
      </c>
      <c r="CC79" s="287">
        <v>1.2224756404839232</v>
      </c>
      <c r="CD79" s="286">
        <v>0</v>
      </c>
      <c r="CE79" s="286">
        <v>15.753428242580764</v>
      </c>
      <c r="CF79" s="286">
        <v>0</v>
      </c>
      <c r="CG79" s="287">
        <v>22.399469634623863</v>
      </c>
      <c r="CH79" s="288">
        <v>0</v>
      </c>
      <c r="CI79" s="286">
        <v>1.7405173673541454</v>
      </c>
      <c r="CJ79" s="286">
        <v>0</v>
      </c>
      <c r="CK79" s="287"/>
      <c r="CL79" s="288"/>
      <c r="CM79" s="286"/>
      <c r="CN79" s="287"/>
      <c r="CO79" s="289"/>
      <c r="CP79" s="290"/>
      <c r="CQ79" s="289"/>
      <c r="CR79" s="290"/>
      <c r="CS79" s="284"/>
      <c r="CT79" s="147"/>
      <c r="CU79" s="291"/>
      <c r="CV79" s="292"/>
    </row>
    <row r="80" spans="2:100">
      <c r="B80">
        <v>22</v>
      </c>
      <c r="C80" s="243">
        <v>0.99999999999999978</v>
      </c>
      <c r="D80" s="592">
        <v>0</v>
      </c>
      <c r="E80" s="245">
        <v>0</v>
      </c>
      <c r="F80" s="243">
        <v>0</v>
      </c>
      <c r="G80" s="245">
        <v>0</v>
      </c>
      <c r="H80" s="243">
        <v>0</v>
      </c>
      <c r="I80" s="245">
        <v>0</v>
      </c>
      <c r="J80" s="242">
        <v>0</v>
      </c>
      <c r="K80" s="242">
        <v>18.949066014466869</v>
      </c>
      <c r="L80" s="242">
        <v>5.0251256281407036E-3</v>
      </c>
      <c r="M80" s="243">
        <v>118.23081817680816</v>
      </c>
      <c r="N80" s="592">
        <v>34.366962037084434</v>
      </c>
      <c r="O80" s="245">
        <v>0.56665158517486336</v>
      </c>
      <c r="P80" s="245">
        <v>1.1927791816312876</v>
      </c>
      <c r="Q80" s="254">
        <v>0</v>
      </c>
      <c r="R80" s="255">
        <v>0</v>
      </c>
      <c r="S80" s="256">
        <v>0</v>
      </c>
      <c r="T80" s="257">
        <v>0</v>
      </c>
      <c r="U80" s="255">
        <v>0</v>
      </c>
      <c r="V80" s="256">
        <v>0</v>
      </c>
      <c r="W80" s="257">
        <v>0</v>
      </c>
      <c r="X80" s="255">
        <v>0</v>
      </c>
      <c r="Y80" s="256">
        <v>0</v>
      </c>
      <c r="Z80" s="257">
        <v>0</v>
      </c>
      <c r="AA80" s="255">
        <v>0</v>
      </c>
      <c r="AB80" s="256">
        <v>0</v>
      </c>
      <c r="AC80" s="257">
        <v>0</v>
      </c>
      <c r="AD80" s="255">
        <v>0</v>
      </c>
      <c r="AE80" s="256">
        <v>0</v>
      </c>
      <c r="AF80" s="257">
        <v>0</v>
      </c>
      <c r="AG80" s="255">
        <v>0</v>
      </c>
      <c r="AH80" s="256">
        <v>0</v>
      </c>
      <c r="AI80" s="257">
        <v>0</v>
      </c>
      <c r="AJ80" s="255">
        <v>0</v>
      </c>
      <c r="AK80" s="256">
        <v>0</v>
      </c>
      <c r="AL80" s="257">
        <v>0</v>
      </c>
      <c r="AM80" s="255">
        <v>0</v>
      </c>
      <c r="AN80" s="256">
        <v>0</v>
      </c>
      <c r="AO80" s="257">
        <v>0</v>
      </c>
      <c r="AP80" s="255">
        <v>0</v>
      </c>
      <c r="AQ80" s="256">
        <v>0</v>
      </c>
      <c r="AR80" s="257">
        <v>0</v>
      </c>
      <c r="AS80" s="255">
        <v>0</v>
      </c>
      <c r="AT80" s="256">
        <v>0</v>
      </c>
      <c r="AU80" s="257">
        <v>0</v>
      </c>
      <c r="AV80" s="255">
        <v>0</v>
      </c>
      <c r="AW80" s="256">
        <v>0</v>
      </c>
      <c r="AX80" s="257">
        <v>0</v>
      </c>
      <c r="AY80" s="243">
        <v>0</v>
      </c>
      <c r="AZ80" s="244">
        <v>0</v>
      </c>
      <c r="BA80" s="244">
        <v>0</v>
      </c>
      <c r="BB80" s="244">
        <v>0</v>
      </c>
      <c r="BC80" s="244">
        <v>0</v>
      </c>
      <c r="BD80" s="244">
        <v>0</v>
      </c>
      <c r="BE80" s="244">
        <v>0</v>
      </c>
      <c r="BF80" s="244">
        <v>0</v>
      </c>
      <c r="BG80" s="244">
        <v>0</v>
      </c>
      <c r="BH80" s="245">
        <v>0</v>
      </c>
      <c r="BK80">
        <v>22</v>
      </c>
      <c r="BL80" s="281">
        <v>0.89447236180904399</v>
      </c>
      <c r="BM80" s="281">
        <v>15960.964824120581</v>
      </c>
      <c r="BN80" s="282">
        <v>9526.085427135682</v>
      </c>
      <c r="BO80" s="282">
        <v>176.56281407035195</v>
      </c>
      <c r="BP80" s="282">
        <v>0</v>
      </c>
      <c r="BQ80" s="283">
        <v>0</v>
      </c>
      <c r="BR80" s="284"/>
      <c r="BS80" s="147"/>
      <c r="BT80" s="285">
        <v>1</v>
      </c>
      <c r="BU80" s="288">
        <v>3.4430039393564885E-2</v>
      </c>
      <c r="BV80" s="287">
        <v>0</v>
      </c>
      <c r="BW80" s="288">
        <v>0</v>
      </c>
      <c r="BX80" s="286">
        <v>100</v>
      </c>
      <c r="BY80" s="287">
        <v>0</v>
      </c>
      <c r="BZ80" s="288">
        <v>0</v>
      </c>
      <c r="CA80" s="286">
        <v>0.77826206238299001</v>
      </c>
      <c r="CB80" s="286">
        <v>0</v>
      </c>
      <c r="CC80" s="287">
        <v>1.2224397295843148</v>
      </c>
      <c r="CD80" s="286">
        <v>0</v>
      </c>
      <c r="CE80" s="286">
        <v>15.753278302131589</v>
      </c>
      <c r="CF80" s="286">
        <v>0</v>
      </c>
      <c r="CG80" s="287">
        <v>22.400686337241375</v>
      </c>
      <c r="CH80" s="288">
        <v>0</v>
      </c>
      <c r="CI80" s="286">
        <v>1.7412128011319992</v>
      </c>
      <c r="CJ80" s="286">
        <v>0</v>
      </c>
      <c r="CK80" s="287"/>
      <c r="CL80" s="288"/>
      <c r="CM80" s="286"/>
      <c r="CN80" s="287"/>
      <c r="CO80" s="289"/>
      <c r="CP80" s="290"/>
      <c r="CQ80" s="289"/>
      <c r="CR80" s="290"/>
      <c r="CS80" s="284"/>
      <c r="CT80" s="147"/>
      <c r="CU80" s="291"/>
      <c r="CV80" s="292"/>
    </row>
    <row r="81" spans="2:100">
      <c r="B81">
        <v>23</v>
      </c>
      <c r="C81" s="243">
        <v>0.99999999999999989</v>
      </c>
      <c r="D81" s="592">
        <v>0</v>
      </c>
      <c r="E81" s="245">
        <v>0</v>
      </c>
      <c r="F81" s="243">
        <v>0</v>
      </c>
      <c r="G81" s="245">
        <v>0</v>
      </c>
      <c r="H81" s="243">
        <v>0</v>
      </c>
      <c r="I81" s="245">
        <v>0</v>
      </c>
      <c r="J81" s="242">
        <v>0</v>
      </c>
      <c r="K81" s="242">
        <v>18.951113438997467</v>
      </c>
      <c r="L81" s="242">
        <v>5.0251256281407036E-3</v>
      </c>
      <c r="M81" s="243">
        <v>118.19630388362032</v>
      </c>
      <c r="N81" s="592">
        <v>34.332703852671784</v>
      </c>
      <c r="O81" s="245">
        <v>0.56665243362047946</v>
      </c>
      <c r="P81" s="245">
        <v>1.1929080600337478</v>
      </c>
      <c r="Q81" s="254">
        <v>0</v>
      </c>
      <c r="R81" s="255">
        <v>0</v>
      </c>
      <c r="S81" s="256">
        <v>0</v>
      </c>
      <c r="T81" s="257">
        <v>0</v>
      </c>
      <c r="U81" s="255">
        <v>0</v>
      </c>
      <c r="V81" s="256">
        <v>0</v>
      </c>
      <c r="W81" s="257">
        <v>0</v>
      </c>
      <c r="X81" s="255">
        <v>0</v>
      </c>
      <c r="Y81" s="256">
        <v>0</v>
      </c>
      <c r="Z81" s="257">
        <v>0</v>
      </c>
      <c r="AA81" s="255">
        <v>0</v>
      </c>
      <c r="AB81" s="256">
        <v>0</v>
      </c>
      <c r="AC81" s="257">
        <v>0</v>
      </c>
      <c r="AD81" s="255">
        <v>0</v>
      </c>
      <c r="AE81" s="256">
        <v>0</v>
      </c>
      <c r="AF81" s="257">
        <v>0</v>
      </c>
      <c r="AG81" s="255">
        <v>0</v>
      </c>
      <c r="AH81" s="256">
        <v>0</v>
      </c>
      <c r="AI81" s="257">
        <v>0</v>
      </c>
      <c r="AJ81" s="255">
        <v>0</v>
      </c>
      <c r="AK81" s="256">
        <v>0</v>
      </c>
      <c r="AL81" s="257">
        <v>0</v>
      </c>
      <c r="AM81" s="255">
        <v>0</v>
      </c>
      <c r="AN81" s="256">
        <v>0</v>
      </c>
      <c r="AO81" s="257">
        <v>0</v>
      </c>
      <c r="AP81" s="255">
        <v>0</v>
      </c>
      <c r="AQ81" s="256">
        <v>0</v>
      </c>
      <c r="AR81" s="257">
        <v>0</v>
      </c>
      <c r="AS81" s="255">
        <v>0</v>
      </c>
      <c r="AT81" s="256">
        <v>0</v>
      </c>
      <c r="AU81" s="257">
        <v>0</v>
      </c>
      <c r="AV81" s="255">
        <v>0</v>
      </c>
      <c r="AW81" s="256">
        <v>0</v>
      </c>
      <c r="AX81" s="257">
        <v>0</v>
      </c>
      <c r="AY81" s="243">
        <v>0</v>
      </c>
      <c r="AZ81" s="244">
        <v>0</v>
      </c>
      <c r="BA81" s="244">
        <v>0</v>
      </c>
      <c r="BB81" s="244">
        <v>0</v>
      </c>
      <c r="BC81" s="244">
        <v>0</v>
      </c>
      <c r="BD81" s="244">
        <v>0</v>
      </c>
      <c r="BE81" s="244">
        <v>0</v>
      </c>
      <c r="BF81" s="244">
        <v>0</v>
      </c>
      <c r="BG81" s="244">
        <v>0</v>
      </c>
      <c r="BH81" s="245">
        <v>0</v>
      </c>
      <c r="BK81">
        <v>23</v>
      </c>
      <c r="BL81" s="281">
        <v>0.88944723618090338</v>
      </c>
      <c r="BM81" s="281">
        <v>15871.296482412039</v>
      </c>
      <c r="BN81" s="282">
        <v>9493.7085427135717</v>
      </c>
      <c r="BO81" s="282">
        <v>176.25628140703537</v>
      </c>
      <c r="BP81" s="282">
        <v>0</v>
      </c>
      <c r="BQ81" s="283">
        <v>0</v>
      </c>
      <c r="BR81" s="284"/>
      <c r="BS81" s="147"/>
      <c r="BT81" s="285">
        <v>1</v>
      </c>
      <c r="BU81" s="288">
        <v>3.4430039393564885E-2</v>
      </c>
      <c r="BV81" s="287">
        <v>0</v>
      </c>
      <c r="BW81" s="288">
        <v>0</v>
      </c>
      <c r="BX81" s="286">
        <v>100</v>
      </c>
      <c r="BY81" s="287">
        <v>0</v>
      </c>
      <c r="BZ81" s="288">
        <v>0</v>
      </c>
      <c r="CA81" s="286">
        <v>0.77817798115774262</v>
      </c>
      <c r="CB81" s="286">
        <v>0</v>
      </c>
      <c r="CC81" s="287">
        <v>1.2224038102931747</v>
      </c>
      <c r="CD81" s="286">
        <v>0</v>
      </c>
      <c r="CE81" s="286">
        <v>15.75312539190508</v>
      </c>
      <c r="CF81" s="286">
        <v>0</v>
      </c>
      <c r="CG81" s="287">
        <v>22.401903129199475</v>
      </c>
      <c r="CH81" s="288">
        <v>0</v>
      </c>
      <c r="CI81" s="286">
        <v>1.7419222803145731</v>
      </c>
      <c r="CJ81" s="286">
        <v>0</v>
      </c>
      <c r="CK81" s="287"/>
      <c r="CL81" s="288"/>
      <c r="CM81" s="286"/>
      <c r="CN81" s="287"/>
      <c r="CO81" s="289"/>
      <c r="CP81" s="290"/>
      <c r="CQ81" s="289"/>
      <c r="CR81" s="290"/>
      <c r="CS81" s="284"/>
      <c r="CT81" s="147"/>
      <c r="CU81" s="291"/>
      <c r="CV81" s="292"/>
    </row>
    <row r="82" spans="2:100">
      <c r="B82">
        <v>24</v>
      </c>
      <c r="C82" s="243">
        <v>0.99999999999999978</v>
      </c>
      <c r="D82" s="592">
        <v>0</v>
      </c>
      <c r="E82" s="245">
        <v>0</v>
      </c>
      <c r="F82" s="243">
        <v>0</v>
      </c>
      <c r="G82" s="245">
        <v>0</v>
      </c>
      <c r="H82" s="243">
        <v>0</v>
      </c>
      <c r="I82" s="245">
        <v>0</v>
      </c>
      <c r="J82" s="242">
        <v>0</v>
      </c>
      <c r="K82" s="242">
        <v>18.953165456870174</v>
      </c>
      <c r="L82" s="242">
        <v>5.0251256281407036E-3</v>
      </c>
      <c r="M82" s="243">
        <v>118.16195966716285</v>
      </c>
      <c r="N82" s="592">
        <v>34.298193346460039</v>
      </c>
      <c r="O82" s="245">
        <v>0.56665428631263226</v>
      </c>
      <c r="P82" s="245">
        <v>1.1930372275714529</v>
      </c>
      <c r="Q82" s="254">
        <v>0</v>
      </c>
      <c r="R82" s="255">
        <v>0</v>
      </c>
      <c r="S82" s="256">
        <v>0</v>
      </c>
      <c r="T82" s="257">
        <v>0</v>
      </c>
      <c r="U82" s="255">
        <v>0</v>
      </c>
      <c r="V82" s="256">
        <v>0</v>
      </c>
      <c r="W82" s="257">
        <v>0</v>
      </c>
      <c r="X82" s="255">
        <v>0</v>
      </c>
      <c r="Y82" s="256">
        <v>0</v>
      </c>
      <c r="Z82" s="257">
        <v>0</v>
      </c>
      <c r="AA82" s="255">
        <v>0</v>
      </c>
      <c r="AB82" s="256">
        <v>0</v>
      </c>
      <c r="AC82" s="257">
        <v>0</v>
      </c>
      <c r="AD82" s="255">
        <v>0</v>
      </c>
      <c r="AE82" s="256">
        <v>0</v>
      </c>
      <c r="AF82" s="257">
        <v>0</v>
      </c>
      <c r="AG82" s="255">
        <v>0</v>
      </c>
      <c r="AH82" s="256">
        <v>0</v>
      </c>
      <c r="AI82" s="257">
        <v>0</v>
      </c>
      <c r="AJ82" s="255">
        <v>0</v>
      </c>
      <c r="AK82" s="256">
        <v>0</v>
      </c>
      <c r="AL82" s="257">
        <v>0</v>
      </c>
      <c r="AM82" s="255">
        <v>0</v>
      </c>
      <c r="AN82" s="256">
        <v>0</v>
      </c>
      <c r="AO82" s="257">
        <v>0</v>
      </c>
      <c r="AP82" s="255">
        <v>0</v>
      </c>
      <c r="AQ82" s="256">
        <v>0</v>
      </c>
      <c r="AR82" s="257">
        <v>0</v>
      </c>
      <c r="AS82" s="255">
        <v>0</v>
      </c>
      <c r="AT82" s="256">
        <v>0</v>
      </c>
      <c r="AU82" s="257">
        <v>0</v>
      </c>
      <c r="AV82" s="255">
        <v>0</v>
      </c>
      <c r="AW82" s="256">
        <v>0</v>
      </c>
      <c r="AX82" s="257">
        <v>0</v>
      </c>
      <c r="AY82" s="243">
        <v>0</v>
      </c>
      <c r="AZ82" s="244">
        <v>0</v>
      </c>
      <c r="BA82" s="244">
        <v>0</v>
      </c>
      <c r="BB82" s="244">
        <v>0</v>
      </c>
      <c r="BC82" s="244">
        <v>0</v>
      </c>
      <c r="BD82" s="244">
        <v>0</v>
      </c>
      <c r="BE82" s="244">
        <v>0</v>
      </c>
      <c r="BF82" s="244">
        <v>0</v>
      </c>
      <c r="BG82" s="244">
        <v>0</v>
      </c>
      <c r="BH82" s="245">
        <v>0</v>
      </c>
      <c r="BK82">
        <v>24</v>
      </c>
      <c r="BL82" s="281">
        <v>0.88442211055276265</v>
      </c>
      <c r="BM82" s="281">
        <v>15781.628140703497</v>
      </c>
      <c r="BN82" s="282">
        <v>9461.3316582914613</v>
      </c>
      <c r="BO82" s="282">
        <v>175.9497487437188</v>
      </c>
      <c r="BP82" s="282">
        <v>0</v>
      </c>
      <c r="BQ82" s="283">
        <v>0</v>
      </c>
      <c r="BR82" s="284"/>
      <c r="BS82" s="147"/>
      <c r="BT82" s="285">
        <v>1</v>
      </c>
      <c r="BU82" s="288">
        <v>3.4430039393564885E-2</v>
      </c>
      <c r="BV82" s="287">
        <v>0</v>
      </c>
      <c r="BW82" s="288">
        <v>0</v>
      </c>
      <c r="BX82" s="286">
        <v>100</v>
      </c>
      <c r="BY82" s="287">
        <v>0</v>
      </c>
      <c r="BZ82" s="288">
        <v>0</v>
      </c>
      <c r="CA82" s="286">
        <v>0.77809372952552225</v>
      </c>
      <c r="CB82" s="286">
        <v>0</v>
      </c>
      <c r="CC82" s="287">
        <v>1.2223678825890263</v>
      </c>
      <c r="CD82" s="286">
        <v>0</v>
      </c>
      <c r="CE82" s="286">
        <v>15.752969498825188</v>
      </c>
      <c r="CF82" s="286">
        <v>0</v>
      </c>
      <c r="CG82" s="287">
        <v>22.403120010373069</v>
      </c>
      <c r="CH82" s="288">
        <v>0</v>
      </c>
      <c r="CI82" s="286">
        <v>1.7426457968133813</v>
      </c>
      <c r="CJ82" s="286">
        <v>0</v>
      </c>
      <c r="CK82" s="287"/>
      <c r="CL82" s="288"/>
      <c r="CM82" s="286"/>
      <c r="CN82" s="287"/>
      <c r="CO82" s="289"/>
      <c r="CP82" s="290"/>
      <c r="CQ82" s="289"/>
      <c r="CR82" s="290"/>
      <c r="CS82" s="284"/>
      <c r="CT82" s="147"/>
      <c r="CU82" s="291"/>
      <c r="CV82" s="292"/>
    </row>
    <row r="83" spans="2:100">
      <c r="B83">
        <v>25</v>
      </c>
      <c r="C83" s="243">
        <v>0.99999999999999989</v>
      </c>
      <c r="D83" s="592">
        <v>0</v>
      </c>
      <c r="E83" s="245">
        <v>0</v>
      </c>
      <c r="F83" s="243">
        <v>0</v>
      </c>
      <c r="G83" s="245">
        <v>0</v>
      </c>
      <c r="H83" s="243">
        <v>0</v>
      </c>
      <c r="I83" s="245">
        <v>0</v>
      </c>
      <c r="J83" s="242">
        <v>0</v>
      </c>
      <c r="K83" s="242">
        <v>18.955222088464339</v>
      </c>
      <c r="L83" s="242">
        <v>5.0251256281407036E-3</v>
      </c>
      <c r="M83" s="243">
        <v>118.12778628808493</v>
      </c>
      <c r="N83" s="592">
        <v>34.263431796411389</v>
      </c>
      <c r="O83" s="245">
        <v>0.56665713664435746</v>
      </c>
      <c r="P83" s="245">
        <v>1.1931666855272136</v>
      </c>
      <c r="Q83" s="254">
        <v>0</v>
      </c>
      <c r="R83" s="255">
        <v>0</v>
      </c>
      <c r="S83" s="256">
        <v>0</v>
      </c>
      <c r="T83" s="257">
        <v>0</v>
      </c>
      <c r="U83" s="255">
        <v>0</v>
      </c>
      <c r="V83" s="256">
        <v>0</v>
      </c>
      <c r="W83" s="257">
        <v>0</v>
      </c>
      <c r="X83" s="255">
        <v>0</v>
      </c>
      <c r="Y83" s="256">
        <v>0</v>
      </c>
      <c r="Z83" s="257">
        <v>0</v>
      </c>
      <c r="AA83" s="255">
        <v>0</v>
      </c>
      <c r="AB83" s="256">
        <v>0</v>
      </c>
      <c r="AC83" s="257">
        <v>0</v>
      </c>
      <c r="AD83" s="255">
        <v>0</v>
      </c>
      <c r="AE83" s="256">
        <v>0</v>
      </c>
      <c r="AF83" s="257">
        <v>0</v>
      </c>
      <c r="AG83" s="255">
        <v>0</v>
      </c>
      <c r="AH83" s="256">
        <v>0</v>
      </c>
      <c r="AI83" s="257">
        <v>0</v>
      </c>
      <c r="AJ83" s="255">
        <v>0</v>
      </c>
      <c r="AK83" s="256">
        <v>0</v>
      </c>
      <c r="AL83" s="257">
        <v>0</v>
      </c>
      <c r="AM83" s="255">
        <v>0</v>
      </c>
      <c r="AN83" s="256">
        <v>0</v>
      </c>
      <c r="AO83" s="257">
        <v>0</v>
      </c>
      <c r="AP83" s="255">
        <v>0</v>
      </c>
      <c r="AQ83" s="256">
        <v>0</v>
      </c>
      <c r="AR83" s="257">
        <v>0</v>
      </c>
      <c r="AS83" s="255">
        <v>0</v>
      </c>
      <c r="AT83" s="256">
        <v>0</v>
      </c>
      <c r="AU83" s="257">
        <v>0</v>
      </c>
      <c r="AV83" s="255">
        <v>0</v>
      </c>
      <c r="AW83" s="256">
        <v>0</v>
      </c>
      <c r="AX83" s="257">
        <v>0</v>
      </c>
      <c r="AY83" s="243">
        <v>0</v>
      </c>
      <c r="AZ83" s="244">
        <v>0</v>
      </c>
      <c r="BA83" s="244">
        <v>0</v>
      </c>
      <c r="BB83" s="244">
        <v>0</v>
      </c>
      <c r="BC83" s="244">
        <v>0</v>
      </c>
      <c r="BD83" s="244">
        <v>0</v>
      </c>
      <c r="BE83" s="244">
        <v>0</v>
      </c>
      <c r="BF83" s="244">
        <v>0</v>
      </c>
      <c r="BG83" s="244">
        <v>0</v>
      </c>
      <c r="BH83" s="245">
        <v>0</v>
      </c>
      <c r="BK83">
        <v>25</v>
      </c>
      <c r="BL83" s="281">
        <v>0.87939698492462193</v>
      </c>
      <c r="BM83" s="281">
        <v>15691.959798994954</v>
      </c>
      <c r="BN83" s="282">
        <v>9428.9547738693509</v>
      </c>
      <c r="BO83" s="282">
        <v>175.64321608040223</v>
      </c>
      <c r="BP83" s="282">
        <v>0</v>
      </c>
      <c r="BQ83" s="283">
        <v>0</v>
      </c>
      <c r="BR83" s="284"/>
      <c r="BS83" s="147"/>
      <c r="BT83" s="285">
        <v>1</v>
      </c>
      <c r="BU83" s="288">
        <v>3.4430039393564885E-2</v>
      </c>
      <c r="BV83" s="287">
        <v>0</v>
      </c>
      <c r="BW83" s="288">
        <v>0</v>
      </c>
      <c r="BX83" s="286">
        <v>100</v>
      </c>
      <c r="BY83" s="287">
        <v>0</v>
      </c>
      <c r="BZ83" s="288">
        <v>0</v>
      </c>
      <c r="CA83" s="286">
        <v>0.77800930676645896</v>
      </c>
      <c r="CB83" s="286">
        <v>0</v>
      </c>
      <c r="CC83" s="287">
        <v>1.2223319464503273</v>
      </c>
      <c r="CD83" s="286">
        <v>0</v>
      </c>
      <c r="CE83" s="286">
        <v>15.752810609736564</v>
      </c>
      <c r="CF83" s="286">
        <v>0</v>
      </c>
      <c r="CG83" s="287">
        <v>22.404336980636291</v>
      </c>
      <c r="CH83" s="288">
        <v>0</v>
      </c>
      <c r="CI83" s="286">
        <v>1.7433833429430023</v>
      </c>
      <c r="CJ83" s="286">
        <v>0</v>
      </c>
      <c r="CK83" s="287"/>
      <c r="CL83" s="288"/>
      <c r="CM83" s="286"/>
      <c r="CN83" s="287"/>
      <c r="CO83" s="289"/>
      <c r="CP83" s="290"/>
      <c r="CQ83" s="289"/>
      <c r="CR83" s="290"/>
      <c r="CS83" s="284"/>
      <c r="CT83" s="147"/>
      <c r="CU83" s="291"/>
      <c r="CV83" s="292"/>
    </row>
    <row r="84" spans="2:100">
      <c r="B84">
        <v>26</v>
      </c>
      <c r="C84" s="243">
        <v>0.99999999999999978</v>
      </c>
      <c r="D84" s="592">
        <v>0</v>
      </c>
      <c r="E84" s="245">
        <v>0</v>
      </c>
      <c r="F84" s="243">
        <v>0</v>
      </c>
      <c r="G84" s="245">
        <v>0</v>
      </c>
      <c r="H84" s="243">
        <v>0</v>
      </c>
      <c r="I84" s="245">
        <v>0</v>
      </c>
      <c r="J84" s="242">
        <v>0</v>
      </c>
      <c r="K84" s="242">
        <v>18.957283354287387</v>
      </c>
      <c r="L84" s="242">
        <v>5.0251256281407036E-3</v>
      </c>
      <c r="M84" s="243">
        <v>118.09378451195921</v>
      </c>
      <c r="N84" s="592">
        <v>34.228420481856666</v>
      </c>
      <c r="O84" s="245">
        <v>0.56666097795397952</v>
      </c>
      <c r="P84" s="245">
        <v>1.1932964351919022</v>
      </c>
      <c r="Q84" s="254">
        <v>0</v>
      </c>
      <c r="R84" s="255">
        <v>0</v>
      </c>
      <c r="S84" s="256">
        <v>0</v>
      </c>
      <c r="T84" s="257">
        <v>0</v>
      </c>
      <c r="U84" s="255">
        <v>0</v>
      </c>
      <c r="V84" s="256">
        <v>0</v>
      </c>
      <c r="W84" s="257">
        <v>0</v>
      </c>
      <c r="X84" s="255">
        <v>0</v>
      </c>
      <c r="Y84" s="256">
        <v>0</v>
      </c>
      <c r="Z84" s="257">
        <v>0</v>
      </c>
      <c r="AA84" s="255">
        <v>0</v>
      </c>
      <c r="AB84" s="256">
        <v>0</v>
      </c>
      <c r="AC84" s="257">
        <v>0</v>
      </c>
      <c r="AD84" s="255">
        <v>0</v>
      </c>
      <c r="AE84" s="256">
        <v>0</v>
      </c>
      <c r="AF84" s="257">
        <v>0</v>
      </c>
      <c r="AG84" s="255">
        <v>0</v>
      </c>
      <c r="AH84" s="256">
        <v>0</v>
      </c>
      <c r="AI84" s="257">
        <v>0</v>
      </c>
      <c r="AJ84" s="255">
        <v>0</v>
      </c>
      <c r="AK84" s="256">
        <v>0</v>
      </c>
      <c r="AL84" s="257">
        <v>0</v>
      </c>
      <c r="AM84" s="255">
        <v>0</v>
      </c>
      <c r="AN84" s="256">
        <v>0</v>
      </c>
      <c r="AO84" s="257">
        <v>0</v>
      </c>
      <c r="AP84" s="255">
        <v>0</v>
      </c>
      <c r="AQ84" s="256">
        <v>0</v>
      </c>
      <c r="AR84" s="257">
        <v>0</v>
      </c>
      <c r="AS84" s="255">
        <v>0</v>
      </c>
      <c r="AT84" s="256">
        <v>0</v>
      </c>
      <c r="AU84" s="257">
        <v>0</v>
      </c>
      <c r="AV84" s="255">
        <v>0</v>
      </c>
      <c r="AW84" s="256">
        <v>0</v>
      </c>
      <c r="AX84" s="257">
        <v>0</v>
      </c>
      <c r="AY84" s="243">
        <v>0</v>
      </c>
      <c r="AZ84" s="244">
        <v>0</v>
      </c>
      <c r="BA84" s="244">
        <v>0</v>
      </c>
      <c r="BB84" s="244">
        <v>0</v>
      </c>
      <c r="BC84" s="244">
        <v>0</v>
      </c>
      <c r="BD84" s="244">
        <v>0</v>
      </c>
      <c r="BE84" s="244">
        <v>0</v>
      </c>
      <c r="BF84" s="244">
        <v>0</v>
      </c>
      <c r="BG84" s="244">
        <v>0</v>
      </c>
      <c r="BH84" s="245">
        <v>0</v>
      </c>
      <c r="BK84">
        <v>26</v>
      </c>
      <c r="BL84" s="281">
        <v>0.87437185929648131</v>
      </c>
      <c r="BM84" s="281">
        <v>15602.291457286412</v>
      </c>
      <c r="BN84" s="282">
        <v>9396.5778894472405</v>
      </c>
      <c r="BO84" s="282">
        <v>175.33668341708565</v>
      </c>
      <c r="BP84" s="282">
        <v>0</v>
      </c>
      <c r="BQ84" s="283">
        <v>0</v>
      </c>
      <c r="BR84" s="284"/>
      <c r="BS84" s="147"/>
      <c r="BT84" s="285">
        <v>1</v>
      </c>
      <c r="BU84" s="288">
        <v>3.4430039393564885E-2</v>
      </c>
      <c r="BV84" s="287">
        <v>0</v>
      </c>
      <c r="BW84" s="288">
        <v>0</v>
      </c>
      <c r="BX84" s="286">
        <v>100</v>
      </c>
      <c r="BY84" s="287">
        <v>0</v>
      </c>
      <c r="BZ84" s="288">
        <v>0</v>
      </c>
      <c r="CA84" s="286">
        <v>0.77792471215635162</v>
      </c>
      <c r="CB84" s="286">
        <v>0</v>
      </c>
      <c r="CC84" s="287">
        <v>1.2222960018554714</v>
      </c>
      <c r="CD84" s="286">
        <v>0</v>
      </c>
      <c r="CE84" s="286">
        <v>15.752648711403996</v>
      </c>
      <c r="CF84" s="286">
        <v>0</v>
      </c>
      <c r="CG84" s="287">
        <v>22.405554039862526</v>
      </c>
      <c r="CH84" s="288">
        <v>0</v>
      </c>
      <c r="CI84" s="286">
        <v>1.74413491141887</v>
      </c>
      <c r="CJ84" s="286">
        <v>0</v>
      </c>
      <c r="CK84" s="287"/>
      <c r="CL84" s="288"/>
      <c r="CM84" s="286"/>
      <c r="CN84" s="287"/>
      <c r="CO84" s="289"/>
      <c r="CP84" s="290"/>
      <c r="CQ84" s="289"/>
      <c r="CR84" s="290"/>
      <c r="CS84" s="284"/>
      <c r="CT84" s="147"/>
      <c r="CU84" s="291"/>
      <c r="CV84" s="292"/>
    </row>
    <row r="85" spans="2:100">
      <c r="B85">
        <v>27</v>
      </c>
      <c r="C85" s="243">
        <v>0.99999999999999978</v>
      </c>
      <c r="D85" s="592">
        <v>0</v>
      </c>
      <c r="E85" s="245">
        <v>0</v>
      </c>
      <c r="F85" s="243">
        <v>0</v>
      </c>
      <c r="G85" s="245">
        <v>0</v>
      </c>
      <c r="H85" s="243">
        <v>0</v>
      </c>
      <c r="I85" s="245">
        <v>0</v>
      </c>
      <c r="J85" s="242">
        <v>0</v>
      </c>
      <c r="K85" s="242">
        <v>18.959349274975828</v>
      </c>
      <c r="L85" s="242">
        <v>5.0251256281407036E-3</v>
      </c>
      <c r="M85" s="243">
        <v>118.05995510931834</v>
      </c>
      <c r="N85" s="592">
        <v>34.193160683461869</v>
      </c>
      <c r="O85" s="245">
        <v>0.56666580352518026</v>
      </c>
      <c r="P85" s="245">
        <v>1.1934264778645169</v>
      </c>
      <c r="Q85" s="254">
        <v>0</v>
      </c>
      <c r="R85" s="255">
        <v>0</v>
      </c>
      <c r="S85" s="256">
        <v>0</v>
      </c>
      <c r="T85" s="257">
        <v>0</v>
      </c>
      <c r="U85" s="255">
        <v>0</v>
      </c>
      <c r="V85" s="256">
        <v>0</v>
      </c>
      <c r="W85" s="257">
        <v>0</v>
      </c>
      <c r="X85" s="255">
        <v>0</v>
      </c>
      <c r="Y85" s="256">
        <v>0</v>
      </c>
      <c r="Z85" s="257">
        <v>0</v>
      </c>
      <c r="AA85" s="255">
        <v>0</v>
      </c>
      <c r="AB85" s="256">
        <v>0</v>
      </c>
      <c r="AC85" s="257">
        <v>0</v>
      </c>
      <c r="AD85" s="255">
        <v>0</v>
      </c>
      <c r="AE85" s="256">
        <v>0</v>
      </c>
      <c r="AF85" s="257">
        <v>0</v>
      </c>
      <c r="AG85" s="255">
        <v>0</v>
      </c>
      <c r="AH85" s="256">
        <v>0</v>
      </c>
      <c r="AI85" s="257">
        <v>0</v>
      </c>
      <c r="AJ85" s="255">
        <v>0</v>
      </c>
      <c r="AK85" s="256">
        <v>0</v>
      </c>
      <c r="AL85" s="257">
        <v>0</v>
      </c>
      <c r="AM85" s="255">
        <v>0</v>
      </c>
      <c r="AN85" s="256">
        <v>0</v>
      </c>
      <c r="AO85" s="257">
        <v>0</v>
      </c>
      <c r="AP85" s="255">
        <v>0</v>
      </c>
      <c r="AQ85" s="256">
        <v>0</v>
      </c>
      <c r="AR85" s="257">
        <v>0</v>
      </c>
      <c r="AS85" s="255">
        <v>0</v>
      </c>
      <c r="AT85" s="256">
        <v>0</v>
      </c>
      <c r="AU85" s="257">
        <v>0</v>
      </c>
      <c r="AV85" s="255">
        <v>0</v>
      </c>
      <c r="AW85" s="256">
        <v>0</v>
      </c>
      <c r="AX85" s="257">
        <v>0</v>
      </c>
      <c r="AY85" s="243">
        <v>0</v>
      </c>
      <c r="AZ85" s="244">
        <v>0</v>
      </c>
      <c r="BA85" s="244">
        <v>0</v>
      </c>
      <c r="BB85" s="244">
        <v>0</v>
      </c>
      <c r="BC85" s="244">
        <v>0</v>
      </c>
      <c r="BD85" s="244">
        <v>0</v>
      </c>
      <c r="BE85" s="244">
        <v>0</v>
      </c>
      <c r="BF85" s="244">
        <v>0</v>
      </c>
      <c r="BG85" s="244">
        <v>0</v>
      </c>
      <c r="BH85" s="245">
        <v>0</v>
      </c>
      <c r="BK85">
        <v>27</v>
      </c>
      <c r="BL85" s="281">
        <v>0.86934673366834059</v>
      </c>
      <c r="BM85" s="281">
        <v>15512.62311557787</v>
      </c>
      <c r="BN85" s="282">
        <v>9364.2010050251301</v>
      </c>
      <c r="BO85" s="282">
        <v>175.03015075376908</v>
      </c>
      <c r="BP85" s="282">
        <v>0</v>
      </c>
      <c r="BQ85" s="283">
        <v>0</v>
      </c>
      <c r="BR85" s="284"/>
      <c r="BS85" s="147"/>
      <c r="BT85" s="285">
        <v>1</v>
      </c>
      <c r="BU85" s="288">
        <v>3.4430039393564885E-2</v>
      </c>
      <c r="BV85" s="287">
        <v>0</v>
      </c>
      <c r="BW85" s="288">
        <v>0</v>
      </c>
      <c r="BX85" s="286">
        <v>100</v>
      </c>
      <c r="BY85" s="287">
        <v>0</v>
      </c>
      <c r="BZ85" s="288">
        <v>0</v>
      </c>
      <c r="CA85" s="286">
        <v>0.77783994496663511</v>
      </c>
      <c r="CB85" s="286">
        <v>0</v>
      </c>
      <c r="CC85" s="287">
        <v>1.2222600487827839</v>
      </c>
      <c r="CD85" s="286">
        <v>0</v>
      </c>
      <c r="CE85" s="286">
        <v>15.752483790511761</v>
      </c>
      <c r="CF85" s="286">
        <v>0</v>
      </c>
      <c r="CG85" s="287">
        <v>22.406771187924335</v>
      </c>
      <c r="CH85" s="288">
        <v>0</v>
      </c>
      <c r="CI85" s="286">
        <v>1.7449004953550302</v>
      </c>
      <c r="CJ85" s="286">
        <v>0</v>
      </c>
      <c r="CK85" s="287"/>
      <c r="CL85" s="288"/>
      <c r="CM85" s="286"/>
      <c r="CN85" s="287"/>
      <c r="CO85" s="289"/>
      <c r="CP85" s="290"/>
      <c r="CQ85" s="289"/>
      <c r="CR85" s="290"/>
      <c r="CS85" s="284"/>
      <c r="CT85" s="147"/>
      <c r="CU85" s="291"/>
      <c r="CV85" s="292"/>
    </row>
    <row r="86" spans="2:100">
      <c r="B86">
        <v>28</v>
      </c>
      <c r="C86" s="243">
        <v>1</v>
      </c>
      <c r="D86" s="592">
        <v>0</v>
      </c>
      <c r="E86" s="245">
        <v>0</v>
      </c>
      <c r="F86" s="243">
        <v>0</v>
      </c>
      <c r="G86" s="245">
        <v>0</v>
      </c>
      <c r="H86" s="243">
        <v>0</v>
      </c>
      <c r="I86" s="245">
        <v>0</v>
      </c>
      <c r="J86" s="242">
        <v>0</v>
      </c>
      <c r="K86" s="242">
        <v>18.961419871296368</v>
      </c>
      <c r="L86" s="242">
        <v>5.0251256281407036E-3</v>
      </c>
      <c r="M86" s="243">
        <v>118.02629885572036</v>
      </c>
      <c r="N86" s="592">
        <v>34.157653683193558</v>
      </c>
      <c r="O86" s="245">
        <v>0.5666716065870675</v>
      </c>
      <c r="P86" s="245">
        <v>1.1935568148522511</v>
      </c>
      <c r="Q86" s="254">
        <v>0</v>
      </c>
      <c r="R86" s="255">
        <v>0</v>
      </c>
      <c r="S86" s="256">
        <v>0</v>
      </c>
      <c r="T86" s="257">
        <v>0</v>
      </c>
      <c r="U86" s="255">
        <v>0</v>
      </c>
      <c r="V86" s="256">
        <v>0</v>
      </c>
      <c r="W86" s="257">
        <v>0</v>
      </c>
      <c r="X86" s="255">
        <v>0</v>
      </c>
      <c r="Y86" s="256">
        <v>0</v>
      </c>
      <c r="Z86" s="257">
        <v>0</v>
      </c>
      <c r="AA86" s="255">
        <v>0</v>
      </c>
      <c r="AB86" s="256">
        <v>0</v>
      </c>
      <c r="AC86" s="257">
        <v>0</v>
      </c>
      <c r="AD86" s="255">
        <v>0</v>
      </c>
      <c r="AE86" s="256">
        <v>0</v>
      </c>
      <c r="AF86" s="257">
        <v>0</v>
      </c>
      <c r="AG86" s="255">
        <v>0</v>
      </c>
      <c r="AH86" s="256">
        <v>0</v>
      </c>
      <c r="AI86" s="257">
        <v>0</v>
      </c>
      <c r="AJ86" s="255">
        <v>0</v>
      </c>
      <c r="AK86" s="256">
        <v>0</v>
      </c>
      <c r="AL86" s="257">
        <v>0</v>
      </c>
      <c r="AM86" s="255">
        <v>0</v>
      </c>
      <c r="AN86" s="256">
        <v>0</v>
      </c>
      <c r="AO86" s="257">
        <v>0</v>
      </c>
      <c r="AP86" s="255">
        <v>0</v>
      </c>
      <c r="AQ86" s="256">
        <v>0</v>
      </c>
      <c r="AR86" s="257">
        <v>0</v>
      </c>
      <c r="AS86" s="255">
        <v>0</v>
      </c>
      <c r="AT86" s="256">
        <v>0</v>
      </c>
      <c r="AU86" s="257">
        <v>0</v>
      </c>
      <c r="AV86" s="255">
        <v>0</v>
      </c>
      <c r="AW86" s="256">
        <v>0</v>
      </c>
      <c r="AX86" s="257">
        <v>0</v>
      </c>
      <c r="AY86" s="243">
        <v>0</v>
      </c>
      <c r="AZ86" s="244">
        <v>0</v>
      </c>
      <c r="BA86" s="244">
        <v>0</v>
      </c>
      <c r="BB86" s="244">
        <v>0</v>
      </c>
      <c r="BC86" s="244">
        <v>0</v>
      </c>
      <c r="BD86" s="244">
        <v>0</v>
      </c>
      <c r="BE86" s="244">
        <v>0</v>
      </c>
      <c r="BF86" s="244">
        <v>0</v>
      </c>
      <c r="BG86" s="244">
        <v>0</v>
      </c>
      <c r="BH86" s="245">
        <v>0</v>
      </c>
      <c r="BK86">
        <v>28</v>
      </c>
      <c r="BL86" s="281">
        <v>0.86432160804019986</v>
      </c>
      <c r="BM86" s="281">
        <v>15422.954773869327</v>
      </c>
      <c r="BN86" s="282">
        <v>9331.8241206030198</v>
      </c>
      <c r="BO86" s="282">
        <v>174.7236180904525</v>
      </c>
      <c r="BP86" s="282">
        <v>0</v>
      </c>
      <c r="BQ86" s="283">
        <v>0</v>
      </c>
      <c r="BR86" s="284"/>
      <c r="BS86" s="147"/>
      <c r="BT86" s="285">
        <v>1</v>
      </c>
      <c r="BU86" s="288">
        <v>3.4430039393564885E-2</v>
      </c>
      <c r="BV86" s="287">
        <v>0</v>
      </c>
      <c r="BW86" s="288">
        <v>0</v>
      </c>
      <c r="BX86" s="286">
        <v>100</v>
      </c>
      <c r="BY86" s="287">
        <v>0</v>
      </c>
      <c r="BZ86" s="288">
        <v>0</v>
      </c>
      <c r="CA86" s="286">
        <v>0.77775500446434431</v>
      </c>
      <c r="CB86" s="286">
        <v>0</v>
      </c>
      <c r="CC86" s="287">
        <v>1.2222240872105377</v>
      </c>
      <c r="CD86" s="286">
        <v>0</v>
      </c>
      <c r="CE86" s="286">
        <v>15.752315833662951</v>
      </c>
      <c r="CF86" s="286">
        <v>0</v>
      </c>
      <c r="CG86" s="287">
        <v>22.407988424693666</v>
      </c>
      <c r="CH86" s="288">
        <v>0</v>
      </c>
      <c r="CI86" s="286">
        <v>1.7456800882619963</v>
      </c>
      <c r="CJ86" s="286">
        <v>0</v>
      </c>
      <c r="CK86" s="287"/>
      <c r="CL86" s="288"/>
      <c r="CM86" s="286"/>
      <c r="CN86" s="287"/>
      <c r="CO86" s="289"/>
      <c r="CP86" s="290"/>
      <c r="CQ86" s="289"/>
      <c r="CR86" s="290"/>
      <c r="CS86" s="284"/>
      <c r="CT86" s="147"/>
      <c r="CU86" s="291"/>
      <c r="CV86" s="292"/>
    </row>
    <row r="87" spans="2:100">
      <c r="B87">
        <v>29</v>
      </c>
      <c r="C87" s="243">
        <v>1</v>
      </c>
      <c r="D87" s="592">
        <v>0</v>
      </c>
      <c r="E87" s="245">
        <v>0</v>
      </c>
      <c r="F87" s="243">
        <v>0</v>
      </c>
      <c r="G87" s="245">
        <v>0</v>
      </c>
      <c r="H87" s="243">
        <v>0</v>
      </c>
      <c r="I87" s="245">
        <v>0</v>
      </c>
      <c r="J87" s="242">
        <v>0</v>
      </c>
      <c r="K87" s="242">
        <v>18.963495164146995</v>
      </c>
      <c r="L87" s="242">
        <v>5.0251256281407036E-3</v>
      </c>
      <c r="M87" s="243">
        <v>117.99281653175825</v>
      </c>
      <c r="N87" s="592">
        <v>34.121900764284874</v>
      </c>
      <c r="O87" s="245">
        <v>0.56667838031423912</v>
      </c>
      <c r="P87" s="245">
        <v>1.1936874474705621</v>
      </c>
      <c r="Q87" s="254">
        <v>0</v>
      </c>
      <c r="R87" s="255">
        <v>0</v>
      </c>
      <c r="S87" s="256">
        <v>0</v>
      </c>
      <c r="T87" s="257">
        <v>0</v>
      </c>
      <c r="U87" s="255">
        <v>0</v>
      </c>
      <c r="V87" s="256">
        <v>0</v>
      </c>
      <c r="W87" s="257">
        <v>0</v>
      </c>
      <c r="X87" s="255">
        <v>0</v>
      </c>
      <c r="Y87" s="256">
        <v>0</v>
      </c>
      <c r="Z87" s="257">
        <v>0</v>
      </c>
      <c r="AA87" s="255">
        <v>0</v>
      </c>
      <c r="AB87" s="256">
        <v>0</v>
      </c>
      <c r="AC87" s="257">
        <v>0</v>
      </c>
      <c r="AD87" s="255">
        <v>0</v>
      </c>
      <c r="AE87" s="256">
        <v>0</v>
      </c>
      <c r="AF87" s="257">
        <v>0</v>
      </c>
      <c r="AG87" s="255">
        <v>0</v>
      </c>
      <c r="AH87" s="256">
        <v>0</v>
      </c>
      <c r="AI87" s="257">
        <v>0</v>
      </c>
      <c r="AJ87" s="255">
        <v>0</v>
      </c>
      <c r="AK87" s="256">
        <v>0</v>
      </c>
      <c r="AL87" s="257">
        <v>0</v>
      </c>
      <c r="AM87" s="255">
        <v>0</v>
      </c>
      <c r="AN87" s="256">
        <v>0</v>
      </c>
      <c r="AO87" s="257">
        <v>0</v>
      </c>
      <c r="AP87" s="255">
        <v>0</v>
      </c>
      <c r="AQ87" s="256">
        <v>0</v>
      </c>
      <c r="AR87" s="257">
        <v>0</v>
      </c>
      <c r="AS87" s="255">
        <v>0</v>
      </c>
      <c r="AT87" s="256">
        <v>0</v>
      </c>
      <c r="AU87" s="257">
        <v>0</v>
      </c>
      <c r="AV87" s="255">
        <v>0</v>
      </c>
      <c r="AW87" s="256">
        <v>0</v>
      </c>
      <c r="AX87" s="257">
        <v>0</v>
      </c>
      <c r="AY87" s="243">
        <v>0</v>
      </c>
      <c r="AZ87" s="244">
        <v>0</v>
      </c>
      <c r="BA87" s="244">
        <v>0</v>
      </c>
      <c r="BB87" s="244">
        <v>0</v>
      </c>
      <c r="BC87" s="244">
        <v>0</v>
      </c>
      <c r="BD87" s="244">
        <v>0</v>
      </c>
      <c r="BE87" s="244">
        <v>0</v>
      </c>
      <c r="BF87" s="244">
        <v>0</v>
      </c>
      <c r="BG87" s="244">
        <v>0</v>
      </c>
      <c r="BH87" s="245">
        <v>0</v>
      </c>
      <c r="BK87">
        <v>29</v>
      </c>
      <c r="BL87" s="281">
        <v>0.85929648241205925</v>
      </c>
      <c r="BM87" s="281">
        <v>15333.286432160785</v>
      </c>
      <c r="BN87" s="282">
        <v>9299.4472361809094</v>
      </c>
      <c r="BO87" s="282">
        <v>174.41708542713593</v>
      </c>
      <c r="BP87" s="282">
        <v>0</v>
      </c>
      <c r="BQ87" s="283">
        <v>0</v>
      </c>
      <c r="BR87" s="284"/>
      <c r="BS87" s="147"/>
      <c r="BT87" s="285">
        <v>1</v>
      </c>
      <c r="BU87" s="288">
        <v>3.4430039393564885E-2</v>
      </c>
      <c r="BV87" s="287">
        <v>0</v>
      </c>
      <c r="BW87" s="288">
        <v>0</v>
      </c>
      <c r="BX87" s="286">
        <v>100</v>
      </c>
      <c r="BY87" s="287">
        <v>0</v>
      </c>
      <c r="BZ87" s="288">
        <v>0</v>
      </c>
      <c r="CA87" s="286">
        <v>0.77766988991207753</v>
      </c>
      <c r="CB87" s="286">
        <v>0</v>
      </c>
      <c r="CC87" s="287">
        <v>1.2221881171169229</v>
      </c>
      <c r="CD87" s="286">
        <v>0</v>
      </c>
      <c r="CE87" s="286">
        <v>15.752144827378849</v>
      </c>
      <c r="CF87" s="286">
        <v>0</v>
      </c>
      <c r="CG87" s="287">
        <v>22.409205750041526</v>
      </c>
      <c r="CH87" s="288">
        <v>0</v>
      </c>
      <c r="CI87" s="286">
        <v>1.7464736840445829</v>
      </c>
      <c r="CJ87" s="286">
        <v>0</v>
      </c>
      <c r="CK87" s="287"/>
      <c r="CL87" s="288"/>
      <c r="CM87" s="286"/>
      <c r="CN87" s="287"/>
      <c r="CO87" s="289"/>
      <c r="CP87" s="290"/>
      <c r="CQ87" s="289"/>
      <c r="CR87" s="290"/>
      <c r="CS87" s="284"/>
      <c r="CT87" s="147"/>
      <c r="CU87" s="291"/>
      <c r="CV87" s="292"/>
    </row>
    <row r="88" spans="2:100">
      <c r="B88">
        <v>30</v>
      </c>
      <c r="C88" s="243">
        <v>1</v>
      </c>
      <c r="D88" s="592">
        <v>0</v>
      </c>
      <c r="E88" s="245">
        <v>0</v>
      </c>
      <c r="F88" s="243">
        <v>0</v>
      </c>
      <c r="G88" s="245">
        <v>0</v>
      </c>
      <c r="H88" s="243">
        <v>0</v>
      </c>
      <c r="I88" s="245">
        <v>0</v>
      </c>
      <c r="J88" s="242">
        <v>0</v>
      </c>
      <c r="K88" s="242">
        <v>18.96557517455803</v>
      </c>
      <c r="L88" s="242">
        <v>5.0251256281407036E-3</v>
      </c>
      <c r="M88" s="243">
        <v>117.9595089231274</v>
      </c>
      <c r="N88" s="592">
        <v>34.08590321120289</v>
      </c>
      <c r="O88" s="245">
        <v>0.56668611782683909</v>
      </c>
      <c r="P88" s="245">
        <v>1.1938183770432367</v>
      </c>
      <c r="Q88" s="254">
        <v>0</v>
      </c>
      <c r="R88" s="255">
        <v>0</v>
      </c>
      <c r="S88" s="256">
        <v>0</v>
      </c>
      <c r="T88" s="257">
        <v>0</v>
      </c>
      <c r="U88" s="255">
        <v>0</v>
      </c>
      <c r="V88" s="256">
        <v>0</v>
      </c>
      <c r="W88" s="257">
        <v>0</v>
      </c>
      <c r="X88" s="255">
        <v>0</v>
      </c>
      <c r="Y88" s="256">
        <v>0</v>
      </c>
      <c r="Z88" s="257">
        <v>0</v>
      </c>
      <c r="AA88" s="255">
        <v>0</v>
      </c>
      <c r="AB88" s="256">
        <v>0</v>
      </c>
      <c r="AC88" s="257">
        <v>0</v>
      </c>
      <c r="AD88" s="255">
        <v>0</v>
      </c>
      <c r="AE88" s="256">
        <v>0</v>
      </c>
      <c r="AF88" s="257">
        <v>0</v>
      </c>
      <c r="AG88" s="255">
        <v>0</v>
      </c>
      <c r="AH88" s="256">
        <v>0</v>
      </c>
      <c r="AI88" s="257">
        <v>0</v>
      </c>
      <c r="AJ88" s="255">
        <v>0</v>
      </c>
      <c r="AK88" s="256">
        <v>0</v>
      </c>
      <c r="AL88" s="257">
        <v>0</v>
      </c>
      <c r="AM88" s="255">
        <v>0</v>
      </c>
      <c r="AN88" s="256">
        <v>0</v>
      </c>
      <c r="AO88" s="257">
        <v>0</v>
      </c>
      <c r="AP88" s="255">
        <v>0</v>
      </c>
      <c r="AQ88" s="256">
        <v>0</v>
      </c>
      <c r="AR88" s="257">
        <v>0</v>
      </c>
      <c r="AS88" s="255">
        <v>0</v>
      </c>
      <c r="AT88" s="256">
        <v>0</v>
      </c>
      <c r="AU88" s="257">
        <v>0</v>
      </c>
      <c r="AV88" s="255">
        <v>0</v>
      </c>
      <c r="AW88" s="256">
        <v>0</v>
      </c>
      <c r="AX88" s="257">
        <v>0</v>
      </c>
      <c r="AY88" s="243">
        <v>0</v>
      </c>
      <c r="AZ88" s="244">
        <v>0</v>
      </c>
      <c r="BA88" s="244">
        <v>0</v>
      </c>
      <c r="BB88" s="244">
        <v>0</v>
      </c>
      <c r="BC88" s="244">
        <v>0</v>
      </c>
      <c r="BD88" s="244">
        <v>0</v>
      </c>
      <c r="BE88" s="244">
        <v>0</v>
      </c>
      <c r="BF88" s="244">
        <v>0</v>
      </c>
      <c r="BG88" s="244">
        <v>0</v>
      </c>
      <c r="BH88" s="245">
        <v>0</v>
      </c>
      <c r="BK88">
        <v>30</v>
      </c>
      <c r="BL88" s="281">
        <v>0.85427135678391852</v>
      </c>
      <c r="BM88" s="281">
        <v>15243.618090452243</v>
      </c>
      <c r="BN88" s="282">
        <v>9267.070351758799</v>
      </c>
      <c r="BO88" s="282">
        <v>174.11055276381936</v>
      </c>
      <c r="BP88" s="282">
        <v>0</v>
      </c>
      <c r="BQ88" s="283">
        <v>0</v>
      </c>
      <c r="BR88" s="284"/>
      <c r="BS88" s="147"/>
      <c r="BT88" s="285">
        <v>1</v>
      </c>
      <c r="BU88" s="288">
        <v>3.4430039393564885E-2</v>
      </c>
      <c r="BV88" s="287">
        <v>0</v>
      </c>
      <c r="BW88" s="288">
        <v>0</v>
      </c>
      <c r="BX88" s="286">
        <v>100</v>
      </c>
      <c r="BY88" s="287">
        <v>0</v>
      </c>
      <c r="BZ88" s="288">
        <v>0</v>
      </c>
      <c r="CA88" s="286">
        <v>0.77758460056796463</v>
      </c>
      <c r="CB88" s="286">
        <v>0</v>
      </c>
      <c r="CC88" s="287">
        <v>1.2221521384800764</v>
      </c>
      <c r="CD88" s="286">
        <v>0</v>
      </c>
      <c r="CE88" s="286">
        <v>15.751970758098283</v>
      </c>
      <c r="CF88" s="286">
        <v>0</v>
      </c>
      <c r="CG88" s="287">
        <v>22.410423163838232</v>
      </c>
      <c r="CH88" s="288">
        <v>0</v>
      </c>
      <c r="CI88" s="286">
        <v>1.7472812769997512</v>
      </c>
      <c r="CJ88" s="286">
        <v>0</v>
      </c>
      <c r="CK88" s="287"/>
      <c r="CL88" s="288"/>
      <c r="CM88" s="286"/>
      <c r="CN88" s="287"/>
      <c r="CO88" s="289"/>
      <c r="CP88" s="290"/>
      <c r="CQ88" s="289"/>
      <c r="CR88" s="290"/>
      <c r="CS88" s="284"/>
      <c r="CT88" s="147"/>
      <c r="CU88" s="291"/>
      <c r="CV88" s="292"/>
    </row>
    <row r="89" spans="2:100">
      <c r="B89">
        <v>31</v>
      </c>
      <c r="C89" s="243">
        <v>0.99999999999999989</v>
      </c>
      <c r="D89" s="592">
        <v>0</v>
      </c>
      <c r="E89" s="245">
        <v>0</v>
      </c>
      <c r="F89" s="243">
        <v>0</v>
      </c>
      <c r="G89" s="245">
        <v>0</v>
      </c>
      <c r="H89" s="243">
        <v>0</v>
      </c>
      <c r="I89" s="245">
        <v>0</v>
      </c>
      <c r="J89" s="242">
        <v>0</v>
      </c>
      <c r="K89" s="242">
        <v>18.96765992369323</v>
      </c>
      <c r="L89" s="242">
        <v>5.0251256281407036E-3</v>
      </c>
      <c r="M89" s="243">
        <v>117.92637682066207</v>
      </c>
      <c r="N89" s="592">
        <v>34.04966230961378</v>
      </c>
      <c r="O89" s="245">
        <v>0.56669481219061613</v>
      </c>
      <c r="P89" s="245">
        <v>1.1939496049024616</v>
      </c>
      <c r="Q89" s="254">
        <v>0</v>
      </c>
      <c r="R89" s="255">
        <v>0</v>
      </c>
      <c r="S89" s="256">
        <v>0</v>
      </c>
      <c r="T89" s="257">
        <v>0</v>
      </c>
      <c r="U89" s="255">
        <v>0</v>
      </c>
      <c r="V89" s="256">
        <v>0</v>
      </c>
      <c r="W89" s="257">
        <v>0</v>
      </c>
      <c r="X89" s="255">
        <v>0</v>
      </c>
      <c r="Y89" s="256">
        <v>0</v>
      </c>
      <c r="Z89" s="257">
        <v>0</v>
      </c>
      <c r="AA89" s="255">
        <v>0</v>
      </c>
      <c r="AB89" s="256">
        <v>0</v>
      </c>
      <c r="AC89" s="257">
        <v>0</v>
      </c>
      <c r="AD89" s="255">
        <v>0</v>
      </c>
      <c r="AE89" s="256">
        <v>0</v>
      </c>
      <c r="AF89" s="257">
        <v>0</v>
      </c>
      <c r="AG89" s="255">
        <v>0</v>
      </c>
      <c r="AH89" s="256">
        <v>0</v>
      </c>
      <c r="AI89" s="257">
        <v>0</v>
      </c>
      <c r="AJ89" s="255">
        <v>0</v>
      </c>
      <c r="AK89" s="256">
        <v>0</v>
      </c>
      <c r="AL89" s="257">
        <v>0</v>
      </c>
      <c r="AM89" s="255">
        <v>0</v>
      </c>
      <c r="AN89" s="256">
        <v>0</v>
      </c>
      <c r="AO89" s="257">
        <v>0</v>
      </c>
      <c r="AP89" s="255">
        <v>0</v>
      </c>
      <c r="AQ89" s="256">
        <v>0</v>
      </c>
      <c r="AR89" s="257">
        <v>0</v>
      </c>
      <c r="AS89" s="255">
        <v>0</v>
      </c>
      <c r="AT89" s="256">
        <v>0</v>
      </c>
      <c r="AU89" s="257">
        <v>0</v>
      </c>
      <c r="AV89" s="255">
        <v>0</v>
      </c>
      <c r="AW89" s="256">
        <v>0</v>
      </c>
      <c r="AX89" s="257">
        <v>0</v>
      </c>
      <c r="AY89" s="243">
        <v>0</v>
      </c>
      <c r="AZ89" s="244">
        <v>0</v>
      </c>
      <c r="BA89" s="244">
        <v>0</v>
      </c>
      <c r="BB89" s="244">
        <v>0</v>
      </c>
      <c r="BC89" s="244">
        <v>0</v>
      </c>
      <c r="BD89" s="244">
        <v>0</v>
      </c>
      <c r="BE89" s="244">
        <v>0</v>
      </c>
      <c r="BF89" s="244">
        <v>0</v>
      </c>
      <c r="BG89" s="244">
        <v>0</v>
      </c>
      <c r="BH89" s="245">
        <v>0</v>
      </c>
      <c r="BK89">
        <v>31</v>
      </c>
      <c r="BL89" s="281">
        <v>0.84924623115577791</v>
      </c>
      <c r="BM89" s="281">
        <v>15153.9497487437</v>
      </c>
      <c r="BN89" s="282">
        <v>9234.6934673366886</v>
      </c>
      <c r="BO89" s="282">
        <v>173.80402010050278</v>
      </c>
      <c r="BP89" s="282">
        <v>0</v>
      </c>
      <c r="BQ89" s="283">
        <v>0</v>
      </c>
      <c r="BR89" s="284"/>
      <c r="BS89" s="147"/>
      <c r="BT89" s="285">
        <v>1</v>
      </c>
      <c r="BU89" s="288">
        <v>3.4430039393564885E-2</v>
      </c>
      <c r="BV89" s="287">
        <v>0</v>
      </c>
      <c r="BW89" s="288">
        <v>0</v>
      </c>
      <c r="BX89" s="286">
        <v>100</v>
      </c>
      <c r="BY89" s="287">
        <v>0</v>
      </c>
      <c r="BZ89" s="288">
        <v>0</v>
      </c>
      <c r="CA89" s="286">
        <v>0.77749913568562823</v>
      </c>
      <c r="CB89" s="286">
        <v>0</v>
      </c>
      <c r="CC89" s="287">
        <v>1.2221161512780656</v>
      </c>
      <c r="CD89" s="286">
        <v>0</v>
      </c>
      <c r="CE89" s="286">
        <v>15.751793612176952</v>
      </c>
      <c r="CF89" s="286">
        <v>0</v>
      </c>
      <c r="CG89" s="287">
        <v>22.411640665953328</v>
      </c>
      <c r="CH89" s="288">
        <v>0</v>
      </c>
      <c r="CI89" s="286">
        <v>1.7481028618145347</v>
      </c>
      <c r="CJ89" s="286">
        <v>0</v>
      </c>
      <c r="CK89" s="287"/>
      <c r="CL89" s="288"/>
      <c r="CM89" s="286"/>
      <c r="CN89" s="287"/>
      <c r="CO89" s="289"/>
      <c r="CP89" s="290"/>
      <c r="CQ89" s="289"/>
      <c r="CR89" s="290"/>
      <c r="CS89" s="284"/>
      <c r="CT89" s="147"/>
      <c r="CU89" s="291"/>
      <c r="CV89" s="292"/>
    </row>
    <row r="90" spans="2:100">
      <c r="B90">
        <v>32</v>
      </c>
      <c r="C90" s="243">
        <v>1</v>
      </c>
      <c r="D90" s="592">
        <v>0</v>
      </c>
      <c r="E90" s="245">
        <v>0</v>
      </c>
      <c r="F90" s="243">
        <v>0</v>
      </c>
      <c r="G90" s="245">
        <v>0</v>
      </c>
      <c r="H90" s="243">
        <v>0</v>
      </c>
      <c r="I90" s="245">
        <v>0</v>
      </c>
      <c r="J90" s="242">
        <v>0</v>
      </c>
      <c r="K90" s="242">
        <v>18.969749432850879</v>
      </c>
      <c r="L90" s="242">
        <v>5.0251256281407036E-3</v>
      </c>
      <c r="M90" s="243">
        <v>117.89342102038333</v>
      </c>
      <c r="N90" s="592">
        <v>34.013179346350562</v>
      </c>
      <c r="O90" s="245">
        <v>0.56670445641697098</v>
      </c>
      <c r="P90" s="245">
        <v>1.1940811323888911</v>
      </c>
      <c r="Q90" s="254">
        <v>0</v>
      </c>
      <c r="R90" s="255">
        <v>0</v>
      </c>
      <c r="S90" s="256">
        <v>0</v>
      </c>
      <c r="T90" s="257">
        <v>0</v>
      </c>
      <c r="U90" s="255">
        <v>0</v>
      </c>
      <c r="V90" s="256">
        <v>0</v>
      </c>
      <c r="W90" s="257">
        <v>0</v>
      </c>
      <c r="X90" s="255">
        <v>0</v>
      </c>
      <c r="Y90" s="256">
        <v>0</v>
      </c>
      <c r="Z90" s="257">
        <v>0</v>
      </c>
      <c r="AA90" s="255">
        <v>0</v>
      </c>
      <c r="AB90" s="256">
        <v>0</v>
      </c>
      <c r="AC90" s="257">
        <v>0</v>
      </c>
      <c r="AD90" s="255">
        <v>0</v>
      </c>
      <c r="AE90" s="256">
        <v>0</v>
      </c>
      <c r="AF90" s="257">
        <v>0</v>
      </c>
      <c r="AG90" s="255">
        <v>0</v>
      </c>
      <c r="AH90" s="256">
        <v>0</v>
      </c>
      <c r="AI90" s="257">
        <v>0</v>
      </c>
      <c r="AJ90" s="255">
        <v>0</v>
      </c>
      <c r="AK90" s="256">
        <v>0</v>
      </c>
      <c r="AL90" s="257">
        <v>0</v>
      </c>
      <c r="AM90" s="255">
        <v>0</v>
      </c>
      <c r="AN90" s="256">
        <v>0</v>
      </c>
      <c r="AO90" s="257">
        <v>0</v>
      </c>
      <c r="AP90" s="255">
        <v>0</v>
      </c>
      <c r="AQ90" s="256">
        <v>0</v>
      </c>
      <c r="AR90" s="257">
        <v>0</v>
      </c>
      <c r="AS90" s="255">
        <v>0</v>
      </c>
      <c r="AT90" s="256">
        <v>0</v>
      </c>
      <c r="AU90" s="257">
        <v>0</v>
      </c>
      <c r="AV90" s="255">
        <v>0</v>
      </c>
      <c r="AW90" s="256">
        <v>0</v>
      </c>
      <c r="AX90" s="257">
        <v>0</v>
      </c>
      <c r="AY90" s="243">
        <v>0</v>
      </c>
      <c r="AZ90" s="244">
        <v>0</v>
      </c>
      <c r="BA90" s="244">
        <v>0</v>
      </c>
      <c r="BB90" s="244">
        <v>0</v>
      </c>
      <c r="BC90" s="244">
        <v>0</v>
      </c>
      <c r="BD90" s="244">
        <v>0</v>
      </c>
      <c r="BE90" s="244">
        <v>0</v>
      </c>
      <c r="BF90" s="244">
        <v>0</v>
      </c>
      <c r="BG90" s="244">
        <v>0</v>
      </c>
      <c r="BH90" s="245">
        <v>0</v>
      </c>
      <c r="BK90">
        <v>32</v>
      </c>
      <c r="BL90" s="281">
        <v>0.84422110552763718</v>
      </c>
      <c r="BM90" s="281">
        <v>15064.281407035158</v>
      </c>
      <c r="BN90" s="282">
        <v>9202.3165829145782</v>
      </c>
      <c r="BO90" s="282">
        <v>173.49748743718621</v>
      </c>
      <c r="BP90" s="282">
        <v>0</v>
      </c>
      <c r="BQ90" s="283">
        <v>0</v>
      </c>
      <c r="BR90" s="284"/>
      <c r="BS90" s="147"/>
      <c r="BT90" s="285">
        <v>1</v>
      </c>
      <c r="BU90" s="288">
        <v>3.4430039393564885E-2</v>
      </c>
      <c r="BV90" s="287">
        <v>0</v>
      </c>
      <c r="BW90" s="288">
        <v>0</v>
      </c>
      <c r="BX90" s="286">
        <v>100</v>
      </c>
      <c r="BY90" s="287">
        <v>0</v>
      </c>
      <c r="BZ90" s="288">
        <v>0</v>
      </c>
      <c r="CA90" s="286">
        <v>0.77741349451414987</v>
      </c>
      <c r="CB90" s="286">
        <v>0</v>
      </c>
      <c r="CC90" s="287">
        <v>1.2220801554889</v>
      </c>
      <c r="CD90" s="286">
        <v>0</v>
      </c>
      <c r="CE90" s="286">
        <v>15.751613375886762</v>
      </c>
      <c r="CF90" s="286">
        <v>0</v>
      </c>
      <c r="CG90" s="287">
        <v>22.412858256255621</v>
      </c>
      <c r="CH90" s="288">
        <v>0</v>
      </c>
      <c r="CI90" s="286">
        <v>1.7489384335639044</v>
      </c>
      <c r="CJ90" s="286">
        <v>0</v>
      </c>
      <c r="CK90" s="287"/>
      <c r="CL90" s="288"/>
      <c r="CM90" s="286"/>
      <c r="CN90" s="287"/>
      <c r="CO90" s="289"/>
      <c r="CP90" s="290"/>
      <c r="CQ90" s="289"/>
      <c r="CR90" s="290"/>
      <c r="CS90" s="284"/>
      <c r="CT90" s="147"/>
      <c r="CU90" s="291"/>
      <c r="CV90" s="292"/>
    </row>
    <row r="91" spans="2:100">
      <c r="B91">
        <v>33</v>
      </c>
      <c r="C91" s="243">
        <v>1</v>
      </c>
      <c r="D91" s="592">
        <v>0</v>
      </c>
      <c r="E91" s="245">
        <v>0</v>
      </c>
      <c r="F91" s="243">
        <v>0</v>
      </c>
      <c r="G91" s="245">
        <v>0</v>
      </c>
      <c r="H91" s="243">
        <v>0</v>
      </c>
      <c r="I91" s="245">
        <v>0</v>
      </c>
      <c r="J91" s="242">
        <v>0</v>
      </c>
      <c r="K91" s="242">
        <v>18.971843723464971</v>
      </c>
      <c r="L91" s="242">
        <v>5.0251256281407036E-3</v>
      </c>
      <c r="M91" s="243">
        <v>117.86064232353449</v>
      </c>
      <c r="N91" s="592">
        <v>33.976455609378895</v>
      </c>
      <c r="O91" s="245">
        <v>0.56671504346300461</v>
      </c>
      <c r="P91" s="245">
        <v>1.1942129608517225</v>
      </c>
      <c r="Q91" s="254">
        <v>0</v>
      </c>
      <c r="R91" s="255">
        <v>0</v>
      </c>
      <c r="S91" s="256">
        <v>0</v>
      </c>
      <c r="T91" s="257">
        <v>0</v>
      </c>
      <c r="U91" s="255">
        <v>0</v>
      </c>
      <c r="V91" s="256">
        <v>0</v>
      </c>
      <c r="W91" s="257">
        <v>0</v>
      </c>
      <c r="X91" s="255">
        <v>0</v>
      </c>
      <c r="Y91" s="256">
        <v>0</v>
      </c>
      <c r="Z91" s="257">
        <v>0</v>
      </c>
      <c r="AA91" s="255">
        <v>0</v>
      </c>
      <c r="AB91" s="256">
        <v>0</v>
      </c>
      <c r="AC91" s="257">
        <v>0</v>
      </c>
      <c r="AD91" s="255">
        <v>0</v>
      </c>
      <c r="AE91" s="256">
        <v>0</v>
      </c>
      <c r="AF91" s="257">
        <v>0</v>
      </c>
      <c r="AG91" s="255">
        <v>0</v>
      </c>
      <c r="AH91" s="256">
        <v>0</v>
      </c>
      <c r="AI91" s="257">
        <v>0</v>
      </c>
      <c r="AJ91" s="255">
        <v>0</v>
      </c>
      <c r="AK91" s="256">
        <v>0</v>
      </c>
      <c r="AL91" s="257">
        <v>0</v>
      </c>
      <c r="AM91" s="255">
        <v>0</v>
      </c>
      <c r="AN91" s="256">
        <v>0</v>
      </c>
      <c r="AO91" s="257">
        <v>0</v>
      </c>
      <c r="AP91" s="255">
        <v>0</v>
      </c>
      <c r="AQ91" s="256">
        <v>0</v>
      </c>
      <c r="AR91" s="257">
        <v>0</v>
      </c>
      <c r="AS91" s="255">
        <v>0</v>
      </c>
      <c r="AT91" s="256">
        <v>0</v>
      </c>
      <c r="AU91" s="257">
        <v>0</v>
      </c>
      <c r="AV91" s="255">
        <v>0</v>
      </c>
      <c r="AW91" s="256">
        <v>0</v>
      </c>
      <c r="AX91" s="257">
        <v>0</v>
      </c>
      <c r="AY91" s="243">
        <v>0</v>
      </c>
      <c r="AZ91" s="244">
        <v>0</v>
      </c>
      <c r="BA91" s="244">
        <v>0</v>
      </c>
      <c r="BB91" s="244">
        <v>0</v>
      </c>
      <c r="BC91" s="244">
        <v>0</v>
      </c>
      <c r="BD91" s="244">
        <v>0</v>
      </c>
      <c r="BE91" s="244">
        <v>0</v>
      </c>
      <c r="BF91" s="244">
        <v>0</v>
      </c>
      <c r="BG91" s="244">
        <v>0</v>
      </c>
      <c r="BH91" s="245">
        <v>0</v>
      </c>
      <c r="BK91">
        <v>33</v>
      </c>
      <c r="BL91" s="281">
        <v>0.83919597989949646</v>
      </c>
      <c r="BM91" s="281">
        <v>14974.613065326615</v>
      </c>
      <c r="BN91" s="282">
        <v>9169.9396984924679</v>
      </c>
      <c r="BO91" s="282">
        <v>173.19095477386963</v>
      </c>
      <c r="BP91" s="282">
        <v>0</v>
      </c>
      <c r="BQ91" s="283">
        <v>0</v>
      </c>
      <c r="BR91" s="284"/>
      <c r="BS91" s="147"/>
      <c r="BT91" s="285">
        <v>1</v>
      </c>
      <c r="BU91" s="288">
        <v>3.4430039393564885E-2</v>
      </c>
      <c r="BV91" s="287">
        <v>0</v>
      </c>
      <c r="BW91" s="288">
        <v>0</v>
      </c>
      <c r="BX91" s="286">
        <v>100</v>
      </c>
      <c r="BY91" s="287">
        <v>0</v>
      </c>
      <c r="BZ91" s="288">
        <v>0</v>
      </c>
      <c r="CA91" s="286">
        <v>0.77732767629803101</v>
      </c>
      <c r="CB91" s="286">
        <v>0</v>
      </c>
      <c r="CC91" s="287">
        <v>1.2220441510905125</v>
      </c>
      <c r="CD91" s="286">
        <v>0</v>
      </c>
      <c r="CE91" s="286">
        <v>15.751430035415138</v>
      </c>
      <c r="CF91" s="286">
        <v>0</v>
      </c>
      <c r="CG91" s="287">
        <v>22.414075934613063</v>
      </c>
      <c r="CH91" s="288">
        <v>0</v>
      </c>
      <c r="CI91" s="286">
        <v>1.7497879877087501</v>
      </c>
      <c r="CJ91" s="286">
        <v>0</v>
      </c>
      <c r="CK91" s="287"/>
      <c r="CL91" s="288"/>
      <c r="CM91" s="286"/>
      <c r="CN91" s="287"/>
      <c r="CO91" s="289"/>
      <c r="CP91" s="290"/>
      <c r="CQ91" s="289"/>
      <c r="CR91" s="290"/>
      <c r="CS91" s="284"/>
      <c r="CT91" s="147"/>
      <c r="CU91" s="291"/>
      <c r="CV91" s="292"/>
    </row>
    <row r="92" spans="2:100">
      <c r="B92">
        <v>34</v>
      </c>
      <c r="C92" s="243">
        <v>1</v>
      </c>
      <c r="D92" s="592">
        <v>0</v>
      </c>
      <c r="E92" s="245">
        <v>0</v>
      </c>
      <c r="F92" s="243">
        <v>0</v>
      </c>
      <c r="G92" s="245">
        <v>0</v>
      </c>
      <c r="H92" s="243">
        <v>0</v>
      </c>
      <c r="I92" s="245">
        <v>0</v>
      </c>
      <c r="J92" s="242">
        <v>0</v>
      </c>
      <c r="K92" s="242">
        <v>18.973942817106273</v>
      </c>
      <c r="L92" s="242">
        <v>5.0251256281407036E-3</v>
      </c>
      <c r="M92" s="243">
        <v>117.82804153663038</v>
      </c>
      <c r="N92" s="592">
        <v>33.939492387764687</v>
      </c>
      <c r="O92" s="245">
        <v>0.56672656623156048</v>
      </c>
      <c r="P92" s="245">
        <v>1.1943450916487617</v>
      </c>
      <c r="Q92" s="254">
        <v>0</v>
      </c>
      <c r="R92" s="255">
        <v>0</v>
      </c>
      <c r="S92" s="256">
        <v>0</v>
      </c>
      <c r="T92" s="257">
        <v>0</v>
      </c>
      <c r="U92" s="255">
        <v>0</v>
      </c>
      <c r="V92" s="256">
        <v>0</v>
      </c>
      <c r="W92" s="257">
        <v>0</v>
      </c>
      <c r="X92" s="255">
        <v>0</v>
      </c>
      <c r="Y92" s="256">
        <v>0</v>
      </c>
      <c r="Z92" s="257">
        <v>0</v>
      </c>
      <c r="AA92" s="255">
        <v>0</v>
      </c>
      <c r="AB92" s="256">
        <v>0</v>
      </c>
      <c r="AC92" s="257">
        <v>0</v>
      </c>
      <c r="AD92" s="255">
        <v>0</v>
      </c>
      <c r="AE92" s="256">
        <v>0</v>
      </c>
      <c r="AF92" s="257">
        <v>0</v>
      </c>
      <c r="AG92" s="255">
        <v>0</v>
      </c>
      <c r="AH92" s="256">
        <v>0</v>
      </c>
      <c r="AI92" s="257">
        <v>0</v>
      </c>
      <c r="AJ92" s="255">
        <v>0</v>
      </c>
      <c r="AK92" s="256">
        <v>0</v>
      </c>
      <c r="AL92" s="257">
        <v>0</v>
      </c>
      <c r="AM92" s="255">
        <v>0</v>
      </c>
      <c r="AN92" s="256">
        <v>0</v>
      </c>
      <c r="AO92" s="257">
        <v>0</v>
      </c>
      <c r="AP92" s="255">
        <v>0</v>
      </c>
      <c r="AQ92" s="256">
        <v>0</v>
      </c>
      <c r="AR92" s="257">
        <v>0</v>
      </c>
      <c r="AS92" s="255">
        <v>0</v>
      </c>
      <c r="AT92" s="256">
        <v>0</v>
      </c>
      <c r="AU92" s="257">
        <v>0</v>
      </c>
      <c r="AV92" s="255">
        <v>0</v>
      </c>
      <c r="AW92" s="256">
        <v>0</v>
      </c>
      <c r="AX92" s="257">
        <v>0</v>
      </c>
      <c r="AY92" s="243">
        <v>0</v>
      </c>
      <c r="AZ92" s="244">
        <v>0</v>
      </c>
      <c r="BA92" s="244">
        <v>0</v>
      </c>
      <c r="BB92" s="244">
        <v>0</v>
      </c>
      <c r="BC92" s="244">
        <v>0</v>
      </c>
      <c r="BD92" s="244">
        <v>0</v>
      </c>
      <c r="BE92" s="244">
        <v>0</v>
      </c>
      <c r="BF92" s="244">
        <v>0</v>
      </c>
      <c r="BG92" s="244">
        <v>0</v>
      </c>
      <c r="BH92" s="245">
        <v>0</v>
      </c>
      <c r="BK92">
        <v>34</v>
      </c>
      <c r="BL92" s="281">
        <v>0.83417085427135584</v>
      </c>
      <c r="BM92" s="281">
        <v>14884.944723618073</v>
      </c>
      <c r="BN92" s="282">
        <v>9137.5628140703575</v>
      </c>
      <c r="BO92" s="282">
        <v>172.88442211055306</v>
      </c>
      <c r="BP92" s="282">
        <v>0</v>
      </c>
      <c r="BQ92" s="283">
        <v>0</v>
      </c>
      <c r="BR92" s="284"/>
      <c r="BS92" s="147"/>
      <c r="BT92" s="285">
        <v>1</v>
      </c>
      <c r="BU92" s="288">
        <v>3.4430039393564885E-2</v>
      </c>
      <c r="BV92" s="287">
        <v>0</v>
      </c>
      <c r="BW92" s="288">
        <v>0</v>
      </c>
      <c r="BX92" s="286">
        <v>100</v>
      </c>
      <c r="BY92" s="287">
        <v>0</v>
      </c>
      <c r="BZ92" s="288">
        <v>0</v>
      </c>
      <c r="CA92" s="286">
        <v>0.77724168027715901</v>
      </c>
      <c r="CB92" s="286">
        <v>0</v>
      </c>
      <c r="CC92" s="287">
        <v>1.2220081380607724</v>
      </c>
      <c r="CD92" s="286">
        <v>0</v>
      </c>
      <c r="CE92" s="286">
        <v>15.751243576864384</v>
      </c>
      <c r="CF92" s="286">
        <v>0</v>
      </c>
      <c r="CG92" s="287">
        <v>22.415293700892835</v>
      </c>
      <c r="CH92" s="288">
        <v>0</v>
      </c>
      <c r="CI92" s="286">
        <v>1.7506515200937969</v>
      </c>
      <c r="CJ92" s="286">
        <v>0</v>
      </c>
      <c r="CK92" s="287"/>
      <c r="CL92" s="288"/>
      <c r="CM92" s="286"/>
      <c r="CN92" s="287"/>
      <c r="CO92" s="289"/>
      <c r="CP92" s="290"/>
      <c r="CQ92" s="289"/>
      <c r="CR92" s="290"/>
      <c r="CS92" s="284"/>
      <c r="CT92" s="147"/>
      <c r="CU92" s="291"/>
      <c r="CV92" s="292"/>
    </row>
    <row r="93" spans="2:100">
      <c r="B93">
        <v>35</v>
      </c>
      <c r="C93" s="243">
        <v>1</v>
      </c>
      <c r="D93" s="592">
        <v>0</v>
      </c>
      <c r="E93" s="245">
        <v>0</v>
      </c>
      <c r="F93" s="243">
        <v>0</v>
      </c>
      <c r="G93" s="245">
        <v>0</v>
      </c>
      <c r="H93" s="243">
        <v>0</v>
      </c>
      <c r="I93" s="245">
        <v>0</v>
      </c>
      <c r="J93" s="242">
        <v>0</v>
      </c>
      <c r="K93" s="242">
        <v>18.976046735483507</v>
      </c>
      <c r="L93" s="242">
        <v>5.0251256281407036E-3</v>
      </c>
      <c r="M93" s="243">
        <v>117.79561947150557</v>
      </c>
      <c r="N93" s="592">
        <v>33.902290971641143</v>
      </c>
      <c r="O93" s="245">
        <v>0.56673901757126166</v>
      </c>
      <c r="P93" s="245">
        <v>1.1944775261464988</v>
      </c>
      <c r="Q93" s="254">
        <v>0</v>
      </c>
      <c r="R93" s="255">
        <v>0</v>
      </c>
      <c r="S93" s="256">
        <v>0</v>
      </c>
      <c r="T93" s="257">
        <v>0</v>
      </c>
      <c r="U93" s="255">
        <v>0</v>
      </c>
      <c r="V93" s="256">
        <v>0</v>
      </c>
      <c r="W93" s="257">
        <v>0</v>
      </c>
      <c r="X93" s="255">
        <v>0</v>
      </c>
      <c r="Y93" s="256">
        <v>0</v>
      </c>
      <c r="Z93" s="257">
        <v>0</v>
      </c>
      <c r="AA93" s="255">
        <v>0</v>
      </c>
      <c r="AB93" s="256">
        <v>0</v>
      </c>
      <c r="AC93" s="257">
        <v>0</v>
      </c>
      <c r="AD93" s="255">
        <v>0</v>
      </c>
      <c r="AE93" s="256">
        <v>0</v>
      </c>
      <c r="AF93" s="257">
        <v>0</v>
      </c>
      <c r="AG93" s="255">
        <v>0</v>
      </c>
      <c r="AH93" s="256">
        <v>0</v>
      </c>
      <c r="AI93" s="257">
        <v>0</v>
      </c>
      <c r="AJ93" s="255">
        <v>0</v>
      </c>
      <c r="AK93" s="256">
        <v>0</v>
      </c>
      <c r="AL93" s="257">
        <v>0</v>
      </c>
      <c r="AM93" s="255">
        <v>0</v>
      </c>
      <c r="AN93" s="256">
        <v>0</v>
      </c>
      <c r="AO93" s="257">
        <v>0</v>
      </c>
      <c r="AP93" s="255">
        <v>0</v>
      </c>
      <c r="AQ93" s="256">
        <v>0</v>
      </c>
      <c r="AR93" s="257">
        <v>0</v>
      </c>
      <c r="AS93" s="255">
        <v>0</v>
      </c>
      <c r="AT93" s="256">
        <v>0</v>
      </c>
      <c r="AU93" s="257">
        <v>0</v>
      </c>
      <c r="AV93" s="255">
        <v>0</v>
      </c>
      <c r="AW93" s="256">
        <v>0</v>
      </c>
      <c r="AX93" s="257">
        <v>0</v>
      </c>
      <c r="AY93" s="243">
        <v>0</v>
      </c>
      <c r="AZ93" s="244">
        <v>0</v>
      </c>
      <c r="BA93" s="244">
        <v>0</v>
      </c>
      <c r="BB93" s="244">
        <v>0</v>
      </c>
      <c r="BC93" s="244">
        <v>0</v>
      </c>
      <c r="BD93" s="244">
        <v>0</v>
      </c>
      <c r="BE93" s="244">
        <v>0</v>
      </c>
      <c r="BF93" s="244">
        <v>0</v>
      </c>
      <c r="BG93" s="244">
        <v>0</v>
      </c>
      <c r="BH93" s="245">
        <v>0</v>
      </c>
      <c r="BK93">
        <v>35</v>
      </c>
      <c r="BL93" s="281">
        <v>0.82914572864321512</v>
      </c>
      <c r="BM93" s="281">
        <v>14795.276381909531</v>
      </c>
      <c r="BN93" s="282">
        <v>9105.1859296482471</v>
      </c>
      <c r="BO93" s="282">
        <v>172.57788944723649</v>
      </c>
      <c r="BP93" s="282">
        <v>0</v>
      </c>
      <c r="BQ93" s="283">
        <v>0</v>
      </c>
      <c r="BR93" s="284"/>
      <c r="BS93" s="147"/>
      <c r="BT93" s="285">
        <v>1</v>
      </c>
      <c r="BU93" s="288">
        <v>3.4430039393564885E-2</v>
      </c>
      <c r="BV93" s="287">
        <v>0</v>
      </c>
      <c r="BW93" s="288">
        <v>0</v>
      </c>
      <c r="BX93" s="286">
        <v>100</v>
      </c>
      <c r="BY93" s="287">
        <v>0</v>
      </c>
      <c r="BZ93" s="288">
        <v>0</v>
      </c>
      <c r="CA93" s="286">
        <v>0.77715550568676728</v>
      </c>
      <c r="CB93" s="286">
        <v>0</v>
      </c>
      <c r="CC93" s="287">
        <v>1.2219721163774842</v>
      </c>
      <c r="CD93" s="286">
        <v>0</v>
      </c>
      <c r="CE93" s="286">
        <v>15.75105398625095</v>
      </c>
      <c r="CF93" s="286">
        <v>0</v>
      </c>
      <c r="CG93" s="287">
        <v>22.416511554961332</v>
      </c>
      <c r="CH93" s="288">
        <v>0</v>
      </c>
      <c r="CI93" s="286">
        <v>1.7515290269455785</v>
      </c>
      <c r="CJ93" s="286">
        <v>0</v>
      </c>
      <c r="CK93" s="287"/>
      <c r="CL93" s="288"/>
      <c r="CM93" s="286"/>
      <c r="CN93" s="287"/>
      <c r="CO93" s="289"/>
      <c r="CP93" s="290"/>
      <c r="CQ93" s="289"/>
      <c r="CR93" s="290"/>
      <c r="CS93" s="284"/>
      <c r="CT93" s="147"/>
      <c r="CU93" s="291"/>
      <c r="CV93" s="292"/>
    </row>
    <row r="94" spans="2:100">
      <c r="B94">
        <v>36</v>
      </c>
      <c r="C94" s="243">
        <v>1</v>
      </c>
      <c r="D94" s="592">
        <v>0</v>
      </c>
      <c r="E94" s="245">
        <v>0</v>
      </c>
      <c r="F94" s="243">
        <v>0</v>
      </c>
      <c r="G94" s="245">
        <v>0</v>
      </c>
      <c r="H94" s="243">
        <v>0</v>
      </c>
      <c r="I94" s="245">
        <v>0</v>
      </c>
      <c r="J94" s="242">
        <v>0</v>
      </c>
      <c r="K94" s="242">
        <v>18.978155500444466</v>
      </c>
      <c r="L94" s="242">
        <v>5.0251256281407036E-3</v>
      </c>
      <c r="M94" s="243">
        <v>117.7633769453671</v>
      </c>
      <c r="N94" s="592">
        <v>33.864852652175536</v>
      </c>
      <c r="O94" s="245">
        <v>0.56675239027654989</v>
      </c>
      <c r="P94" s="245">
        <v>1.1946102657201785</v>
      </c>
      <c r="Q94" s="254">
        <v>0</v>
      </c>
      <c r="R94" s="255">
        <v>0</v>
      </c>
      <c r="S94" s="256">
        <v>0</v>
      </c>
      <c r="T94" s="257">
        <v>0</v>
      </c>
      <c r="U94" s="255">
        <v>0</v>
      </c>
      <c r="V94" s="256">
        <v>0</v>
      </c>
      <c r="W94" s="257">
        <v>0</v>
      </c>
      <c r="X94" s="255">
        <v>0</v>
      </c>
      <c r="Y94" s="256">
        <v>0</v>
      </c>
      <c r="Z94" s="257">
        <v>0</v>
      </c>
      <c r="AA94" s="255">
        <v>0</v>
      </c>
      <c r="AB94" s="256">
        <v>0</v>
      </c>
      <c r="AC94" s="257">
        <v>0</v>
      </c>
      <c r="AD94" s="255">
        <v>0</v>
      </c>
      <c r="AE94" s="256">
        <v>0</v>
      </c>
      <c r="AF94" s="257">
        <v>0</v>
      </c>
      <c r="AG94" s="255">
        <v>0</v>
      </c>
      <c r="AH94" s="256">
        <v>0</v>
      </c>
      <c r="AI94" s="257">
        <v>0</v>
      </c>
      <c r="AJ94" s="255">
        <v>0</v>
      </c>
      <c r="AK94" s="256">
        <v>0</v>
      </c>
      <c r="AL94" s="257">
        <v>0</v>
      </c>
      <c r="AM94" s="255">
        <v>0</v>
      </c>
      <c r="AN94" s="256">
        <v>0</v>
      </c>
      <c r="AO94" s="257">
        <v>0</v>
      </c>
      <c r="AP94" s="255">
        <v>0</v>
      </c>
      <c r="AQ94" s="256">
        <v>0</v>
      </c>
      <c r="AR94" s="257">
        <v>0</v>
      </c>
      <c r="AS94" s="255">
        <v>0</v>
      </c>
      <c r="AT94" s="256">
        <v>0</v>
      </c>
      <c r="AU94" s="257">
        <v>0</v>
      </c>
      <c r="AV94" s="255">
        <v>0</v>
      </c>
      <c r="AW94" s="256">
        <v>0</v>
      </c>
      <c r="AX94" s="257">
        <v>0</v>
      </c>
      <c r="AY94" s="243">
        <v>0</v>
      </c>
      <c r="AZ94" s="244">
        <v>0</v>
      </c>
      <c r="BA94" s="244">
        <v>0</v>
      </c>
      <c r="BB94" s="244">
        <v>0</v>
      </c>
      <c r="BC94" s="244">
        <v>0</v>
      </c>
      <c r="BD94" s="244">
        <v>0</v>
      </c>
      <c r="BE94" s="244">
        <v>0</v>
      </c>
      <c r="BF94" s="244">
        <v>0</v>
      </c>
      <c r="BG94" s="244">
        <v>0</v>
      </c>
      <c r="BH94" s="245">
        <v>0</v>
      </c>
      <c r="BK94">
        <v>36</v>
      </c>
      <c r="BL94" s="281">
        <v>0.82412060301507439</v>
      </c>
      <c r="BM94" s="281">
        <v>14705.608040200988</v>
      </c>
      <c r="BN94" s="282">
        <v>9072.8090452261367</v>
      </c>
      <c r="BO94" s="282">
        <v>172.27135678391991</v>
      </c>
      <c r="BP94" s="282">
        <v>0</v>
      </c>
      <c r="BQ94" s="283">
        <v>0</v>
      </c>
      <c r="BR94" s="284"/>
      <c r="BS94" s="147"/>
      <c r="BT94" s="285">
        <v>1</v>
      </c>
      <c r="BU94" s="288">
        <v>3.4430039393564885E-2</v>
      </c>
      <c r="BV94" s="287">
        <v>0</v>
      </c>
      <c r="BW94" s="288">
        <v>0</v>
      </c>
      <c r="BX94" s="286">
        <v>100</v>
      </c>
      <c r="BY94" s="287">
        <v>0</v>
      </c>
      <c r="BZ94" s="288">
        <v>0</v>
      </c>
      <c r="CA94" s="286">
        <v>0.77706915175739988</v>
      </c>
      <c r="CB94" s="286">
        <v>0</v>
      </c>
      <c r="CC94" s="287">
        <v>1.2219360860183921</v>
      </c>
      <c r="CD94" s="286">
        <v>0</v>
      </c>
      <c r="CE94" s="286">
        <v>15.750861249504755</v>
      </c>
      <c r="CF94" s="286">
        <v>0</v>
      </c>
      <c r="CG94" s="287">
        <v>22.417729496684238</v>
      </c>
      <c r="CH94" s="288">
        <v>0</v>
      </c>
      <c r="CI94" s="286">
        <v>1.752420504870462</v>
      </c>
      <c r="CJ94" s="286">
        <v>0</v>
      </c>
      <c r="CK94" s="287"/>
      <c r="CL94" s="288"/>
      <c r="CM94" s="286"/>
      <c r="CN94" s="287"/>
      <c r="CO94" s="289"/>
      <c r="CP94" s="290"/>
      <c r="CQ94" s="289"/>
      <c r="CR94" s="290"/>
      <c r="CS94" s="284"/>
      <c r="CT94" s="147"/>
      <c r="CU94" s="291"/>
      <c r="CV94" s="292"/>
    </row>
    <row r="95" spans="2:100">
      <c r="B95">
        <v>37</v>
      </c>
      <c r="C95" s="243">
        <v>1</v>
      </c>
      <c r="D95" s="592">
        <v>0</v>
      </c>
      <c r="E95" s="245">
        <v>0</v>
      </c>
      <c r="F95" s="243">
        <v>0</v>
      </c>
      <c r="G95" s="245">
        <v>0</v>
      </c>
      <c r="H95" s="243">
        <v>0</v>
      </c>
      <c r="I95" s="245">
        <v>0</v>
      </c>
      <c r="J95" s="242">
        <v>0</v>
      </c>
      <c r="K95" s="242">
        <v>18.98026913397722</v>
      </c>
      <c r="L95" s="242">
        <v>5.0251256281407036E-3</v>
      </c>
      <c r="M95" s="243">
        <v>117.73131478081986</v>
      </c>
      <c r="N95" s="592">
        <v>33.827178721536811</v>
      </c>
      <c r="O95" s="245">
        <v>0.56676667708771322</v>
      </c>
      <c r="P95" s="245">
        <v>1.1947433117538744</v>
      </c>
      <c r="Q95" s="254">
        <v>0</v>
      </c>
      <c r="R95" s="255">
        <v>0</v>
      </c>
      <c r="S95" s="256">
        <v>0</v>
      </c>
      <c r="T95" s="257">
        <v>0</v>
      </c>
      <c r="U95" s="255">
        <v>0</v>
      </c>
      <c r="V95" s="256">
        <v>0</v>
      </c>
      <c r="W95" s="257">
        <v>0</v>
      </c>
      <c r="X95" s="255">
        <v>0</v>
      </c>
      <c r="Y95" s="256">
        <v>0</v>
      </c>
      <c r="Z95" s="257">
        <v>0</v>
      </c>
      <c r="AA95" s="255">
        <v>0</v>
      </c>
      <c r="AB95" s="256">
        <v>0</v>
      </c>
      <c r="AC95" s="257">
        <v>0</v>
      </c>
      <c r="AD95" s="255">
        <v>0</v>
      </c>
      <c r="AE95" s="256">
        <v>0</v>
      </c>
      <c r="AF95" s="257">
        <v>0</v>
      </c>
      <c r="AG95" s="255">
        <v>0</v>
      </c>
      <c r="AH95" s="256">
        <v>0</v>
      </c>
      <c r="AI95" s="257">
        <v>0</v>
      </c>
      <c r="AJ95" s="255">
        <v>0</v>
      </c>
      <c r="AK95" s="256">
        <v>0</v>
      </c>
      <c r="AL95" s="257">
        <v>0</v>
      </c>
      <c r="AM95" s="255">
        <v>0</v>
      </c>
      <c r="AN95" s="256">
        <v>0</v>
      </c>
      <c r="AO95" s="257">
        <v>0</v>
      </c>
      <c r="AP95" s="255">
        <v>0</v>
      </c>
      <c r="AQ95" s="256">
        <v>0</v>
      </c>
      <c r="AR95" s="257">
        <v>0</v>
      </c>
      <c r="AS95" s="255">
        <v>0</v>
      </c>
      <c r="AT95" s="256">
        <v>0</v>
      </c>
      <c r="AU95" s="257">
        <v>0</v>
      </c>
      <c r="AV95" s="255">
        <v>0</v>
      </c>
      <c r="AW95" s="256">
        <v>0</v>
      </c>
      <c r="AX95" s="257">
        <v>0</v>
      </c>
      <c r="AY95" s="243">
        <v>0</v>
      </c>
      <c r="AZ95" s="244">
        <v>0</v>
      </c>
      <c r="BA95" s="244">
        <v>0</v>
      </c>
      <c r="BB95" s="244">
        <v>0</v>
      </c>
      <c r="BC95" s="244">
        <v>0</v>
      </c>
      <c r="BD95" s="244">
        <v>0</v>
      </c>
      <c r="BE95" s="244">
        <v>0</v>
      </c>
      <c r="BF95" s="244">
        <v>0</v>
      </c>
      <c r="BG95" s="244">
        <v>0</v>
      </c>
      <c r="BH95" s="245">
        <v>0</v>
      </c>
      <c r="BK95">
        <v>37</v>
      </c>
      <c r="BL95" s="281">
        <v>0.81909547738693378</v>
      </c>
      <c r="BM95" s="281">
        <v>14615.939698492446</v>
      </c>
      <c r="BN95" s="282">
        <v>9040.4321608040264</v>
      </c>
      <c r="BO95" s="282">
        <v>171.96482412060334</v>
      </c>
      <c r="BP95" s="282">
        <v>0</v>
      </c>
      <c r="BQ95" s="283">
        <v>0</v>
      </c>
      <c r="BR95" s="284"/>
      <c r="BS95" s="147"/>
      <c r="BT95" s="285">
        <v>1</v>
      </c>
      <c r="BU95" s="288">
        <v>3.4430039393564885E-2</v>
      </c>
      <c r="BV95" s="287">
        <v>0</v>
      </c>
      <c r="BW95" s="288">
        <v>0</v>
      </c>
      <c r="BX95" s="286">
        <v>100</v>
      </c>
      <c r="BY95" s="287">
        <v>0</v>
      </c>
      <c r="BZ95" s="288">
        <v>0</v>
      </c>
      <c r="CA95" s="286">
        <v>0.7769826177148722</v>
      </c>
      <c r="CB95" s="286">
        <v>0</v>
      </c>
      <c r="CC95" s="287">
        <v>1.2219000469611623</v>
      </c>
      <c r="CD95" s="286">
        <v>0</v>
      </c>
      <c r="CE95" s="286">
        <v>15.750665352468497</v>
      </c>
      <c r="CF95" s="286">
        <v>0</v>
      </c>
      <c r="CG95" s="287">
        <v>22.418947525926317</v>
      </c>
      <c r="CH95" s="288">
        <v>0</v>
      </c>
      <c r="CI95" s="286">
        <v>1.7533259508526335</v>
      </c>
      <c r="CJ95" s="286">
        <v>0</v>
      </c>
      <c r="CK95" s="287"/>
      <c r="CL95" s="288"/>
      <c r="CM95" s="286"/>
      <c r="CN95" s="287"/>
      <c r="CO95" s="289"/>
      <c r="CP95" s="290"/>
      <c r="CQ95" s="289"/>
      <c r="CR95" s="290"/>
      <c r="CS95" s="284"/>
      <c r="CT95" s="147"/>
      <c r="CU95" s="291"/>
      <c r="CV95" s="292"/>
    </row>
    <row r="96" spans="2:100">
      <c r="B96">
        <v>38</v>
      </c>
      <c r="C96" s="243">
        <v>0.99999999999999978</v>
      </c>
      <c r="D96" s="592">
        <v>0</v>
      </c>
      <c r="E96" s="245">
        <v>0</v>
      </c>
      <c r="F96" s="243">
        <v>0</v>
      </c>
      <c r="G96" s="245">
        <v>0</v>
      </c>
      <c r="H96" s="243">
        <v>0</v>
      </c>
      <c r="I96" s="245">
        <v>0</v>
      </c>
      <c r="J96" s="242">
        <v>0</v>
      </c>
      <c r="K96" s="242">
        <v>18.98238765821128</v>
      </c>
      <c r="L96" s="242">
        <v>5.0251256281407036E-3</v>
      </c>
      <c r="M96" s="243">
        <v>117.69943380593261</v>
      </c>
      <c r="N96" s="592">
        <v>33.789270472862995</v>
      </c>
      <c r="O96" s="245">
        <v>0.56678187069091601</v>
      </c>
      <c r="P96" s="245">
        <v>1.1948766656405641</v>
      </c>
      <c r="Q96" s="254">
        <v>0</v>
      </c>
      <c r="R96" s="255">
        <v>0</v>
      </c>
      <c r="S96" s="256">
        <v>0</v>
      </c>
      <c r="T96" s="257">
        <v>0</v>
      </c>
      <c r="U96" s="255">
        <v>0</v>
      </c>
      <c r="V96" s="256">
        <v>0</v>
      </c>
      <c r="W96" s="257">
        <v>0</v>
      </c>
      <c r="X96" s="255">
        <v>0</v>
      </c>
      <c r="Y96" s="256">
        <v>0</v>
      </c>
      <c r="Z96" s="257">
        <v>0</v>
      </c>
      <c r="AA96" s="255">
        <v>0</v>
      </c>
      <c r="AB96" s="256">
        <v>0</v>
      </c>
      <c r="AC96" s="257">
        <v>0</v>
      </c>
      <c r="AD96" s="255">
        <v>0</v>
      </c>
      <c r="AE96" s="256">
        <v>0</v>
      </c>
      <c r="AF96" s="257">
        <v>0</v>
      </c>
      <c r="AG96" s="255">
        <v>0</v>
      </c>
      <c r="AH96" s="256">
        <v>0</v>
      </c>
      <c r="AI96" s="257">
        <v>0</v>
      </c>
      <c r="AJ96" s="255">
        <v>0</v>
      </c>
      <c r="AK96" s="256">
        <v>0</v>
      </c>
      <c r="AL96" s="257">
        <v>0</v>
      </c>
      <c r="AM96" s="255">
        <v>0</v>
      </c>
      <c r="AN96" s="256">
        <v>0</v>
      </c>
      <c r="AO96" s="257">
        <v>0</v>
      </c>
      <c r="AP96" s="255">
        <v>0</v>
      </c>
      <c r="AQ96" s="256">
        <v>0</v>
      </c>
      <c r="AR96" s="257">
        <v>0</v>
      </c>
      <c r="AS96" s="255">
        <v>0</v>
      </c>
      <c r="AT96" s="256">
        <v>0</v>
      </c>
      <c r="AU96" s="257">
        <v>0</v>
      </c>
      <c r="AV96" s="255">
        <v>0</v>
      </c>
      <c r="AW96" s="256">
        <v>0</v>
      </c>
      <c r="AX96" s="257">
        <v>0</v>
      </c>
      <c r="AY96" s="243">
        <v>0</v>
      </c>
      <c r="AZ96" s="244">
        <v>0</v>
      </c>
      <c r="BA96" s="244">
        <v>0</v>
      </c>
      <c r="BB96" s="244">
        <v>0</v>
      </c>
      <c r="BC96" s="244">
        <v>0</v>
      </c>
      <c r="BD96" s="244">
        <v>0</v>
      </c>
      <c r="BE96" s="244">
        <v>0</v>
      </c>
      <c r="BF96" s="244">
        <v>0</v>
      </c>
      <c r="BG96" s="244">
        <v>0</v>
      </c>
      <c r="BH96" s="245">
        <v>0</v>
      </c>
      <c r="BK96">
        <v>38</v>
      </c>
      <c r="BL96" s="281">
        <v>0.81407035175879305</v>
      </c>
      <c r="BM96" s="281">
        <v>14526.271356783904</v>
      </c>
      <c r="BN96" s="282">
        <v>9008.055276381916</v>
      </c>
      <c r="BO96" s="282">
        <v>171.65829145728677</v>
      </c>
      <c r="BP96" s="282">
        <v>0</v>
      </c>
      <c r="BQ96" s="283">
        <v>0</v>
      </c>
      <c r="BR96" s="284"/>
      <c r="BS96" s="147"/>
      <c r="BT96" s="285">
        <v>1</v>
      </c>
      <c r="BU96" s="288">
        <v>3.4430039393564885E-2</v>
      </c>
      <c r="BV96" s="287">
        <v>0</v>
      </c>
      <c r="BW96" s="288">
        <v>0</v>
      </c>
      <c r="BX96" s="286">
        <v>100</v>
      </c>
      <c r="BY96" s="287">
        <v>0</v>
      </c>
      <c r="BZ96" s="288">
        <v>0</v>
      </c>
      <c r="CA96" s="286">
        <v>0.77689590278023335</v>
      </c>
      <c r="CB96" s="286">
        <v>0</v>
      </c>
      <c r="CC96" s="287">
        <v>1.2218639991833973</v>
      </c>
      <c r="CD96" s="286">
        <v>0</v>
      </c>
      <c r="CE96" s="286">
        <v>15.750466280896925</v>
      </c>
      <c r="CF96" s="286">
        <v>0</v>
      </c>
      <c r="CG96" s="287">
        <v>22.420165642551588</v>
      </c>
      <c r="CH96" s="288">
        <v>0</v>
      </c>
      <c r="CI96" s="286">
        <v>1.7542453622521597</v>
      </c>
      <c r="CJ96" s="286">
        <v>0</v>
      </c>
      <c r="CK96" s="287"/>
      <c r="CL96" s="288"/>
      <c r="CM96" s="286"/>
      <c r="CN96" s="287"/>
      <c r="CO96" s="289"/>
      <c r="CP96" s="290"/>
      <c r="CQ96" s="289"/>
      <c r="CR96" s="290"/>
      <c r="CS96" s="284"/>
      <c r="CT96" s="147"/>
      <c r="CU96" s="291"/>
      <c r="CV96" s="292"/>
    </row>
    <row r="97" spans="2:100">
      <c r="B97">
        <v>39</v>
      </c>
      <c r="C97" s="243">
        <v>0.99999999999999978</v>
      </c>
      <c r="D97" s="592">
        <v>0</v>
      </c>
      <c r="E97" s="245">
        <v>0</v>
      </c>
      <c r="F97" s="243">
        <v>0</v>
      </c>
      <c r="G97" s="245">
        <v>0</v>
      </c>
      <c r="H97" s="243">
        <v>0</v>
      </c>
      <c r="I97" s="245">
        <v>0</v>
      </c>
      <c r="J97" s="242">
        <v>0</v>
      </c>
      <c r="K97" s="242">
        <v>18.98451109541881</v>
      </c>
      <c r="L97" s="242">
        <v>5.0251256281407036E-3</v>
      </c>
      <c r="M97" s="243">
        <v>117.66773485428261</v>
      </c>
      <c r="N97" s="592">
        <v>33.751129200228597</v>
      </c>
      <c r="O97" s="245">
        <v>0.56679796371822333</v>
      </c>
      <c r="P97" s="245">
        <v>1.1950103287822043</v>
      </c>
      <c r="Q97" s="254">
        <v>0</v>
      </c>
      <c r="R97" s="255">
        <v>0</v>
      </c>
      <c r="S97" s="256">
        <v>0</v>
      </c>
      <c r="T97" s="257">
        <v>0</v>
      </c>
      <c r="U97" s="255">
        <v>0</v>
      </c>
      <c r="V97" s="256">
        <v>0</v>
      </c>
      <c r="W97" s="257">
        <v>0</v>
      </c>
      <c r="X97" s="255">
        <v>0</v>
      </c>
      <c r="Y97" s="256">
        <v>0</v>
      </c>
      <c r="Z97" s="257">
        <v>0</v>
      </c>
      <c r="AA97" s="255">
        <v>0</v>
      </c>
      <c r="AB97" s="256">
        <v>0</v>
      </c>
      <c r="AC97" s="257">
        <v>0</v>
      </c>
      <c r="AD97" s="255">
        <v>0</v>
      </c>
      <c r="AE97" s="256">
        <v>0</v>
      </c>
      <c r="AF97" s="257">
        <v>0</v>
      </c>
      <c r="AG97" s="255">
        <v>0</v>
      </c>
      <c r="AH97" s="256">
        <v>0</v>
      </c>
      <c r="AI97" s="257">
        <v>0</v>
      </c>
      <c r="AJ97" s="255">
        <v>0</v>
      </c>
      <c r="AK97" s="256">
        <v>0</v>
      </c>
      <c r="AL97" s="257">
        <v>0</v>
      </c>
      <c r="AM97" s="255">
        <v>0</v>
      </c>
      <c r="AN97" s="256">
        <v>0</v>
      </c>
      <c r="AO97" s="257">
        <v>0</v>
      </c>
      <c r="AP97" s="255">
        <v>0</v>
      </c>
      <c r="AQ97" s="256">
        <v>0</v>
      </c>
      <c r="AR97" s="257">
        <v>0</v>
      </c>
      <c r="AS97" s="255">
        <v>0</v>
      </c>
      <c r="AT97" s="256">
        <v>0</v>
      </c>
      <c r="AU97" s="257">
        <v>0</v>
      </c>
      <c r="AV97" s="255">
        <v>0</v>
      </c>
      <c r="AW97" s="256">
        <v>0</v>
      </c>
      <c r="AX97" s="257">
        <v>0</v>
      </c>
      <c r="AY97" s="243">
        <v>0</v>
      </c>
      <c r="AZ97" s="244">
        <v>0</v>
      </c>
      <c r="BA97" s="244">
        <v>0</v>
      </c>
      <c r="BB97" s="244">
        <v>0</v>
      </c>
      <c r="BC97" s="244">
        <v>0</v>
      </c>
      <c r="BD97" s="244">
        <v>0</v>
      </c>
      <c r="BE97" s="244">
        <v>0</v>
      </c>
      <c r="BF97" s="244">
        <v>0</v>
      </c>
      <c r="BG97" s="244">
        <v>0</v>
      </c>
      <c r="BH97" s="245">
        <v>0</v>
      </c>
      <c r="BK97">
        <v>39</v>
      </c>
      <c r="BL97" s="281">
        <v>0.80904522613065244</v>
      </c>
      <c r="BM97" s="281">
        <v>14436.603015075361</v>
      </c>
      <c r="BN97" s="282">
        <v>8975.6783919598056</v>
      </c>
      <c r="BO97" s="282">
        <v>171.35175879397019</v>
      </c>
      <c r="BP97" s="282">
        <v>0</v>
      </c>
      <c r="BQ97" s="283">
        <v>0</v>
      </c>
      <c r="BR97" s="284"/>
      <c r="BS97" s="147"/>
      <c r="BT97" s="285">
        <v>1</v>
      </c>
      <c r="BU97" s="288">
        <v>3.4430039393564885E-2</v>
      </c>
      <c r="BV97" s="287">
        <v>0</v>
      </c>
      <c r="BW97" s="288">
        <v>0</v>
      </c>
      <c r="BX97" s="286">
        <v>100</v>
      </c>
      <c r="BY97" s="287">
        <v>0</v>
      </c>
      <c r="BZ97" s="288">
        <v>0</v>
      </c>
      <c r="CA97" s="286">
        <v>0.77680900616972559</v>
      </c>
      <c r="CB97" s="286">
        <v>0</v>
      </c>
      <c r="CC97" s="287">
        <v>1.2218279426626371</v>
      </c>
      <c r="CD97" s="286">
        <v>0</v>
      </c>
      <c r="CE97" s="286">
        <v>15.750264020456127</v>
      </c>
      <c r="CF97" s="286">
        <v>0</v>
      </c>
      <c r="CG97" s="287">
        <v>22.421383846423296</v>
      </c>
      <c r="CH97" s="288">
        <v>0</v>
      </c>
      <c r="CI97" s="286">
        <v>1.7551787368030285</v>
      </c>
      <c r="CJ97" s="286">
        <v>0</v>
      </c>
      <c r="CK97" s="287"/>
      <c r="CL97" s="288"/>
      <c r="CM97" s="286"/>
      <c r="CN97" s="287"/>
      <c r="CO97" s="289"/>
      <c r="CP97" s="290"/>
      <c r="CQ97" s="289"/>
      <c r="CR97" s="290"/>
      <c r="CS97" s="284"/>
      <c r="CT97" s="147"/>
      <c r="CU97" s="291"/>
      <c r="CV97" s="292"/>
    </row>
    <row r="98" spans="2:100">
      <c r="B98">
        <v>40</v>
      </c>
      <c r="C98" s="243">
        <v>1</v>
      </c>
      <c r="D98" s="592">
        <v>0</v>
      </c>
      <c r="E98" s="245">
        <v>0</v>
      </c>
      <c r="F98" s="243">
        <v>0</v>
      </c>
      <c r="G98" s="245">
        <v>0</v>
      </c>
      <c r="H98" s="243">
        <v>0</v>
      </c>
      <c r="I98" s="245">
        <v>0</v>
      </c>
      <c r="J98" s="242">
        <v>0</v>
      </c>
      <c r="K98" s="242">
        <v>18.986639468015753</v>
      </c>
      <c r="L98" s="242">
        <v>5.0251256281407036E-3</v>
      </c>
      <c r="M98" s="243">
        <v>117.63621876499633</v>
      </c>
      <c r="N98" s="592">
        <v>33.712756198613349</v>
      </c>
      <c r="O98" s="245">
        <v>0.56681494874762028</v>
      </c>
      <c r="P98" s="245">
        <v>1.1951443025898025</v>
      </c>
      <c r="Q98" s="254">
        <v>0</v>
      </c>
      <c r="R98" s="255">
        <v>0</v>
      </c>
      <c r="S98" s="256">
        <v>0</v>
      </c>
      <c r="T98" s="257">
        <v>0</v>
      </c>
      <c r="U98" s="255">
        <v>0</v>
      </c>
      <c r="V98" s="256">
        <v>0</v>
      </c>
      <c r="W98" s="257">
        <v>0</v>
      </c>
      <c r="X98" s="255">
        <v>0</v>
      </c>
      <c r="Y98" s="256">
        <v>0</v>
      </c>
      <c r="Z98" s="257">
        <v>0</v>
      </c>
      <c r="AA98" s="255">
        <v>0</v>
      </c>
      <c r="AB98" s="256">
        <v>0</v>
      </c>
      <c r="AC98" s="257">
        <v>0</v>
      </c>
      <c r="AD98" s="255">
        <v>0</v>
      </c>
      <c r="AE98" s="256">
        <v>0</v>
      </c>
      <c r="AF98" s="257">
        <v>0</v>
      </c>
      <c r="AG98" s="255">
        <v>0</v>
      </c>
      <c r="AH98" s="256">
        <v>0</v>
      </c>
      <c r="AI98" s="257">
        <v>0</v>
      </c>
      <c r="AJ98" s="255">
        <v>0</v>
      </c>
      <c r="AK98" s="256">
        <v>0</v>
      </c>
      <c r="AL98" s="257">
        <v>0</v>
      </c>
      <c r="AM98" s="255">
        <v>0</v>
      </c>
      <c r="AN98" s="256">
        <v>0</v>
      </c>
      <c r="AO98" s="257">
        <v>0</v>
      </c>
      <c r="AP98" s="255">
        <v>0</v>
      </c>
      <c r="AQ98" s="256">
        <v>0</v>
      </c>
      <c r="AR98" s="257">
        <v>0</v>
      </c>
      <c r="AS98" s="255">
        <v>0</v>
      </c>
      <c r="AT98" s="256">
        <v>0</v>
      </c>
      <c r="AU98" s="257">
        <v>0</v>
      </c>
      <c r="AV98" s="255">
        <v>0</v>
      </c>
      <c r="AW98" s="256">
        <v>0</v>
      </c>
      <c r="AX98" s="257">
        <v>0</v>
      </c>
      <c r="AY98" s="243">
        <v>0</v>
      </c>
      <c r="AZ98" s="244">
        <v>0</v>
      </c>
      <c r="BA98" s="244">
        <v>0</v>
      </c>
      <c r="BB98" s="244">
        <v>0</v>
      </c>
      <c r="BC98" s="244">
        <v>0</v>
      </c>
      <c r="BD98" s="244">
        <v>0</v>
      </c>
      <c r="BE98" s="244">
        <v>0</v>
      </c>
      <c r="BF98" s="244">
        <v>0</v>
      </c>
      <c r="BG98" s="244">
        <v>0</v>
      </c>
      <c r="BH98" s="245">
        <v>0</v>
      </c>
      <c r="BK98">
        <v>40</v>
      </c>
      <c r="BL98" s="281">
        <v>0.80402010050251171</v>
      </c>
      <c r="BM98" s="281">
        <v>14346.934673366819</v>
      </c>
      <c r="BN98" s="282">
        <v>8943.3015075376952</v>
      </c>
      <c r="BO98" s="282">
        <v>171.04522613065362</v>
      </c>
      <c r="BP98" s="282">
        <v>0</v>
      </c>
      <c r="BQ98" s="283">
        <v>0</v>
      </c>
      <c r="BR98" s="284"/>
      <c r="BS98" s="147"/>
      <c r="BT98" s="285">
        <v>1</v>
      </c>
      <c r="BU98" s="288">
        <v>3.4430039393564885E-2</v>
      </c>
      <c r="BV98" s="287">
        <v>0</v>
      </c>
      <c r="BW98" s="288">
        <v>0</v>
      </c>
      <c r="BX98" s="286">
        <v>100</v>
      </c>
      <c r="BY98" s="287">
        <v>0</v>
      </c>
      <c r="BZ98" s="288">
        <v>0</v>
      </c>
      <c r="CA98" s="286">
        <v>0.77672192709474885</v>
      </c>
      <c r="CB98" s="286">
        <v>0</v>
      </c>
      <c r="CC98" s="287">
        <v>1.2217918773763492</v>
      </c>
      <c r="CD98" s="286">
        <v>0</v>
      </c>
      <c r="CE98" s="286">
        <v>15.750058556722829</v>
      </c>
      <c r="CF98" s="286">
        <v>0</v>
      </c>
      <c r="CG98" s="287">
        <v>22.422602137403857</v>
      </c>
      <c r="CH98" s="288">
        <v>0</v>
      </c>
      <c r="CI98" s="286">
        <v>1.7561260726111971</v>
      </c>
      <c r="CJ98" s="286">
        <v>0</v>
      </c>
      <c r="CK98" s="287"/>
      <c r="CL98" s="288"/>
      <c r="CM98" s="286"/>
      <c r="CN98" s="287"/>
      <c r="CO98" s="289"/>
      <c r="CP98" s="290"/>
      <c r="CQ98" s="289"/>
      <c r="CR98" s="290"/>
      <c r="CS98" s="284"/>
      <c r="CT98" s="147"/>
      <c r="CU98" s="291"/>
      <c r="CV98" s="292"/>
    </row>
    <row r="99" spans="2:100">
      <c r="B99">
        <v>41</v>
      </c>
      <c r="C99" s="243">
        <v>1</v>
      </c>
      <c r="D99" s="592">
        <v>0</v>
      </c>
      <c r="E99" s="245">
        <v>0</v>
      </c>
      <c r="F99" s="243">
        <v>0</v>
      </c>
      <c r="G99" s="245">
        <v>0</v>
      </c>
      <c r="H99" s="243">
        <v>0</v>
      </c>
      <c r="I99" s="245">
        <v>0</v>
      </c>
      <c r="J99" s="242">
        <v>0</v>
      </c>
      <c r="K99" s="242">
        <v>18.988772798563161</v>
      </c>
      <c r="L99" s="242">
        <v>5.0251256281407036E-3</v>
      </c>
      <c r="M99" s="243">
        <v>117.6048863828</v>
      </c>
      <c r="N99" s="592">
        <v>33.674152763868861</v>
      </c>
      <c r="O99" s="245">
        <v>0.56683281830303178</v>
      </c>
      <c r="P99" s="245">
        <v>1.1952785884835</v>
      </c>
      <c r="Q99" s="254">
        <v>0</v>
      </c>
      <c r="R99" s="255">
        <v>0</v>
      </c>
      <c r="S99" s="256">
        <v>0</v>
      </c>
      <c r="T99" s="257">
        <v>0</v>
      </c>
      <c r="U99" s="255">
        <v>0</v>
      </c>
      <c r="V99" s="256">
        <v>0</v>
      </c>
      <c r="W99" s="257">
        <v>0</v>
      </c>
      <c r="X99" s="255">
        <v>0</v>
      </c>
      <c r="Y99" s="256">
        <v>0</v>
      </c>
      <c r="Z99" s="257">
        <v>0</v>
      </c>
      <c r="AA99" s="255">
        <v>0</v>
      </c>
      <c r="AB99" s="256">
        <v>0</v>
      </c>
      <c r="AC99" s="257">
        <v>0</v>
      </c>
      <c r="AD99" s="255">
        <v>0</v>
      </c>
      <c r="AE99" s="256">
        <v>0</v>
      </c>
      <c r="AF99" s="257">
        <v>0</v>
      </c>
      <c r="AG99" s="255">
        <v>0</v>
      </c>
      <c r="AH99" s="256">
        <v>0</v>
      </c>
      <c r="AI99" s="257">
        <v>0</v>
      </c>
      <c r="AJ99" s="255">
        <v>0</v>
      </c>
      <c r="AK99" s="256">
        <v>0</v>
      </c>
      <c r="AL99" s="257">
        <v>0</v>
      </c>
      <c r="AM99" s="255">
        <v>0</v>
      </c>
      <c r="AN99" s="256">
        <v>0</v>
      </c>
      <c r="AO99" s="257">
        <v>0</v>
      </c>
      <c r="AP99" s="255">
        <v>0</v>
      </c>
      <c r="AQ99" s="256">
        <v>0</v>
      </c>
      <c r="AR99" s="257">
        <v>0</v>
      </c>
      <c r="AS99" s="255">
        <v>0</v>
      </c>
      <c r="AT99" s="256">
        <v>0</v>
      </c>
      <c r="AU99" s="257">
        <v>0</v>
      </c>
      <c r="AV99" s="255">
        <v>0</v>
      </c>
      <c r="AW99" s="256">
        <v>0</v>
      </c>
      <c r="AX99" s="257">
        <v>0</v>
      </c>
      <c r="AY99" s="243">
        <v>0</v>
      </c>
      <c r="AZ99" s="244">
        <v>0</v>
      </c>
      <c r="BA99" s="244">
        <v>0</v>
      </c>
      <c r="BB99" s="244">
        <v>0</v>
      </c>
      <c r="BC99" s="244">
        <v>0</v>
      </c>
      <c r="BD99" s="244">
        <v>0</v>
      </c>
      <c r="BE99" s="244">
        <v>0</v>
      </c>
      <c r="BF99" s="244">
        <v>0</v>
      </c>
      <c r="BG99" s="244">
        <v>0</v>
      </c>
      <c r="BH99" s="245">
        <v>0</v>
      </c>
      <c r="BK99">
        <v>41</v>
      </c>
      <c r="BL99" s="281">
        <v>0.79899497487437099</v>
      </c>
      <c r="BM99" s="281">
        <v>14257.266331658277</v>
      </c>
      <c r="BN99" s="282">
        <v>8910.9246231155848</v>
      </c>
      <c r="BO99" s="282">
        <v>170.73869346733704</v>
      </c>
      <c r="BP99" s="282">
        <v>0</v>
      </c>
      <c r="BQ99" s="283">
        <v>0</v>
      </c>
      <c r="BR99" s="284"/>
      <c r="BS99" s="147"/>
      <c r="BT99" s="285">
        <v>1</v>
      </c>
      <c r="BU99" s="288">
        <v>3.4430039393564885E-2</v>
      </c>
      <c r="BV99" s="287">
        <v>0</v>
      </c>
      <c r="BW99" s="288">
        <v>0</v>
      </c>
      <c r="BX99" s="286">
        <v>100</v>
      </c>
      <c r="BY99" s="287">
        <v>0</v>
      </c>
      <c r="BZ99" s="288">
        <v>0</v>
      </c>
      <c r="CA99" s="286">
        <v>0.7766346647618172</v>
      </c>
      <c r="CB99" s="286">
        <v>0</v>
      </c>
      <c r="CC99" s="287">
        <v>1.2217558033019302</v>
      </c>
      <c r="CD99" s="286">
        <v>0</v>
      </c>
      <c r="CE99" s="286">
        <v>15.749849875183623</v>
      </c>
      <c r="CF99" s="286">
        <v>0</v>
      </c>
      <c r="CG99" s="287">
        <v>22.423820515354819</v>
      </c>
      <c r="CH99" s="288">
        <v>0</v>
      </c>
      <c r="CI99" s="286">
        <v>1.7570873681527346</v>
      </c>
      <c r="CJ99" s="286">
        <v>0</v>
      </c>
      <c r="CK99" s="287"/>
      <c r="CL99" s="288"/>
      <c r="CM99" s="286"/>
      <c r="CN99" s="287"/>
      <c r="CO99" s="289"/>
      <c r="CP99" s="290"/>
      <c r="CQ99" s="289"/>
      <c r="CR99" s="290"/>
      <c r="CS99" s="284"/>
      <c r="CT99" s="147"/>
      <c r="CU99" s="291"/>
      <c r="CV99" s="292"/>
    </row>
    <row r="100" spans="2:100">
      <c r="B100">
        <v>42</v>
      </c>
      <c r="C100" s="243">
        <v>0.99999999999999989</v>
      </c>
      <c r="D100" s="592">
        <v>0</v>
      </c>
      <c r="E100" s="245">
        <v>0</v>
      </c>
      <c r="F100" s="243">
        <v>0</v>
      </c>
      <c r="G100" s="245">
        <v>0</v>
      </c>
      <c r="H100" s="243">
        <v>0</v>
      </c>
      <c r="I100" s="245">
        <v>0</v>
      </c>
      <c r="J100" s="242">
        <v>0</v>
      </c>
      <c r="K100" s="242">
        <v>18.990911109768316</v>
      </c>
      <c r="L100" s="242">
        <v>5.0251256281407036E-3</v>
      </c>
      <c r="M100" s="243">
        <v>117.57373855808228</v>
      </c>
      <c r="N100" s="592">
        <v>33.635320192687971</v>
      </c>
      <c r="O100" s="245">
        <v>0.5668515648543353</v>
      </c>
      <c r="P100" s="245">
        <v>1.1954131878926431</v>
      </c>
      <c r="Q100" s="254">
        <v>0</v>
      </c>
      <c r="R100" s="255">
        <v>0</v>
      </c>
      <c r="S100" s="256">
        <v>0</v>
      </c>
      <c r="T100" s="257">
        <v>0</v>
      </c>
      <c r="U100" s="255">
        <v>0</v>
      </c>
      <c r="V100" s="256">
        <v>0</v>
      </c>
      <c r="W100" s="257">
        <v>0</v>
      </c>
      <c r="X100" s="255">
        <v>0</v>
      </c>
      <c r="Y100" s="256">
        <v>0</v>
      </c>
      <c r="Z100" s="257">
        <v>0</v>
      </c>
      <c r="AA100" s="255">
        <v>0</v>
      </c>
      <c r="AB100" s="256">
        <v>0</v>
      </c>
      <c r="AC100" s="257">
        <v>0</v>
      </c>
      <c r="AD100" s="255">
        <v>0</v>
      </c>
      <c r="AE100" s="256">
        <v>0</v>
      </c>
      <c r="AF100" s="257">
        <v>0</v>
      </c>
      <c r="AG100" s="255">
        <v>0</v>
      </c>
      <c r="AH100" s="256">
        <v>0</v>
      </c>
      <c r="AI100" s="257">
        <v>0</v>
      </c>
      <c r="AJ100" s="255">
        <v>0</v>
      </c>
      <c r="AK100" s="256">
        <v>0</v>
      </c>
      <c r="AL100" s="257">
        <v>0</v>
      </c>
      <c r="AM100" s="255">
        <v>0</v>
      </c>
      <c r="AN100" s="256">
        <v>0</v>
      </c>
      <c r="AO100" s="257">
        <v>0</v>
      </c>
      <c r="AP100" s="255">
        <v>0</v>
      </c>
      <c r="AQ100" s="256">
        <v>0</v>
      </c>
      <c r="AR100" s="257">
        <v>0</v>
      </c>
      <c r="AS100" s="255">
        <v>0</v>
      </c>
      <c r="AT100" s="256">
        <v>0</v>
      </c>
      <c r="AU100" s="257">
        <v>0</v>
      </c>
      <c r="AV100" s="255">
        <v>0</v>
      </c>
      <c r="AW100" s="256">
        <v>0</v>
      </c>
      <c r="AX100" s="257">
        <v>0</v>
      </c>
      <c r="AY100" s="243">
        <v>0</v>
      </c>
      <c r="AZ100" s="244">
        <v>0</v>
      </c>
      <c r="BA100" s="244">
        <v>0</v>
      </c>
      <c r="BB100" s="244">
        <v>0</v>
      </c>
      <c r="BC100" s="244">
        <v>0</v>
      </c>
      <c r="BD100" s="244">
        <v>0</v>
      </c>
      <c r="BE100" s="244">
        <v>0</v>
      </c>
      <c r="BF100" s="244">
        <v>0</v>
      </c>
      <c r="BG100" s="244">
        <v>0</v>
      </c>
      <c r="BH100" s="245">
        <v>0</v>
      </c>
      <c r="BK100">
        <v>42</v>
      </c>
      <c r="BL100" s="281">
        <v>0.79396984924623037</v>
      </c>
      <c r="BM100" s="281">
        <v>14167.597989949734</v>
      </c>
      <c r="BN100" s="282">
        <v>8878.5477386934745</v>
      </c>
      <c r="BO100" s="282">
        <v>170.43216080402047</v>
      </c>
      <c r="BP100" s="282">
        <v>0</v>
      </c>
      <c r="BQ100" s="283">
        <v>0</v>
      </c>
      <c r="BR100" s="284"/>
      <c r="BS100" s="147"/>
      <c r="BT100" s="285">
        <v>1</v>
      </c>
      <c r="BU100" s="288">
        <v>3.4430039393564885E-2</v>
      </c>
      <c r="BV100" s="287">
        <v>0</v>
      </c>
      <c r="BW100" s="288">
        <v>0</v>
      </c>
      <c r="BX100" s="286">
        <v>100</v>
      </c>
      <c r="BY100" s="287">
        <v>0</v>
      </c>
      <c r="BZ100" s="288">
        <v>0</v>
      </c>
      <c r="CA100" s="286">
        <v>0.77654721837252205</v>
      </c>
      <c r="CB100" s="286">
        <v>0</v>
      </c>
      <c r="CC100" s="287">
        <v>1.2217197204167232</v>
      </c>
      <c r="CD100" s="286">
        <v>0</v>
      </c>
      <c r="CE100" s="286">
        <v>15.749637961234278</v>
      </c>
      <c r="CF100" s="286">
        <v>0</v>
      </c>
      <c r="CG100" s="287">
        <v>22.425038980137078</v>
      </c>
      <c r="CH100" s="288">
        <v>0</v>
      </c>
      <c r="CI100" s="286">
        <v>1.7580626222718747</v>
      </c>
      <c r="CJ100" s="286">
        <v>0</v>
      </c>
      <c r="CK100" s="287"/>
      <c r="CL100" s="288"/>
      <c r="CM100" s="286"/>
      <c r="CN100" s="287"/>
      <c r="CO100" s="289"/>
      <c r="CP100" s="290"/>
      <c r="CQ100" s="289"/>
      <c r="CR100" s="290"/>
      <c r="CS100" s="284"/>
      <c r="CT100" s="147"/>
      <c r="CU100" s="291"/>
      <c r="CV100" s="292"/>
    </row>
    <row r="101" spans="2:100">
      <c r="B101">
        <v>43</v>
      </c>
      <c r="C101" s="243">
        <v>1</v>
      </c>
      <c r="D101" s="592">
        <v>0</v>
      </c>
      <c r="E101" s="245">
        <v>0</v>
      </c>
      <c r="F101" s="243">
        <v>0</v>
      </c>
      <c r="G101" s="245">
        <v>0</v>
      </c>
      <c r="H101" s="243">
        <v>0</v>
      </c>
      <c r="I101" s="245">
        <v>0</v>
      </c>
      <c r="J101" s="242">
        <v>0</v>
      </c>
      <c r="K101" s="242">
        <v>18.993054424486061</v>
      </c>
      <c r="L101" s="242">
        <v>5.0251256281407036E-3</v>
      </c>
      <c r="M101" s="243">
        <v>117.5427761469157</v>
      </c>
      <c r="N101" s="592">
        <v>33.596259782571117</v>
      </c>
      <c r="O101" s="245">
        <v>0.56687118081737586</v>
      </c>
      <c r="P101" s="245">
        <v>1.1955481022558661</v>
      </c>
      <c r="Q101" s="254">
        <v>0</v>
      </c>
      <c r="R101" s="255">
        <v>0</v>
      </c>
      <c r="S101" s="256">
        <v>0</v>
      </c>
      <c r="T101" s="257">
        <v>0</v>
      </c>
      <c r="U101" s="255">
        <v>0</v>
      </c>
      <c r="V101" s="256">
        <v>0</v>
      </c>
      <c r="W101" s="257">
        <v>0</v>
      </c>
      <c r="X101" s="255">
        <v>0</v>
      </c>
      <c r="Y101" s="256">
        <v>0</v>
      </c>
      <c r="Z101" s="257">
        <v>0</v>
      </c>
      <c r="AA101" s="255">
        <v>0</v>
      </c>
      <c r="AB101" s="256">
        <v>0</v>
      </c>
      <c r="AC101" s="257">
        <v>0</v>
      </c>
      <c r="AD101" s="255">
        <v>0</v>
      </c>
      <c r="AE101" s="256">
        <v>0</v>
      </c>
      <c r="AF101" s="257">
        <v>0</v>
      </c>
      <c r="AG101" s="255">
        <v>0</v>
      </c>
      <c r="AH101" s="256">
        <v>0</v>
      </c>
      <c r="AI101" s="257">
        <v>0</v>
      </c>
      <c r="AJ101" s="255">
        <v>0</v>
      </c>
      <c r="AK101" s="256">
        <v>0</v>
      </c>
      <c r="AL101" s="257">
        <v>0</v>
      </c>
      <c r="AM101" s="255">
        <v>0</v>
      </c>
      <c r="AN101" s="256">
        <v>0</v>
      </c>
      <c r="AO101" s="257">
        <v>0</v>
      </c>
      <c r="AP101" s="255">
        <v>0</v>
      </c>
      <c r="AQ101" s="256">
        <v>0</v>
      </c>
      <c r="AR101" s="257">
        <v>0</v>
      </c>
      <c r="AS101" s="255">
        <v>0</v>
      </c>
      <c r="AT101" s="256">
        <v>0</v>
      </c>
      <c r="AU101" s="257">
        <v>0</v>
      </c>
      <c r="AV101" s="255">
        <v>0</v>
      </c>
      <c r="AW101" s="256">
        <v>0</v>
      </c>
      <c r="AX101" s="257">
        <v>0</v>
      </c>
      <c r="AY101" s="243">
        <v>0</v>
      </c>
      <c r="AZ101" s="244">
        <v>0</v>
      </c>
      <c r="BA101" s="244">
        <v>0</v>
      </c>
      <c r="BB101" s="244">
        <v>0</v>
      </c>
      <c r="BC101" s="244">
        <v>0</v>
      </c>
      <c r="BD101" s="244">
        <v>0</v>
      </c>
      <c r="BE101" s="244">
        <v>0</v>
      </c>
      <c r="BF101" s="244">
        <v>0</v>
      </c>
      <c r="BG101" s="244">
        <v>0</v>
      </c>
      <c r="BH101" s="245">
        <v>0</v>
      </c>
      <c r="BK101">
        <v>43</v>
      </c>
      <c r="BL101" s="281">
        <v>0.78894472361808965</v>
      </c>
      <c r="BM101" s="281">
        <v>14077.929648241192</v>
      </c>
      <c r="BN101" s="282">
        <v>8846.1708542713641</v>
      </c>
      <c r="BO101" s="282">
        <v>170.1256281407039</v>
      </c>
      <c r="BP101" s="282">
        <v>0</v>
      </c>
      <c r="BQ101" s="283">
        <v>0</v>
      </c>
      <c r="BR101" s="284"/>
      <c r="BS101" s="147"/>
      <c r="BT101" s="285">
        <v>1</v>
      </c>
      <c r="BU101" s="288">
        <v>3.4430039393564885E-2</v>
      </c>
      <c r="BV101" s="287">
        <v>0</v>
      </c>
      <c r="BW101" s="288">
        <v>0</v>
      </c>
      <c r="BX101" s="286">
        <v>100</v>
      </c>
      <c r="BY101" s="287">
        <v>0</v>
      </c>
      <c r="BZ101" s="288">
        <v>0</v>
      </c>
      <c r="CA101" s="286">
        <v>0.77645958712348928</v>
      </c>
      <c r="CB101" s="286">
        <v>0</v>
      </c>
      <c r="CC101" s="287">
        <v>1.2216836286979809</v>
      </c>
      <c r="CD101" s="286">
        <v>0</v>
      </c>
      <c r="CE101" s="286">
        <v>15.749422800178944</v>
      </c>
      <c r="CF101" s="286">
        <v>0</v>
      </c>
      <c r="CG101" s="287">
        <v>22.426257531610499</v>
      </c>
      <c r="CH101" s="288">
        <v>0</v>
      </c>
      <c r="CI101" s="286">
        <v>1.7590518341792243</v>
      </c>
      <c r="CJ101" s="286">
        <v>0</v>
      </c>
      <c r="CK101" s="287"/>
      <c r="CL101" s="288"/>
      <c r="CM101" s="286"/>
      <c r="CN101" s="287"/>
      <c r="CO101" s="289"/>
      <c r="CP101" s="290"/>
      <c r="CQ101" s="289"/>
      <c r="CR101" s="290"/>
      <c r="CS101" s="284"/>
      <c r="CT101" s="147"/>
      <c r="CU101" s="291"/>
      <c r="CV101" s="292"/>
    </row>
    <row r="102" spans="2:100">
      <c r="B102">
        <v>44</v>
      </c>
      <c r="C102" s="243">
        <v>0.99999999999999989</v>
      </c>
      <c r="D102" s="592">
        <v>0</v>
      </c>
      <c r="E102" s="245">
        <v>0</v>
      </c>
      <c r="F102" s="243">
        <v>0</v>
      </c>
      <c r="G102" s="245">
        <v>0</v>
      </c>
      <c r="H102" s="243">
        <v>0</v>
      </c>
      <c r="I102" s="245">
        <v>0</v>
      </c>
      <c r="J102" s="242">
        <v>0</v>
      </c>
      <c r="K102" s="242">
        <v>18.995202765719981</v>
      </c>
      <c r="L102" s="242">
        <v>5.0251256281407036E-3</v>
      </c>
      <c r="M102" s="243">
        <v>117.51200001113412</v>
      </c>
      <c r="N102" s="592">
        <v>33.556972831797076</v>
      </c>
      <c r="O102" s="245">
        <v>0.56689165855396972</v>
      </c>
      <c r="P102" s="245">
        <v>1.195683333021166</v>
      </c>
      <c r="Q102" s="254">
        <v>0</v>
      </c>
      <c r="R102" s="255">
        <v>0</v>
      </c>
      <c r="S102" s="256">
        <v>0</v>
      </c>
      <c r="T102" s="257">
        <v>0</v>
      </c>
      <c r="U102" s="255">
        <v>0</v>
      </c>
      <c r="V102" s="256">
        <v>0</v>
      </c>
      <c r="W102" s="257">
        <v>0</v>
      </c>
      <c r="X102" s="255">
        <v>0</v>
      </c>
      <c r="Y102" s="256">
        <v>0</v>
      </c>
      <c r="Z102" s="257">
        <v>0</v>
      </c>
      <c r="AA102" s="255">
        <v>0</v>
      </c>
      <c r="AB102" s="256">
        <v>0</v>
      </c>
      <c r="AC102" s="257">
        <v>0</v>
      </c>
      <c r="AD102" s="255">
        <v>0</v>
      </c>
      <c r="AE102" s="256">
        <v>0</v>
      </c>
      <c r="AF102" s="257">
        <v>0</v>
      </c>
      <c r="AG102" s="255">
        <v>0</v>
      </c>
      <c r="AH102" s="256">
        <v>0</v>
      </c>
      <c r="AI102" s="257">
        <v>0</v>
      </c>
      <c r="AJ102" s="255">
        <v>0</v>
      </c>
      <c r="AK102" s="256">
        <v>0</v>
      </c>
      <c r="AL102" s="257">
        <v>0</v>
      </c>
      <c r="AM102" s="255">
        <v>0</v>
      </c>
      <c r="AN102" s="256">
        <v>0</v>
      </c>
      <c r="AO102" s="257">
        <v>0</v>
      </c>
      <c r="AP102" s="255">
        <v>0</v>
      </c>
      <c r="AQ102" s="256">
        <v>0</v>
      </c>
      <c r="AR102" s="257">
        <v>0</v>
      </c>
      <c r="AS102" s="255">
        <v>0</v>
      </c>
      <c r="AT102" s="256">
        <v>0</v>
      </c>
      <c r="AU102" s="257">
        <v>0</v>
      </c>
      <c r="AV102" s="255">
        <v>0</v>
      </c>
      <c r="AW102" s="256">
        <v>0</v>
      </c>
      <c r="AX102" s="257">
        <v>0</v>
      </c>
      <c r="AY102" s="243">
        <v>0</v>
      </c>
      <c r="AZ102" s="244">
        <v>0</v>
      </c>
      <c r="BA102" s="244">
        <v>0</v>
      </c>
      <c r="BB102" s="244">
        <v>0</v>
      </c>
      <c r="BC102" s="244">
        <v>0</v>
      </c>
      <c r="BD102" s="244">
        <v>0</v>
      </c>
      <c r="BE102" s="244">
        <v>0</v>
      </c>
      <c r="BF102" s="244">
        <v>0</v>
      </c>
      <c r="BG102" s="244">
        <v>0</v>
      </c>
      <c r="BH102" s="245">
        <v>0</v>
      </c>
      <c r="BK102">
        <v>44</v>
      </c>
      <c r="BL102" s="281">
        <v>0.78391959798994892</v>
      </c>
      <c r="BM102" s="281">
        <v>13988.26130653265</v>
      </c>
      <c r="BN102" s="282">
        <v>8813.7939698492537</v>
      </c>
      <c r="BO102" s="282">
        <v>169.81909547738732</v>
      </c>
      <c r="BP102" s="282">
        <v>0</v>
      </c>
      <c r="BQ102" s="283">
        <v>0</v>
      </c>
      <c r="BR102" s="284"/>
      <c r="BS102" s="147"/>
      <c r="BT102" s="285">
        <v>1</v>
      </c>
      <c r="BU102" s="288">
        <v>3.4430039393564885E-2</v>
      </c>
      <c r="BV102" s="287">
        <v>0</v>
      </c>
      <c r="BW102" s="288">
        <v>0</v>
      </c>
      <c r="BX102" s="286">
        <v>100</v>
      </c>
      <c r="BY102" s="287">
        <v>0</v>
      </c>
      <c r="BZ102" s="288">
        <v>0</v>
      </c>
      <c r="CA102" s="286">
        <v>0.77637177020634141</v>
      </c>
      <c r="CB102" s="286">
        <v>0</v>
      </c>
      <c r="CC102" s="287">
        <v>1.2216475281229033</v>
      </c>
      <c r="CD102" s="286">
        <v>0</v>
      </c>
      <c r="CE102" s="286">
        <v>15.749204377229455</v>
      </c>
      <c r="CF102" s="286">
        <v>0</v>
      </c>
      <c r="CG102" s="287">
        <v>22.427476169634271</v>
      </c>
      <c r="CH102" s="288">
        <v>0</v>
      </c>
      <c r="CI102" s="286">
        <v>1.7600550034498108</v>
      </c>
      <c r="CJ102" s="286">
        <v>0</v>
      </c>
      <c r="CK102" s="287"/>
      <c r="CL102" s="288"/>
      <c r="CM102" s="286"/>
      <c r="CN102" s="287"/>
      <c r="CO102" s="289"/>
      <c r="CP102" s="290"/>
      <c r="CQ102" s="289"/>
      <c r="CR102" s="290"/>
      <c r="CS102" s="284"/>
      <c r="CT102" s="147"/>
      <c r="CU102" s="291"/>
      <c r="CV102" s="292"/>
    </row>
    <row r="103" spans="2:100">
      <c r="B103">
        <v>45</v>
      </c>
      <c r="C103" s="243">
        <v>0.99999999999999978</v>
      </c>
      <c r="D103" s="592">
        <v>0</v>
      </c>
      <c r="E103" s="245">
        <v>0</v>
      </c>
      <c r="F103" s="243">
        <v>0</v>
      </c>
      <c r="G103" s="245">
        <v>0</v>
      </c>
      <c r="H103" s="243">
        <v>0</v>
      </c>
      <c r="I103" s="245">
        <v>0</v>
      </c>
      <c r="J103" s="242">
        <v>0</v>
      </c>
      <c r="K103" s="242">
        <v>18.997356156623741</v>
      </c>
      <c r="L103" s="242">
        <v>5.0251256281407036E-3</v>
      </c>
      <c r="M103" s="243">
        <v>117.48141101837541</v>
      </c>
      <c r="N103" s="592">
        <v>33.51746063938954</v>
      </c>
      <c r="O103" s="245">
        <v>0.56691299037191201</v>
      </c>
      <c r="P103" s="245">
        <v>1.195818881645988</v>
      </c>
      <c r="Q103" s="254">
        <v>0</v>
      </c>
      <c r="R103" s="255">
        <v>0</v>
      </c>
      <c r="S103" s="256">
        <v>0</v>
      </c>
      <c r="T103" s="257">
        <v>0</v>
      </c>
      <c r="U103" s="255">
        <v>0</v>
      </c>
      <c r="V103" s="256">
        <v>0</v>
      </c>
      <c r="W103" s="257">
        <v>0</v>
      </c>
      <c r="X103" s="255">
        <v>0</v>
      </c>
      <c r="Y103" s="256">
        <v>0</v>
      </c>
      <c r="Z103" s="257">
        <v>0</v>
      </c>
      <c r="AA103" s="255">
        <v>0</v>
      </c>
      <c r="AB103" s="256">
        <v>0</v>
      </c>
      <c r="AC103" s="257">
        <v>0</v>
      </c>
      <c r="AD103" s="255">
        <v>0</v>
      </c>
      <c r="AE103" s="256">
        <v>0</v>
      </c>
      <c r="AF103" s="257">
        <v>0</v>
      </c>
      <c r="AG103" s="255">
        <v>0</v>
      </c>
      <c r="AH103" s="256">
        <v>0</v>
      </c>
      <c r="AI103" s="257">
        <v>0</v>
      </c>
      <c r="AJ103" s="255">
        <v>0</v>
      </c>
      <c r="AK103" s="256">
        <v>0</v>
      </c>
      <c r="AL103" s="257">
        <v>0</v>
      </c>
      <c r="AM103" s="255">
        <v>0</v>
      </c>
      <c r="AN103" s="256">
        <v>0</v>
      </c>
      <c r="AO103" s="257">
        <v>0</v>
      </c>
      <c r="AP103" s="255">
        <v>0</v>
      </c>
      <c r="AQ103" s="256">
        <v>0</v>
      </c>
      <c r="AR103" s="257">
        <v>0</v>
      </c>
      <c r="AS103" s="255">
        <v>0</v>
      </c>
      <c r="AT103" s="256">
        <v>0</v>
      </c>
      <c r="AU103" s="257">
        <v>0</v>
      </c>
      <c r="AV103" s="255">
        <v>0</v>
      </c>
      <c r="AW103" s="256">
        <v>0</v>
      </c>
      <c r="AX103" s="257">
        <v>0</v>
      </c>
      <c r="AY103" s="243">
        <v>0</v>
      </c>
      <c r="AZ103" s="244">
        <v>0</v>
      </c>
      <c r="BA103" s="244">
        <v>0</v>
      </c>
      <c r="BB103" s="244">
        <v>0</v>
      </c>
      <c r="BC103" s="244">
        <v>0</v>
      </c>
      <c r="BD103" s="244">
        <v>0</v>
      </c>
      <c r="BE103" s="244">
        <v>0</v>
      </c>
      <c r="BF103" s="244">
        <v>0</v>
      </c>
      <c r="BG103" s="244">
        <v>0</v>
      </c>
      <c r="BH103" s="245">
        <v>0</v>
      </c>
      <c r="BK103">
        <v>45</v>
      </c>
      <c r="BL103" s="281">
        <v>0.77889447236180831</v>
      </c>
      <c r="BM103" s="281">
        <v>13898.592964824107</v>
      </c>
      <c r="BN103" s="282">
        <v>8781.4170854271433</v>
      </c>
      <c r="BO103" s="282">
        <v>169.51256281407075</v>
      </c>
      <c r="BP103" s="282">
        <v>0</v>
      </c>
      <c r="BQ103" s="283">
        <v>0</v>
      </c>
      <c r="BR103" s="284"/>
      <c r="BS103" s="147"/>
      <c r="BT103" s="285">
        <v>1</v>
      </c>
      <c r="BU103" s="288">
        <v>3.4430039393564885E-2</v>
      </c>
      <c r="BV103" s="287">
        <v>0</v>
      </c>
      <c r="BW103" s="288">
        <v>0</v>
      </c>
      <c r="BX103" s="286">
        <v>100</v>
      </c>
      <c r="BY103" s="287">
        <v>0</v>
      </c>
      <c r="BZ103" s="288">
        <v>0</v>
      </c>
      <c r="CA103" s="286">
        <v>0.77628376680765165</v>
      </c>
      <c r="CB103" s="286">
        <v>0</v>
      </c>
      <c r="CC103" s="287">
        <v>1.2216114186686189</v>
      </c>
      <c r="CD103" s="286">
        <v>0</v>
      </c>
      <c r="CE103" s="286">
        <v>15.748982677504491</v>
      </c>
      <c r="CF103" s="286">
        <v>0</v>
      </c>
      <c r="CG103" s="287">
        <v>22.428694894066748</v>
      </c>
      <c r="CH103" s="288">
        <v>0</v>
      </c>
      <c r="CI103" s="286">
        <v>1.7610721300213183</v>
      </c>
      <c r="CJ103" s="286">
        <v>0</v>
      </c>
      <c r="CK103" s="287"/>
      <c r="CL103" s="288"/>
      <c r="CM103" s="286"/>
      <c r="CN103" s="287"/>
      <c r="CO103" s="289"/>
      <c r="CP103" s="290"/>
      <c r="CQ103" s="289"/>
      <c r="CR103" s="290"/>
      <c r="CS103" s="284"/>
      <c r="CT103" s="147"/>
      <c r="CU103" s="291"/>
      <c r="CV103" s="292"/>
    </row>
    <row r="104" spans="2:100">
      <c r="B104">
        <v>46</v>
      </c>
      <c r="C104" s="243">
        <v>0.99999999999999989</v>
      </c>
      <c r="D104" s="592">
        <v>0</v>
      </c>
      <c r="E104" s="245">
        <v>0</v>
      </c>
      <c r="F104" s="243">
        <v>0</v>
      </c>
      <c r="G104" s="245">
        <v>0</v>
      </c>
      <c r="H104" s="243">
        <v>0</v>
      </c>
      <c r="I104" s="245">
        <v>0</v>
      </c>
      <c r="J104" s="242">
        <v>0</v>
      </c>
      <c r="K104" s="242">
        <v>18.999514620502289</v>
      </c>
      <c r="L104" s="242">
        <v>5.0251256281407036E-3</v>
      </c>
      <c r="M104" s="243">
        <v>117.45101004212275</v>
      </c>
      <c r="N104" s="592">
        <v>33.47772450508689</v>
      </c>
      <c r="O104" s="245">
        <v>0.56693516852498105</v>
      </c>
      <c r="P104" s="245">
        <v>1.1959547495972986</v>
      </c>
      <c r="Q104" s="254">
        <v>0</v>
      </c>
      <c r="R104" s="255">
        <v>0</v>
      </c>
      <c r="S104" s="256">
        <v>0</v>
      </c>
      <c r="T104" s="257">
        <v>0</v>
      </c>
      <c r="U104" s="255">
        <v>0</v>
      </c>
      <c r="V104" s="256">
        <v>0</v>
      </c>
      <c r="W104" s="257">
        <v>0</v>
      </c>
      <c r="X104" s="255">
        <v>0</v>
      </c>
      <c r="Y104" s="256">
        <v>0</v>
      </c>
      <c r="Z104" s="257">
        <v>0</v>
      </c>
      <c r="AA104" s="255">
        <v>0</v>
      </c>
      <c r="AB104" s="256">
        <v>0</v>
      </c>
      <c r="AC104" s="257">
        <v>0</v>
      </c>
      <c r="AD104" s="255">
        <v>0</v>
      </c>
      <c r="AE104" s="256">
        <v>0</v>
      </c>
      <c r="AF104" s="257">
        <v>0</v>
      </c>
      <c r="AG104" s="255">
        <v>0</v>
      </c>
      <c r="AH104" s="256">
        <v>0</v>
      </c>
      <c r="AI104" s="257">
        <v>0</v>
      </c>
      <c r="AJ104" s="255">
        <v>0</v>
      </c>
      <c r="AK104" s="256">
        <v>0</v>
      </c>
      <c r="AL104" s="257">
        <v>0</v>
      </c>
      <c r="AM104" s="255">
        <v>0</v>
      </c>
      <c r="AN104" s="256">
        <v>0</v>
      </c>
      <c r="AO104" s="257">
        <v>0</v>
      </c>
      <c r="AP104" s="255">
        <v>0</v>
      </c>
      <c r="AQ104" s="256">
        <v>0</v>
      </c>
      <c r="AR104" s="257">
        <v>0</v>
      </c>
      <c r="AS104" s="255">
        <v>0</v>
      </c>
      <c r="AT104" s="256">
        <v>0</v>
      </c>
      <c r="AU104" s="257">
        <v>0</v>
      </c>
      <c r="AV104" s="255">
        <v>0</v>
      </c>
      <c r="AW104" s="256">
        <v>0</v>
      </c>
      <c r="AX104" s="257">
        <v>0</v>
      </c>
      <c r="AY104" s="243">
        <v>0</v>
      </c>
      <c r="AZ104" s="244">
        <v>0</v>
      </c>
      <c r="BA104" s="244">
        <v>0</v>
      </c>
      <c r="BB104" s="244">
        <v>0</v>
      </c>
      <c r="BC104" s="244">
        <v>0</v>
      </c>
      <c r="BD104" s="244">
        <v>0</v>
      </c>
      <c r="BE104" s="244">
        <v>0</v>
      </c>
      <c r="BF104" s="244">
        <v>0</v>
      </c>
      <c r="BG104" s="244">
        <v>0</v>
      </c>
      <c r="BH104" s="245">
        <v>0</v>
      </c>
      <c r="BK104">
        <v>46</v>
      </c>
      <c r="BL104" s="281">
        <v>0.77386934673366758</v>
      </c>
      <c r="BM104" s="281">
        <v>13808.924623115565</v>
      </c>
      <c r="BN104" s="282">
        <v>8749.0402010050329</v>
      </c>
      <c r="BO104" s="282">
        <v>169.20603015075417</v>
      </c>
      <c r="BP104" s="282">
        <v>0</v>
      </c>
      <c r="BQ104" s="283">
        <v>0</v>
      </c>
      <c r="BR104" s="284"/>
      <c r="BS104" s="147"/>
      <c r="BT104" s="285">
        <v>1</v>
      </c>
      <c r="BU104" s="288">
        <v>3.4430039393564885E-2</v>
      </c>
      <c r="BV104" s="287">
        <v>0</v>
      </c>
      <c r="BW104" s="288">
        <v>0</v>
      </c>
      <c r="BX104" s="286">
        <v>100</v>
      </c>
      <c r="BY104" s="287">
        <v>0</v>
      </c>
      <c r="BZ104" s="288">
        <v>0</v>
      </c>
      <c r="CA104" s="286">
        <v>0.77619557610890888</v>
      </c>
      <c r="CB104" s="286">
        <v>0</v>
      </c>
      <c r="CC104" s="287">
        <v>1.2215753003121848</v>
      </c>
      <c r="CD104" s="286">
        <v>0</v>
      </c>
      <c r="CE104" s="286">
        <v>15.748757686028908</v>
      </c>
      <c r="CF104" s="286">
        <v>0</v>
      </c>
      <c r="CG104" s="287">
        <v>22.429913704765422</v>
      </c>
      <c r="CH104" s="288">
        <v>0</v>
      </c>
      <c r="CI104" s="286">
        <v>1.7621032141922344</v>
      </c>
      <c r="CJ104" s="286">
        <v>0</v>
      </c>
      <c r="CK104" s="287"/>
      <c r="CL104" s="288"/>
      <c r="CM104" s="286"/>
      <c r="CN104" s="287"/>
      <c r="CO104" s="289"/>
      <c r="CP104" s="290"/>
      <c r="CQ104" s="289"/>
      <c r="CR104" s="290"/>
      <c r="CS104" s="284"/>
      <c r="CT104" s="147"/>
      <c r="CU104" s="291"/>
      <c r="CV104" s="292"/>
    </row>
    <row r="105" spans="2:100">
      <c r="B105">
        <v>47</v>
      </c>
      <c r="C105" s="243">
        <v>1</v>
      </c>
      <c r="D105" s="592">
        <v>0</v>
      </c>
      <c r="E105" s="245">
        <v>0</v>
      </c>
      <c r="F105" s="243">
        <v>0</v>
      </c>
      <c r="G105" s="245">
        <v>0</v>
      </c>
      <c r="H105" s="243">
        <v>0</v>
      </c>
      <c r="I105" s="245">
        <v>0</v>
      </c>
      <c r="J105" s="242">
        <v>0</v>
      </c>
      <c r="K105" s="242">
        <v>19.001678180813236</v>
      </c>
      <c r="L105" s="242">
        <v>5.0251256281407036E-3</v>
      </c>
      <c r="M105" s="243">
        <v>117.42079796176546</v>
      </c>
      <c r="N105" s="592">
        <v>33.43776572931025</v>
      </c>
      <c r="O105" s="245">
        <v>0.56695818521293562</v>
      </c>
      <c r="P105" s="245">
        <v>1.1960909383516747</v>
      </c>
      <c r="Q105" s="254">
        <v>0</v>
      </c>
      <c r="R105" s="255">
        <v>0</v>
      </c>
      <c r="S105" s="256">
        <v>0</v>
      </c>
      <c r="T105" s="257">
        <v>0</v>
      </c>
      <c r="U105" s="255">
        <v>0</v>
      </c>
      <c r="V105" s="256">
        <v>0</v>
      </c>
      <c r="W105" s="257">
        <v>0</v>
      </c>
      <c r="X105" s="255">
        <v>0</v>
      </c>
      <c r="Y105" s="256">
        <v>0</v>
      </c>
      <c r="Z105" s="257">
        <v>0</v>
      </c>
      <c r="AA105" s="255">
        <v>0</v>
      </c>
      <c r="AB105" s="256">
        <v>0</v>
      </c>
      <c r="AC105" s="257">
        <v>0</v>
      </c>
      <c r="AD105" s="255">
        <v>0</v>
      </c>
      <c r="AE105" s="256">
        <v>0</v>
      </c>
      <c r="AF105" s="257">
        <v>0</v>
      </c>
      <c r="AG105" s="255">
        <v>0</v>
      </c>
      <c r="AH105" s="256">
        <v>0</v>
      </c>
      <c r="AI105" s="257">
        <v>0</v>
      </c>
      <c r="AJ105" s="255">
        <v>0</v>
      </c>
      <c r="AK105" s="256">
        <v>0</v>
      </c>
      <c r="AL105" s="257">
        <v>0</v>
      </c>
      <c r="AM105" s="255">
        <v>0</v>
      </c>
      <c r="AN105" s="256">
        <v>0</v>
      </c>
      <c r="AO105" s="257">
        <v>0</v>
      </c>
      <c r="AP105" s="255">
        <v>0</v>
      </c>
      <c r="AQ105" s="256">
        <v>0</v>
      </c>
      <c r="AR105" s="257">
        <v>0</v>
      </c>
      <c r="AS105" s="255">
        <v>0</v>
      </c>
      <c r="AT105" s="256">
        <v>0</v>
      </c>
      <c r="AU105" s="257">
        <v>0</v>
      </c>
      <c r="AV105" s="255">
        <v>0</v>
      </c>
      <c r="AW105" s="256">
        <v>0</v>
      </c>
      <c r="AX105" s="257">
        <v>0</v>
      </c>
      <c r="AY105" s="243">
        <v>0</v>
      </c>
      <c r="AZ105" s="244">
        <v>0</v>
      </c>
      <c r="BA105" s="244">
        <v>0</v>
      </c>
      <c r="BB105" s="244">
        <v>0</v>
      </c>
      <c r="BC105" s="244">
        <v>0</v>
      </c>
      <c r="BD105" s="244">
        <v>0</v>
      </c>
      <c r="BE105" s="244">
        <v>0</v>
      </c>
      <c r="BF105" s="244">
        <v>0</v>
      </c>
      <c r="BG105" s="244">
        <v>0</v>
      </c>
      <c r="BH105" s="245">
        <v>0</v>
      </c>
      <c r="BK105">
        <v>47</v>
      </c>
      <c r="BL105" s="281">
        <v>0.76884422110552697</v>
      </c>
      <c r="BM105" s="281">
        <v>13719.256281407022</v>
      </c>
      <c r="BN105" s="282">
        <v>8716.6633165829226</v>
      </c>
      <c r="BO105" s="282">
        <v>168.8994974874376</v>
      </c>
      <c r="BP105" s="282">
        <v>0</v>
      </c>
      <c r="BQ105" s="283">
        <v>0</v>
      </c>
      <c r="BR105" s="284"/>
      <c r="BS105" s="147"/>
      <c r="BT105" s="285">
        <v>1</v>
      </c>
      <c r="BU105" s="288">
        <v>3.4430039393564885E-2</v>
      </c>
      <c r="BV105" s="287">
        <v>0</v>
      </c>
      <c r="BW105" s="288">
        <v>0</v>
      </c>
      <c r="BX105" s="286">
        <v>100</v>
      </c>
      <c r="BY105" s="287">
        <v>0</v>
      </c>
      <c r="BZ105" s="288">
        <v>0</v>
      </c>
      <c r="CA105" s="286">
        <v>0.77610719728646904</v>
      </c>
      <c r="CB105" s="286">
        <v>0</v>
      </c>
      <c r="CC105" s="287">
        <v>1.2215391730305842</v>
      </c>
      <c r="CD105" s="286">
        <v>0</v>
      </c>
      <c r="CE105" s="286">
        <v>15.748529387732855</v>
      </c>
      <c r="CF105" s="286">
        <v>0</v>
      </c>
      <c r="CG105" s="287">
        <v>22.431132601586928</v>
      </c>
      <c r="CH105" s="288">
        <v>0</v>
      </c>
      <c r="CI105" s="286">
        <v>1.7631482566200583</v>
      </c>
      <c r="CJ105" s="286">
        <v>0</v>
      </c>
      <c r="CK105" s="287"/>
      <c r="CL105" s="288"/>
      <c r="CM105" s="286"/>
      <c r="CN105" s="287"/>
      <c r="CO105" s="289"/>
      <c r="CP105" s="290"/>
      <c r="CQ105" s="289"/>
      <c r="CR105" s="290"/>
      <c r="CS105" s="284"/>
      <c r="CT105" s="147"/>
      <c r="CU105" s="291"/>
      <c r="CV105" s="292"/>
    </row>
    <row r="106" spans="2:100">
      <c r="B106">
        <v>48</v>
      </c>
      <c r="C106" s="243">
        <v>1.0000000000000002</v>
      </c>
      <c r="D106" s="592">
        <v>0</v>
      </c>
      <c r="E106" s="245">
        <v>0</v>
      </c>
      <c r="F106" s="243">
        <v>0</v>
      </c>
      <c r="G106" s="245">
        <v>0</v>
      </c>
      <c r="H106" s="243">
        <v>0</v>
      </c>
      <c r="I106" s="245">
        <v>0</v>
      </c>
      <c r="J106" s="242">
        <v>0</v>
      </c>
      <c r="K106" s="242">
        <v>19.003846861168078</v>
      </c>
      <c r="L106" s="242">
        <v>5.0251256281407036E-3</v>
      </c>
      <c r="M106" s="243">
        <v>117.39077566265252</v>
      </c>
      <c r="N106" s="592">
        <v>33.397585613133145</v>
      </c>
      <c r="O106" s="245">
        <v>0.56698203258151303</v>
      </c>
      <c r="P106" s="245">
        <v>1.1962274493953797</v>
      </c>
      <c r="Q106" s="254">
        <v>0</v>
      </c>
      <c r="R106" s="255">
        <v>0</v>
      </c>
      <c r="S106" s="256">
        <v>0</v>
      </c>
      <c r="T106" s="257">
        <v>0</v>
      </c>
      <c r="U106" s="255">
        <v>0</v>
      </c>
      <c r="V106" s="256">
        <v>0</v>
      </c>
      <c r="W106" s="257">
        <v>0</v>
      </c>
      <c r="X106" s="255">
        <v>0</v>
      </c>
      <c r="Y106" s="256">
        <v>0</v>
      </c>
      <c r="Z106" s="257">
        <v>0</v>
      </c>
      <c r="AA106" s="255">
        <v>0</v>
      </c>
      <c r="AB106" s="256">
        <v>0</v>
      </c>
      <c r="AC106" s="257">
        <v>0</v>
      </c>
      <c r="AD106" s="255">
        <v>0</v>
      </c>
      <c r="AE106" s="256">
        <v>0</v>
      </c>
      <c r="AF106" s="257">
        <v>0</v>
      </c>
      <c r="AG106" s="255">
        <v>0</v>
      </c>
      <c r="AH106" s="256">
        <v>0</v>
      </c>
      <c r="AI106" s="257">
        <v>0</v>
      </c>
      <c r="AJ106" s="255">
        <v>0</v>
      </c>
      <c r="AK106" s="256">
        <v>0</v>
      </c>
      <c r="AL106" s="257">
        <v>0</v>
      </c>
      <c r="AM106" s="255">
        <v>0</v>
      </c>
      <c r="AN106" s="256">
        <v>0</v>
      </c>
      <c r="AO106" s="257">
        <v>0</v>
      </c>
      <c r="AP106" s="255">
        <v>0</v>
      </c>
      <c r="AQ106" s="256">
        <v>0</v>
      </c>
      <c r="AR106" s="257">
        <v>0</v>
      </c>
      <c r="AS106" s="255">
        <v>0</v>
      </c>
      <c r="AT106" s="256">
        <v>0</v>
      </c>
      <c r="AU106" s="257">
        <v>0</v>
      </c>
      <c r="AV106" s="255">
        <v>0</v>
      </c>
      <c r="AW106" s="256">
        <v>0</v>
      </c>
      <c r="AX106" s="257">
        <v>0</v>
      </c>
      <c r="AY106" s="243">
        <v>0</v>
      </c>
      <c r="AZ106" s="244">
        <v>0</v>
      </c>
      <c r="BA106" s="244">
        <v>0</v>
      </c>
      <c r="BB106" s="244">
        <v>0</v>
      </c>
      <c r="BC106" s="244">
        <v>0</v>
      </c>
      <c r="BD106" s="244">
        <v>0</v>
      </c>
      <c r="BE106" s="244">
        <v>0</v>
      </c>
      <c r="BF106" s="244">
        <v>0</v>
      </c>
      <c r="BG106" s="244">
        <v>0</v>
      </c>
      <c r="BH106" s="245">
        <v>0</v>
      </c>
      <c r="BK106">
        <v>48</v>
      </c>
      <c r="BL106" s="281">
        <v>0.76381909547738625</v>
      </c>
      <c r="BM106" s="281">
        <v>13629.58793969848</v>
      </c>
      <c r="BN106" s="282">
        <v>8684.2864321608122</v>
      </c>
      <c r="BO106" s="282">
        <v>168.59296482412103</v>
      </c>
      <c r="BP106" s="282">
        <v>0</v>
      </c>
      <c r="BQ106" s="283">
        <v>0</v>
      </c>
      <c r="BR106" s="284"/>
      <c r="BS106" s="147"/>
      <c r="BT106" s="285">
        <v>1</v>
      </c>
      <c r="BU106" s="288">
        <v>3.4430039393564885E-2</v>
      </c>
      <c r="BV106" s="287">
        <v>0</v>
      </c>
      <c r="BW106" s="288">
        <v>0</v>
      </c>
      <c r="BX106" s="286">
        <v>100</v>
      </c>
      <c r="BY106" s="287">
        <v>0</v>
      </c>
      <c r="BZ106" s="288">
        <v>0</v>
      </c>
      <c r="CA106" s="286">
        <v>0.77601862951151779</v>
      </c>
      <c r="CB106" s="286">
        <v>0</v>
      </c>
      <c r="CC106" s="287">
        <v>1.2215030368007398</v>
      </c>
      <c r="CD106" s="286">
        <v>0</v>
      </c>
      <c r="CE106" s="286">
        <v>15.748297767451092</v>
      </c>
      <c r="CF106" s="286">
        <v>0</v>
      </c>
      <c r="CG106" s="287">
        <v>22.432351584387138</v>
      </c>
      <c r="CH106" s="288">
        <v>0</v>
      </c>
      <c r="CI106" s="286">
        <v>1.7642072583195016</v>
      </c>
      <c r="CJ106" s="286">
        <v>0</v>
      </c>
      <c r="CK106" s="287"/>
      <c r="CL106" s="288"/>
      <c r="CM106" s="286"/>
      <c r="CN106" s="287"/>
      <c r="CO106" s="289"/>
      <c r="CP106" s="290"/>
      <c r="CQ106" s="289"/>
      <c r="CR106" s="290"/>
      <c r="CS106" s="284"/>
      <c r="CT106" s="147"/>
      <c r="CU106" s="291"/>
      <c r="CV106" s="292"/>
    </row>
    <row r="107" spans="2:100">
      <c r="B107">
        <v>49</v>
      </c>
      <c r="C107" s="243">
        <v>1</v>
      </c>
      <c r="D107" s="592">
        <v>0</v>
      </c>
      <c r="E107" s="245">
        <v>0</v>
      </c>
      <c r="F107" s="243">
        <v>0</v>
      </c>
      <c r="G107" s="245">
        <v>0</v>
      </c>
      <c r="H107" s="243">
        <v>0</v>
      </c>
      <c r="I107" s="245">
        <v>0</v>
      </c>
      <c r="J107" s="242">
        <v>0</v>
      </c>
      <c r="K107" s="242">
        <v>19.006020685333606</v>
      </c>
      <c r="L107" s="242">
        <v>5.0251256281407036E-3</v>
      </c>
      <c r="M107" s="243">
        <v>117.36094403613977</v>
      </c>
      <c r="N107" s="592">
        <v>33.357185458250036</v>
      </c>
      <c r="O107" s="245">
        <v>0.56700670272242371</v>
      </c>
      <c r="P107" s="245">
        <v>1.1963642842244517</v>
      </c>
      <c r="Q107" s="254">
        <v>0</v>
      </c>
      <c r="R107" s="255">
        <v>0</v>
      </c>
      <c r="S107" s="256">
        <v>0</v>
      </c>
      <c r="T107" s="257">
        <v>0</v>
      </c>
      <c r="U107" s="255">
        <v>0</v>
      </c>
      <c r="V107" s="256">
        <v>0</v>
      </c>
      <c r="W107" s="257">
        <v>0</v>
      </c>
      <c r="X107" s="255">
        <v>0</v>
      </c>
      <c r="Y107" s="256">
        <v>0</v>
      </c>
      <c r="Z107" s="257">
        <v>0</v>
      </c>
      <c r="AA107" s="255">
        <v>0</v>
      </c>
      <c r="AB107" s="256">
        <v>0</v>
      </c>
      <c r="AC107" s="257">
        <v>0</v>
      </c>
      <c r="AD107" s="255">
        <v>0</v>
      </c>
      <c r="AE107" s="256">
        <v>0</v>
      </c>
      <c r="AF107" s="257">
        <v>0</v>
      </c>
      <c r="AG107" s="255">
        <v>0</v>
      </c>
      <c r="AH107" s="256">
        <v>0</v>
      </c>
      <c r="AI107" s="257">
        <v>0</v>
      </c>
      <c r="AJ107" s="255">
        <v>0</v>
      </c>
      <c r="AK107" s="256">
        <v>0</v>
      </c>
      <c r="AL107" s="257">
        <v>0</v>
      </c>
      <c r="AM107" s="255">
        <v>0</v>
      </c>
      <c r="AN107" s="256">
        <v>0</v>
      </c>
      <c r="AO107" s="257">
        <v>0</v>
      </c>
      <c r="AP107" s="255">
        <v>0</v>
      </c>
      <c r="AQ107" s="256">
        <v>0</v>
      </c>
      <c r="AR107" s="257">
        <v>0</v>
      </c>
      <c r="AS107" s="255">
        <v>0</v>
      </c>
      <c r="AT107" s="256">
        <v>0</v>
      </c>
      <c r="AU107" s="257">
        <v>0</v>
      </c>
      <c r="AV107" s="255">
        <v>0</v>
      </c>
      <c r="AW107" s="256">
        <v>0</v>
      </c>
      <c r="AX107" s="257">
        <v>0</v>
      </c>
      <c r="AY107" s="243">
        <v>0</v>
      </c>
      <c r="AZ107" s="244">
        <v>0</v>
      </c>
      <c r="BA107" s="244">
        <v>0</v>
      </c>
      <c r="BB107" s="244">
        <v>0</v>
      </c>
      <c r="BC107" s="244">
        <v>0</v>
      </c>
      <c r="BD107" s="244">
        <v>0</v>
      </c>
      <c r="BE107" s="244">
        <v>0</v>
      </c>
      <c r="BF107" s="244">
        <v>0</v>
      </c>
      <c r="BG107" s="244">
        <v>0</v>
      </c>
      <c r="BH107" s="245">
        <v>0</v>
      </c>
      <c r="BK107">
        <v>49</v>
      </c>
      <c r="BL107" s="281">
        <v>0.75879396984924552</v>
      </c>
      <c r="BM107" s="281">
        <v>13539.919597989938</v>
      </c>
      <c r="BN107" s="282">
        <v>8651.9095477387018</v>
      </c>
      <c r="BO107" s="282">
        <v>168.28643216080445</v>
      </c>
      <c r="BP107" s="282">
        <v>0</v>
      </c>
      <c r="BQ107" s="283">
        <v>0</v>
      </c>
      <c r="BR107" s="284"/>
      <c r="BS107" s="147"/>
      <c r="BT107" s="285">
        <v>1</v>
      </c>
      <c r="BU107" s="288">
        <v>3.4430039393564885E-2</v>
      </c>
      <c r="BV107" s="287">
        <v>0</v>
      </c>
      <c r="BW107" s="288">
        <v>0</v>
      </c>
      <c r="BX107" s="286">
        <v>100</v>
      </c>
      <c r="BY107" s="287">
        <v>0</v>
      </c>
      <c r="BZ107" s="288">
        <v>0</v>
      </c>
      <c r="CA107" s="286">
        <v>0.77592987195002405</v>
      </c>
      <c r="CB107" s="286">
        <v>0</v>
      </c>
      <c r="CC107" s="287">
        <v>1.2214668915994966</v>
      </c>
      <c r="CD107" s="286">
        <v>0</v>
      </c>
      <c r="CE107" s="286">
        <v>15.748062809922102</v>
      </c>
      <c r="CF107" s="286">
        <v>0</v>
      </c>
      <c r="CG107" s="287">
        <v>22.433570653021018</v>
      </c>
      <c r="CH107" s="288">
        <v>0</v>
      </c>
      <c r="CI107" s="286">
        <v>1.7652802206607223</v>
      </c>
      <c r="CJ107" s="286">
        <v>0</v>
      </c>
      <c r="CK107" s="287"/>
      <c r="CL107" s="288"/>
      <c r="CM107" s="286"/>
      <c r="CN107" s="287"/>
      <c r="CO107" s="289"/>
      <c r="CP107" s="290"/>
      <c r="CQ107" s="289"/>
      <c r="CR107" s="290"/>
      <c r="CS107" s="284"/>
      <c r="CT107" s="147"/>
      <c r="CU107" s="291"/>
      <c r="CV107" s="292"/>
    </row>
    <row r="108" spans="2:100">
      <c r="B108">
        <v>50</v>
      </c>
      <c r="C108" s="243">
        <v>1</v>
      </c>
      <c r="D108" s="592">
        <v>0</v>
      </c>
      <c r="E108" s="245">
        <v>0</v>
      </c>
      <c r="F108" s="243">
        <v>0</v>
      </c>
      <c r="G108" s="245">
        <v>0</v>
      </c>
      <c r="H108" s="243">
        <v>0</v>
      </c>
      <c r="I108" s="245">
        <v>0</v>
      </c>
      <c r="J108" s="242">
        <v>0</v>
      </c>
      <c r="K108" s="242">
        <v>19.008199677233169</v>
      </c>
      <c r="L108" s="242">
        <v>5.0251256281407036E-3</v>
      </c>
      <c r="M108" s="243">
        <v>117.33130397964432</v>
      </c>
      <c r="N108" s="592">
        <v>33.316566566945433</v>
      </c>
      <c r="O108" s="245">
        <v>0.56703218767334485</v>
      </c>
      <c r="P108" s="245">
        <v>1.196501444344785</v>
      </c>
      <c r="Q108" s="254">
        <v>0</v>
      </c>
      <c r="R108" s="255">
        <v>0</v>
      </c>
      <c r="S108" s="256">
        <v>0</v>
      </c>
      <c r="T108" s="257">
        <v>0</v>
      </c>
      <c r="U108" s="255">
        <v>0</v>
      </c>
      <c r="V108" s="256">
        <v>0</v>
      </c>
      <c r="W108" s="257">
        <v>0</v>
      </c>
      <c r="X108" s="255">
        <v>0</v>
      </c>
      <c r="Y108" s="256">
        <v>0</v>
      </c>
      <c r="Z108" s="257">
        <v>0</v>
      </c>
      <c r="AA108" s="255">
        <v>0</v>
      </c>
      <c r="AB108" s="256">
        <v>0</v>
      </c>
      <c r="AC108" s="257">
        <v>0</v>
      </c>
      <c r="AD108" s="255">
        <v>0</v>
      </c>
      <c r="AE108" s="256">
        <v>0</v>
      </c>
      <c r="AF108" s="257">
        <v>0</v>
      </c>
      <c r="AG108" s="255">
        <v>0</v>
      </c>
      <c r="AH108" s="256">
        <v>0</v>
      </c>
      <c r="AI108" s="257">
        <v>0</v>
      </c>
      <c r="AJ108" s="255">
        <v>0</v>
      </c>
      <c r="AK108" s="256">
        <v>0</v>
      </c>
      <c r="AL108" s="257">
        <v>0</v>
      </c>
      <c r="AM108" s="255">
        <v>0</v>
      </c>
      <c r="AN108" s="256">
        <v>0</v>
      </c>
      <c r="AO108" s="257">
        <v>0</v>
      </c>
      <c r="AP108" s="255">
        <v>0</v>
      </c>
      <c r="AQ108" s="256">
        <v>0</v>
      </c>
      <c r="AR108" s="257">
        <v>0</v>
      </c>
      <c r="AS108" s="255">
        <v>0</v>
      </c>
      <c r="AT108" s="256">
        <v>0</v>
      </c>
      <c r="AU108" s="257">
        <v>0</v>
      </c>
      <c r="AV108" s="255">
        <v>0</v>
      </c>
      <c r="AW108" s="256">
        <v>0</v>
      </c>
      <c r="AX108" s="257">
        <v>0</v>
      </c>
      <c r="AY108" s="243">
        <v>0</v>
      </c>
      <c r="AZ108" s="244">
        <v>0</v>
      </c>
      <c r="BA108" s="244">
        <v>0</v>
      </c>
      <c r="BB108" s="244">
        <v>0</v>
      </c>
      <c r="BC108" s="244">
        <v>0</v>
      </c>
      <c r="BD108" s="244">
        <v>0</v>
      </c>
      <c r="BE108" s="244">
        <v>0</v>
      </c>
      <c r="BF108" s="244">
        <v>0</v>
      </c>
      <c r="BG108" s="244">
        <v>0</v>
      </c>
      <c r="BH108" s="245">
        <v>0</v>
      </c>
      <c r="BK108">
        <v>50</v>
      </c>
      <c r="BL108" s="281">
        <v>0.75376884422110491</v>
      </c>
      <c r="BM108" s="281">
        <v>13450.251256281395</v>
      </c>
      <c r="BN108" s="282">
        <v>8619.5326633165914</v>
      </c>
      <c r="BO108" s="282">
        <v>167.97989949748788</v>
      </c>
      <c r="BP108" s="282">
        <v>0</v>
      </c>
      <c r="BQ108" s="283">
        <v>0</v>
      </c>
      <c r="BR108" s="284"/>
      <c r="BS108" s="147"/>
      <c r="BT108" s="285">
        <v>1</v>
      </c>
      <c r="BU108" s="288">
        <v>3.4430039393564885E-2</v>
      </c>
      <c r="BV108" s="287">
        <v>0</v>
      </c>
      <c r="BW108" s="288">
        <v>0</v>
      </c>
      <c r="BX108" s="286">
        <v>100</v>
      </c>
      <c r="BY108" s="287">
        <v>0</v>
      </c>
      <c r="BZ108" s="288">
        <v>0</v>
      </c>
      <c r="CA108" s="286">
        <v>0.77584092376269853</v>
      </c>
      <c r="CB108" s="286">
        <v>0</v>
      </c>
      <c r="CC108" s="287">
        <v>1.2214307374036313</v>
      </c>
      <c r="CD108" s="286">
        <v>0</v>
      </c>
      <c r="CE108" s="286">
        <v>15.747824499787372</v>
      </c>
      <c r="CF108" s="286">
        <v>0</v>
      </c>
      <c r="CG108" s="287">
        <v>22.434789807342707</v>
      </c>
      <c r="CH108" s="288">
        <v>0</v>
      </c>
      <c r="CI108" s="286">
        <v>1.7663671453675853</v>
      </c>
      <c r="CJ108" s="286">
        <v>0</v>
      </c>
      <c r="CK108" s="287"/>
      <c r="CL108" s="288"/>
      <c r="CM108" s="286"/>
      <c r="CN108" s="287"/>
      <c r="CO108" s="289"/>
      <c r="CP108" s="290"/>
      <c r="CQ108" s="289"/>
      <c r="CR108" s="290"/>
      <c r="CS108" s="284"/>
      <c r="CT108" s="147"/>
      <c r="CU108" s="291"/>
      <c r="CV108" s="292"/>
    </row>
    <row r="109" spans="2:100">
      <c r="B109">
        <v>51</v>
      </c>
      <c r="C109" s="243">
        <v>1</v>
      </c>
      <c r="D109" s="592">
        <v>0</v>
      </c>
      <c r="E109" s="245">
        <v>0</v>
      </c>
      <c r="F109" s="243">
        <v>0</v>
      </c>
      <c r="G109" s="245">
        <v>0</v>
      </c>
      <c r="H109" s="243">
        <v>0</v>
      </c>
      <c r="I109" s="245">
        <v>0</v>
      </c>
      <c r="J109" s="242">
        <v>0</v>
      </c>
      <c r="K109" s="242">
        <v>19.010383860948064</v>
      </c>
      <c r="L109" s="242">
        <v>5.0251256281407036E-3</v>
      </c>
      <c r="M109" s="243">
        <v>117.30185639670371</v>
      </c>
      <c r="N109" s="592">
        <v>33.275730242064213</v>
      </c>
      <c r="O109" s="245">
        <v>0.56705847941790632</v>
      </c>
      <c r="P109" s="245">
        <v>1.1966389312722143</v>
      </c>
      <c r="Q109" s="254">
        <v>0</v>
      </c>
      <c r="R109" s="255">
        <v>0</v>
      </c>
      <c r="S109" s="256">
        <v>0</v>
      </c>
      <c r="T109" s="257">
        <v>0</v>
      </c>
      <c r="U109" s="255">
        <v>0</v>
      </c>
      <c r="V109" s="256">
        <v>0</v>
      </c>
      <c r="W109" s="257">
        <v>0</v>
      </c>
      <c r="X109" s="255">
        <v>0</v>
      </c>
      <c r="Y109" s="256">
        <v>0</v>
      </c>
      <c r="Z109" s="257">
        <v>0</v>
      </c>
      <c r="AA109" s="255">
        <v>0</v>
      </c>
      <c r="AB109" s="256">
        <v>0</v>
      </c>
      <c r="AC109" s="257">
        <v>0</v>
      </c>
      <c r="AD109" s="255">
        <v>0</v>
      </c>
      <c r="AE109" s="256">
        <v>0</v>
      </c>
      <c r="AF109" s="257">
        <v>0</v>
      </c>
      <c r="AG109" s="255">
        <v>0</v>
      </c>
      <c r="AH109" s="256">
        <v>0</v>
      </c>
      <c r="AI109" s="257">
        <v>0</v>
      </c>
      <c r="AJ109" s="255">
        <v>0</v>
      </c>
      <c r="AK109" s="256">
        <v>0</v>
      </c>
      <c r="AL109" s="257">
        <v>0</v>
      </c>
      <c r="AM109" s="255">
        <v>0</v>
      </c>
      <c r="AN109" s="256">
        <v>0</v>
      </c>
      <c r="AO109" s="257">
        <v>0</v>
      </c>
      <c r="AP109" s="255">
        <v>0</v>
      </c>
      <c r="AQ109" s="256">
        <v>0</v>
      </c>
      <c r="AR109" s="257">
        <v>0</v>
      </c>
      <c r="AS109" s="255">
        <v>0</v>
      </c>
      <c r="AT109" s="256">
        <v>0</v>
      </c>
      <c r="AU109" s="257">
        <v>0</v>
      </c>
      <c r="AV109" s="255">
        <v>0</v>
      </c>
      <c r="AW109" s="256">
        <v>0</v>
      </c>
      <c r="AX109" s="257">
        <v>0</v>
      </c>
      <c r="AY109" s="243">
        <v>0</v>
      </c>
      <c r="AZ109" s="244">
        <v>0</v>
      </c>
      <c r="BA109" s="244">
        <v>0</v>
      </c>
      <c r="BB109" s="244">
        <v>0</v>
      </c>
      <c r="BC109" s="244">
        <v>0</v>
      </c>
      <c r="BD109" s="244">
        <v>0</v>
      </c>
      <c r="BE109" s="244">
        <v>0</v>
      </c>
      <c r="BF109" s="244">
        <v>0</v>
      </c>
      <c r="BG109" s="244">
        <v>0</v>
      </c>
      <c r="BH109" s="245">
        <v>0</v>
      </c>
      <c r="BK109">
        <v>51</v>
      </c>
      <c r="BL109" s="281">
        <v>0.74874371859296418</v>
      </c>
      <c r="BM109" s="281">
        <v>13360.582914572853</v>
      </c>
      <c r="BN109" s="282">
        <v>8587.155778894481</v>
      </c>
      <c r="BO109" s="282">
        <v>167.6733668341713</v>
      </c>
      <c r="BP109" s="282">
        <v>0</v>
      </c>
      <c r="BQ109" s="283">
        <v>0</v>
      </c>
      <c r="BR109" s="284"/>
      <c r="BS109" s="147"/>
      <c r="BT109" s="285">
        <v>1</v>
      </c>
      <c r="BU109" s="288">
        <v>3.4430039393564885E-2</v>
      </c>
      <c r="BV109" s="287">
        <v>0</v>
      </c>
      <c r="BW109" s="288">
        <v>0</v>
      </c>
      <c r="BX109" s="286">
        <v>100</v>
      </c>
      <c r="BY109" s="287">
        <v>0</v>
      </c>
      <c r="BZ109" s="288">
        <v>0</v>
      </c>
      <c r="CA109" s="286">
        <v>0.77575178410495005</v>
      </c>
      <c r="CB109" s="286">
        <v>0</v>
      </c>
      <c r="CC109" s="287">
        <v>1.2213945741898495</v>
      </c>
      <c r="CD109" s="286">
        <v>0</v>
      </c>
      <c r="CE109" s="286">
        <v>15.747582821590523</v>
      </c>
      <c r="CF109" s="286">
        <v>0</v>
      </c>
      <c r="CG109" s="287">
        <v>22.436009047205506</v>
      </c>
      <c r="CH109" s="288">
        <v>0</v>
      </c>
      <c r="CI109" s="286">
        <v>1.7674680345158702</v>
      </c>
      <c r="CJ109" s="286">
        <v>0</v>
      </c>
      <c r="CK109" s="287"/>
      <c r="CL109" s="288"/>
      <c r="CM109" s="286"/>
      <c r="CN109" s="287"/>
      <c r="CO109" s="289"/>
      <c r="CP109" s="290"/>
      <c r="CQ109" s="289"/>
      <c r="CR109" s="290"/>
      <c r="CS109" s="284"/>
      <c r="CT109" s="147"/>
      <c r="CU109" s="291"/>
      <c r="CV109" s="292"/>
    </row>
    <row r="110" spans="2:100">
      <c r="B110">
        <v>52</v>
      </c>
      <c r="C110" s="243">
        <v>0.99999999999999989</v>
      </c>
      <c r="D110" s="592">
        <v>0</v>
      </c>
      <c r="E110" s="245">
        <v>0</v>
      </c>
      <c r="F110" s="243">
        <v>0</v>
      </c>
      <c r="G110" s="245">
        <v>0</v>
      </c>
      <c r="H110" s="243">
        <v>0</v>
      </c>
      <c r="I110" s="245">
        <v>0</v>
      </c>
      <c r="J110" s="242">
        <v>0</v>
      </c>
      <c r="K110" s="242">
        <v>19.012573260718916</v>
      </c>
      <c r="L110" s="242">
        <v>5.0251256281407036E-3</v>
      </c>
      <c r="M110" s="243">
        <v>117.27260219703062</v>
      </c>
      <c r="N110" s="592">
        <v>33.23467778698015</v>
      </c>
      <c r="O110" s="245">
        <v>0.56708556988568026</v>
      </c>
      <c r="P110" s="245">
        <v>1.1967767465326047</v>
      </c>
      <c r="Q110" s="254">
        <v>0</v>
      </c>
      <c r="R110" s="255">
        <v>0</v>
      </c>
      <c r="S110" s="256">
        <v>0</v>
      </c>
      <c r="T110" s="257">
        <v>0</v>
      </c>
      <c r="U110" s="255">
        <v>0</v>
      </c>
      <c r="V110" s="256">
        <v>0</v>
      </c>
      <c r="W110" s="257">
        <v>0</v>
      </c>
      <c r="X110" s="255">
        <v>0</v>
      </c>
      <c r="Y110" s="256">
        <v>0</v>
      </c>
      <c r="Z110" s="257">
        <v>0</v>
      </c>
      <c r="AA110" s="255">
        <v>0</v>
      </c>
      <c r="AB110" s="256">
        <v>0</v>
      </c>
      <c r="AC110" s="257">
        <v>0</v>
      </c>
      <c r="AD110" s="255">
        <v>0</v>
      </c>
      <c r="AE110" s="256">
        <v>0</v>
      </c>
      <c r="AF110" s="257">
        <v>0</v>
      </c>
      <c r="AG110" s="255">
        <v>0</v>
      </c>
      <c r="AH110" s="256">
        <v>0</v>
      </c>
      <c r="AI110" s="257">
        <v>0</v>
      </c>
      <c r="AJ110" s="255">
        <v>0</v>
      </c>
      <c r="AK110" s="256">
        <v>0</v>
      </c>
      <c r="AL110" s="257">
        <v>0</v>
      </c>
      <c r="AM110" s="255">
        <v>0</v>
      </c>
      <c r="AN110" s="256">
        <v>0</v>
      </c>
      <c r="AO110" s="257">
        <v>0</v>
      </c>
      <c r="AP110" s="255">
        <v>0</v>
      </c>
      <c r="AQ110" s="256">
        <v>0</v>
      </c>
      <c r="AR110" s="257">
        <v>0</v>
      </c>
      <c r="AS110" s="255">
        <v>0</v>
      </c>
      <c r="AT110" s="256">
        <v>0</v>
      </c>
      <c r="AU110" s="257">
        <v>0</v>
      </c>
      <c r="AV110" s="255">
        <v>0</v>
      </c>
      <c r="AW110" s="256">
        <v>0</v>
      </c>
      <c r="AX110" s="257">
        <v>0</v>
      </c>
      <c r="AY110" s="243">
        <v>0</v>
      </c>
      <c r="AZ110" s="244">
        <v>0</v>
      </c>
      <c r="BA110" s="244">
        <v>0</v>
      </c>
      <c r="BB110" s="244">
        <v>0</v>
      </c>
      <c r="BC110" s="244">
        <v>0</v>
      </c>
      <c r="BD110" s="244">
        <v>0</v>
      </c>
      <c r="BE110" s="244">
        <v>0</v>
      </c>
      <c r="BF110" s="244">
        <v>0</v>
      </c>
      <c r="BG110" s="244">
        <v>0</v>
      </c>
      <c r="BH110" s="245">
        <v>0</v>
      </c>
      <c r="BK110">
        <v>52</v>
      </c>
      <c r="BL110" s="281">
        <v>0.74371859296482346</v>
      </c>
      <c r="BM110" s="281">
        <v>13270.914572864311</v>
      </c>
      <c r="BN110" s="282">
        <v>8554.7788944723707</v>
      </c>
      <c r="BO110" s="282">
        <v>167.36683417085473</v>
      </c>
      <c r="BP110" s="282">
        <v>0</v>
      </c>
      <c r="BQ110" s="283">
        <v>0</v>
      </c>
      <c r="BR110" s="284"/>
      <c r="BS110" s="147"/>
      <c r="BT110" s="285">
        <v>1</v>
      </c>
      <c r="BU110" s="288">
        <v>3.4430039393564885E-2</v>
      </c>
      <c r="BV110" s="287">
        <v>0</v>
      </c>
      <c r="BW110" s="288">
        <v>0</v>
      </c>
      <c r="BX110" s="286">
        <v>100</v>
      </c>
      <c r="BY110" s="287">
        <v>0</v>
      </c>
      <c r="BZ110" s="288">
        <v>0</v>
      </c>
      <c r="CA110" s="286">
        <v>0.77566245212683926</v>
      </c>
      <c r="CB110" s="286">
        <v>0</v>
      </c>
      <c r="CC110" s="287">
        <v>1.2213584019347929</v>
      </c>
      <c r="CD110" s="286">
        <v>0</v>
      </c>
      <c r="CE110" s="286">
        <v>15.747337759776517</v>
      </c>
      <c r="CF110" s="286">
        <v>0</v>
      </c>
      <c r="CG110" s="287">
        <v>22.437228372461909</v>
      </c>
      <c r="CH110" s="288">
        <v>0</v>
      </c>
      <c r="CI110" s="286">
        <v>1.7685828905315917</v>
      </c>
      <c r="CJ110" s="286">
        <v>0</v>
      </c>
      <c r="CK110" s="287"/>
      <c r="CL110" s="288"/>
      <c r="CM110" s="286"/>
      <c r="CN110" s="287"/>
      <c r="CO110" s="289"/>
      <c r="CP110" s="290"/>
      <c r="CQ110" s="289"/>
      <c r="CR110" s="290"/>
      <c r="CS110" s="284"/>
      <c r="CT110" s="147"/>
      <c r="CU110" s="291"/>
      <c r="CV110" s="292"/>
    </row>
    <row r="111" spans="2:100">
      <c r="B111">
        <v>53</v>
      </c>
      <c r="C111" s="243">
        <v>1</v>
      </c>
      <c r="D111" s="592">
        <v>0</v>
      </c>
      <c r="E111" s="245">
        <v>0</v>
      </c>
      <c r="F111" s="243">
        <v>0</v>
      </c>
      <c r="G111" s="245">
        <v>0</v>
      </c>
      <c r="H111" s="243">
        <v>0</v>
      </c>
      <c r="I111" s="245">
        <v>0</v>
      </c>
      <c r="J111" s="242">
        <v>0</v>
      </c>
      <c r="K111" s="242">
        <v>19.014767900946989</v>
      </c>
      <c r="L111" s="242">
        <v>5.0251256281407036E-3</v>
      </c>
      <c r="M111" s="243">
        <v>117.24354229655532</v>
      </c>
      <c r="N111" s="592">
        <v>33.193410505565907</v>
      </c>
      <c r="O111" s="245">
        <v>0.56711345095216759</v>
      </c>
      <c r="P111" s="245">
        <v>1.1969148916619328</v>
      </c>
      <c r="Q111" s="254">
        <v>0</v>
      </c>
      <c r="R111" s="255">
        <v>0</v>
      </c>
      <c r="S111" s="256">
        <v>0</v>
      </c>
      <c r="T111" s="257">
        <v>0</v>
      </c>
      <c r="U111" s="255">
        <v>0</v>
      </c>
      <c r="V111" s="256">
        <v>0</v>
      </c>
      <c r="W111" s="257">
        <v>0</v>
      </c>
      <c r="X111" s="255">
        <v>0</v>
      </c>
      <c r="Y111" s="256">
        <v>0</v>
      </c>
      <c r="Z111" s="257">
        <v>0</v>
      </c>
      <c r="AA111" s="255">
        <v>0</v>
      </c>
      <c r="AB111" s="256">
        <v>0</v>
      </c>
      <c r="AC111" s="257">
        <v>0</v>
      </c>
      <c r="AD111" s="255">
        <v>0</v>
      </c>
      <c r="AE111" s="256">
        <v>0</v>
      </c>
      <c r="AF111" s="257">
        <v>0</v>
      </c>
      <c r="AG111" s="255">
        <v>0</v>
      </c>
      <c r="AH111" s="256">
        <v>0</v>
      </c>
      <c r="AI111" s="257">
        <v>0</v>
      </c>
      <c r="AJ111" s="255">
        <v>0</v>
      </c>
      <c r="AK111" s="256">
        <v>0</v>
      </c>
      <c r="AL111" s="257">
        <v>0</v>
      </c>
      <c r="AM111" s="255">
        <v>0</v>
      </c>
      <c r="AN111" s="256">
        <v>0</v>
      </c>
      <c r="AO111" s="257">
        <v>0</v>
      </c>
      <c r="AP111" s="255">
        <v>0</v>
      </c>
      <c r="AQ111" s="256">
        <v>0</v>
      </c>
      <c r="AR111" s="257">
        <v>0</v>
      </c>
      <c r="AS111" s="255">
        <v>0</v>
      </c>
      <c r="AT111" s="256">
        <v>0</v>
      </c>
      <c r="AU111" s="257">
        <v>0</v>
      </c>
      <c r="AV111" s="255">
        <v>0</v>
      </c>
      <c r="AW111" s="256">
        <v>0</v>
      </c>
      <c r="AX111" s="257">
        <v>0</v>
      </c>
      <c r="AY111" s="243">
        <v>0</v>
      </c>
      <c r="AZ111" s="244">
        <v>0</v>
      </c>
      <c r="BA111" s="244">
        <v>0</v>
      </c>
      <c r="BB111" s="244">
        <v>0</v>
      </c>
      <c r="BC111" s="244">
        <v>0</v>
      </c>
      <c r="BD111" s="244">
        <v>0</v>
      </c>
      <c r="BE111" s="244">
        <v>0</v>
      </c>
      <c r="BF111" s="244">
        <v>0</v>
      </c>
      <c r="BG111" s="244">
        <v>0</v>
      </c>
      <c r="BH111" s="245">
        <v>0</v>
      </c>
      <c r="BK111">
        <v>53</v>
      </c>
      <c r="BL111" s="281">
        <v>0.73869346733668284</v>
      </c>
      <c r="BM111" s="281">
        <v>13181.246231155768</v>
      </c>
      <c r="BN111" s="282">
        <v>8522.4020100502603</v>
      </c>
      <c r="BO111" s="282">
        <v>167.06030150753816</v>
      </c>
      <c r="BP111" s="282">
        <v>0</v>
      </c>
      <c r="BQ111" s="283">
        <v>0</v>
      </c>
      <c r="BR111" s="284"/>
      <c r="BS111" s="147"/>
      <c r="BT111" s="285">
        <v>1</v>
      </c>
      <c r="BU111" s="288">
        <v>3.4430039393564885E-2</v>
      </c>
      <c r="BV111" s="287">
        <v>0</v>
      </c>
      <c r="BW111" s="288">
        <v>0</v>
      </c>
      <c r="BX111" s="286">
        <v>100</v>
      </c>
      <c r="BY111" s="287">
        <v>0</v>
      </c>
      <c r="BZ111" s="288">
        <v>0</v>
      </c>
      <c r="CA111" s="286">
        <v>0.77557292697303737</v>
      </c>
      <c r="CB111" s="286">
        <v>0</v>
      </c>
      <c r="CC111" s="287">
        <v>1.2213222206150232</v>
      </c>
      <c r="CD111" s="286">
        <v>0</v>
      </c>
      <c r="CE111" s="286">
        <v>15.747089298690856</v>
      </c>
      <c r="CF111" s="286">
        <v>0</v>
      </c>
      <c r="CG111" s="287">
        <v>22.438447782963479</v>
      </c>
      <c r="CH111" s="288">
        <v>0</v>
      </c>
      <c r="CI111" s="286">
        <v>1.7697117161892719</v>
      </c>
      <c r="CJ111" s="286">
        <v>0</v>
      </c>
      <c r="CK111" s="287"/>
      <c r="CL111" s="288"/>
      <c r="CM111" s="286"/>
      <c r="CN111" s="287"/>
      <c r="CO111" s="289"/>
      <c r="CP111" s="290"/>
      <c r="CQ111" s="289"/>
      <c r="CR111" s="290"/>
      <c r="CS111" s="284"/>
      <c r="CT111" s="147"/>
      <c r="CU111" s="291"/>
      <c r="CV111" s="292"/>
    </row>
    <row r="112" spans="2:100">
      <c r="B112">
        <v>54</v>
      </c>
      <c r="C112" s="243">
        <v>1</v>
      </c>
      <c r="D112" s="592">
        <v>0</v>
      </c>
      <c r="E112" s="245">
        <v>0</v>
      </c>
      <c r="F112" s="243">
        <v>0</v>
      </c>
      <c r="G112" s="245">
        <v>0</v>
      </c>
      <c r="H112" s="243">
        <v>0</v>
      </c>
      <c r="I112" s="245">
        <v>0</v>
      </c>
      <c r="J112" s="242">
        <v>0</v>
      </c>
      <c r="K112" s="242">
        <v>19.01696780619567</v>
      </c>
      <c r="L112" s="242">
        <v>5.0251256281407036E-3</v>
      </c>
      <c r="M112" s="243">
        <v>117.21467761749754</v>
      </c>
      <c r="N112" s="592">
        <v>33.151929702162917</v>
      </c>
      <c r="O112" s="245">
        <v>0.56714211443877827</v>
      </c>
      <c r="P112" s="245">
        <v>1.1970533682063802</v>
      </c>
      <c r="Q112" s="254">
        <v>0</v>
      </c>
      <c r="R112" s="255">
        <v>0</v>
      </c>
      <c r="S112" s="256">
        <v>0</v>
      </c>
      <c r="T112" s="257">
        <v>0</v>
      </c>
      <c r="U112" s="255">
        <v>0</v>
      </c>
      <c r="V112" s="256">
        <v>0</v>
      </c>
      <c r="W112" s="257">
        <v>0</v>
      </c>
      <c r="X112" s="255">
        <v>0</v>
      </c>
      <c r="Y112" s="256">
        <v>0</v>
      </c>
      <c r="Z112" s="257">
        <v>0</v>
      </c>
      <c r="AA112" s="255">
        <v>0</v>
      </c>
      <c r="AB112" s="256">
        <v>0</v>
      </c>
      <c r="AC112" s="257">
        <v>0</v>
      </c>
      <c r="AD112" s="255">
        <v>0</v>
      </c>
      <c r="AE112" s="256">
        <v>0</v>
      </c>
      <c r="AF112" s="257">
        <v>0</v>
      </c>
      <c r="AG112" s="255">
        <v>0</v>
      </c>
      <c r="AH112" s="256">
        <v>0</v>
      </c>
      <c r="AI112" s="257">
        <v>0</v>
      </c>
      <c r="AJ112" s="255">
        <v>0</v>
      </c>
      <c r="AK112" s="256">
        <v>0</v>
      </c>
      <c r="AL112" s="257">
        <v>0</v>
      </c>
      <c r="AM112" s="255">
        <v>0</v>
      </c>
      <c r="AN112" s="256">
        <v>0</v>
      </c>
      <c r="AO112" s="257">
        <v>0</v>
      </c>
      <c r="AP112" s="255">
        <v>0</v>
      </c>
      <c r="AQ112" s="256">
        <v>0</v>
      </c>
      <c r="AR112" s="257">
        <v>0</v>
      </c>
      <c r="AS112" s="255">
        <v>0</v>
      </c>
      <c r="AT112" s="256">
        <v>0</v>
      </c>
      <c r="AU112" s="257">
        <v>0</v>
      </c>
      <c r="AV112" s="255">
        <v>0</v>
      </c>
      <c r="AW112" s="256">
        <v>0</v>
      </c>
      <c r="AX112" s="257">
        <v>0</v>
      </c>
      <c r="AY112" s="243">
        <v>0</v>
      </c>
      <c r="AZ112" s="244">
        <v>0</v>
      </c>
      <c r="BA112" s="244">
        <v>0</v>
      </c>
      <c r="BB112" s="244">
        <v>0</v>
      </c>
      <c r="BC112" s="244">
        <v>0</v>
      </c>
      <c r="BD112" s="244">
        <v>0</v>
      </c>
      <c r="BE112" s="244">
        <v>0</v>
      </c>
      <c r="BF112" s="244">
        <v>0</v>
      </c>
      <c r="BG112" s="244">
        <v>0</v>
      </c>
      <c r="BH112" s="245">
        <v>0</v>
      </c>
      <c r="BK112">
        <v>54</v>
      </c>
      <c r="BL112" s="281">
        <v>0.73366834170854212</v>
      </c>
      <c r="BM112" s="281">
        <v>13091.577889447226</v>
      </c>
      <c r="BN112" s="282">
        <v>8490.0251256281499</v>
      </c>
      <c r="BO112" s="282">
        <v>166.75376884422158</v>
      </c>
      <c r="BP112" s="282">
        <v>0</v>
      </c>
      <c r="BQ112" s="283">
        <v>0</v>
      </c>
      <c r="BR112" s="284"/>
      <c r="BS112" s="147"/>
      <c r="BT112" s="285">
        <v>1</v>
      </c>
      <c r="BU112" s="288">
        <v>3.4430039393564885E-2</v>
      </c>
      <c r="BV112" s="287">
        <v>0</v>
      </c>
      <c r="BW112" s="288">
        <v>0</v>
      </c>
      <c r="BX112" s="286">
        <v>100</v>
      </c>
      <c r="BY112" s="287">
        <v>0</v>
      </c>
      <c r="BZ112" s="288">
        <v>0</v>
      </c>
      <c r="CA112" s="286">
        <v>0.77548320778277668</v>
      </c>
      <c r="CB112" s="286">
        <v>0</v>
      </c>
      <c r="CC112" s="287">
        <v>1.221286030207031</v>
      </c>
      <c r="CD112" s="286">
        <v>0</v>
      </c>
      <c r="CE112" s="286">
        <v>15.746837422578672</v>
      </c>
      <c r="CF112" s="286">
        <v>0</v>
      </c>
      <c r="CG112" s="287">
        <v>22.439667278560947</v>
      </c>
      <c r="CH112" s="288">
        <v>0</v>
      </c>
      <c r="CI112" s="286">
        <v>1.7708545146102326</v>
      </c>
      <c r="CJ112" s="286">
        <v>0</v>
      </c>
      <c r="CK112" s="287"/>
      <c r="CL112" s="288"/>
      <c r="CM112" s="286"/>
      <c r="CN112" s="287"/>
      <c r="CO112" s="289"/>
      <c r="CP112" s="290"/>
      <c r="CQ112" s="289"/>
      <c r="CR112" s="290"/>
      <c r="CS112" s="284"/>
      <c r="CT112" s="147"/>
      <c r="CU112" s="291"/>
      <c r="CV112" s="292"/>
    </row>
    <row r="113" spans="2:100">
      <c r="B113">
        <v>55</v>
      </c>
      <c r="C113" s="243">
        <v>1</v>
      </c>
      <c r="D113" s="592">
        <v>0</v>
      </c>
      <c r="E113" s="245">
        <v>0</v>
      </c>
      <c r="F113" s="243">
        <v>0</v>
      </c>
      <c r="G113" s="245">
        <v>0</v>
      </c>
      <c r="H113" s="243">
        <v>0</v>
      </c>
      <c r="I113" s="245">
        <v>0</v>
      </c>
      <c r="J113" s="242">
        <v>0</v>
      </c>
      <c r="K113" s="242">
        <v>19.019173001191838</v>
      </c>
      <c r="L113" s="242">
        <v>5.0251256281407036E-3</v>
      </c>
      <c r="M113" s="243">
        <v>117.18600908841151</v>
      </c>
      <c r="N113" s="592">
        <v>33.110236681551456</v>
      </c>
      <c r="O113" s="245">
        <v>0.56717155211281156</v>
      </c>
      <c r="P113" s="245">
        <v>1.1971921777224195</v>
      </c>
      <c r="Q113" s="254">
        <v>0</v>
      </c>
      <c r="R113" s="255">
        <v>0</v>
      </c>
      <c r="S113" s="256">
        <v>0</v>
      </c>
      <c r="T113" s="257">
        <v>0</v>
      </c>
      <c r="U113" s="255">
        <v>0</v>
      </c>
      <c r="V113" s="256">
        <v>0</v>
      </c>
      <c r="W113" s="257">
        <v>0</v>
      </c>
      <c r="X113" s="255">
        <v>0</v>
      </c>
      <c r="Y113" s="256">
        <v>0</v>
      </c>
      <c r="Z113" s="257">
        <v>0</v>
      </c>
      <c r="AA113" s="255">
        <v>0</v>
      </c>
      <c r="AB113" s="256">
        <v>0</v>
      </c>
      <c r="AC113" s="257">
        <v>0</v>
      </c>
      <c r="AD113" s="255">
        <v>0</v>
      </c>
      <c r="AE113" s="256">
        <v>0</v>
      </c>
      <c r="AF113" s="257">
        <v>0</v>
      </c>
      <c r="AG113" s="255">
        <v>0</v>
      </c>
      <c r="AH113" s="256">
        <v>0</v>
      </c>
      <c r="AI113" s="257">
        <v>0</v>
      </c>
      <c r="AJ113" s="255">
        <v>0</v>
      </c>
      <c r="AK113" s="256">
        <v>0</v>
      </c>
      <c r="AL113" s="257">
        <v>0</v>
      </c>
      <c r="AM113" s="255">
        <v>0</v>
      </c>
      <c r="AN113" s="256">
        <v>0</v>
      </c>
      <c r="AO113" s="257">
        <v>0</v>
      </c>
      <c r="AP113" s="255">
        <v>0</v>
      </c>
      <c r="AQ113" s="256">
        <v>0</v>
      </c>
      <c r="AR113" s="257">
        <v>0</v>
      </c>
      <c r="AS113" s="255">
        <v>0</v>
      </c>
      <c r="AT113" s="256">
        <v>0</v>
      </c>
      <c r="AU113" s="257">
        <v>0</v>
      </c>
      <c r="AV113" s="255">
        <v>0</v>
      </c>
      <c r="AW113" s="256">
        <v>0</v>
      </c>
      <c r="AX113" s="257">
        <v>0</v>
      </c>
      <c r="AY113" s="243">
        <v>0</v>
      </c>
      <c r="AZ113" s="244">
        <v>0</v>
      </c>
      <c r="BA113" s="244">
        <v>0</v>
      </c>
      <c r="BB113" s="244">
        <v>0</v>
      </c>
      <c r="BC113" s="244">
        <v>0</v>
      </c>
      <c r="BD113" s="244">
        <v>0</v>
      </c>
      <c r="BE113" s="244">
        <v>0</v>
      </c>
      <c r="BF113" s="244">
        <v>0</v>
      </c>
      <c r="BG113" s="244">
        <v>0</v>
      </c>
      <c r="BH113" s="245">
        <v>0</v>
      </c>
      <c r="BK113">
        <v>55</v>
      </c>
      <c r="BL113" s="281">
        <v>0.7286432160804015</v>
      </c>
      <c r="BM113" s="281">
        <v>13001.909547738684</v>
      </c>
      <c r="BN113" s="282">
        <v>8457.6482412060395</v>
      </c>
      <c r="BO113" s="282">
        <v>166.44723618090501</v>
      </c>
      <c r="BP113" s="282">
        <v>0</v>
      </c>
      <c r="BQ113" s="283">
        <v>0</v>
      </c>
      <c r="BR113" s="284"/>
      <c r="BS113" s="147"/>
      <c r="BT113" s="285">
        <v>1</v>
      </c>
      <c r="BU113" s="288">
        <v>3.4430039393564885E-2</v>
      </c>
      <c r="BV113" s="287">
        <v>0</v>
      </c>
      <c r="BW113" s="288">
        <v>0</v>
      </c>
      <c r="BX113" s="286">
        <v>100</v>
      </c>
      <c r="BY113" s="287">
        <v>0</v>
      </c>
      <c r="BZ113" s="288">
        <v>0</v>
      </c>
      <c r="CA113" s="286">
        <v>0.77539329368980825</v>
      </c>
      <c r="CB113" s="286">
        <v>0</v>
      </c>
      <c r="CC113" s="287">
        <v>1.221249830687237</v>
      </c>
      <c r="CD113" s="286">
        <v>0</v>
      </c>
      <c r="CE113" s="286">
        <v>15.74658211558396</v>
      </c>
      <c r="CF113" s="286">
        <v>0</v>
      </c>
      <c r="CG113" s="287">
        <v>22.440886859104161</v>
      </c>
      <c r="CH113" s="288">
        <v>0</v>
      </c>
      <c r="CI113" s="286">
        <v>1.7720112892609057</v>
      </c>
      <c r="CJ113" s="286">
        <v>0</v>
      </c>
      <c r="CK113" s="287"/>
      <c r="CL113" s="288"/>
      <c r="CM113" s="286"/>
      <c r="CN113" s="287"/>
      <c r="CO113" s="289"/>
      <c r="CP113" s="290"/>
      <c r="CQ113" s="289"/>
      <c r="CR113" s="290"/>
      <c r="CS113" s="284"/>
      <c r="CT113" s="147"/>
      <c r="CU113" s="291"/>
      <c r="CV113" s="292"/>
    </row>
    <row r="114" spans="2:100">
      <c r="B114">
        <v>56</v>
      </c>
      <c r="C114" s="243">
        <v>1</v>
      </c>
      <c r="D114" s="592">
        <v>0</v>
      </c>
      <c r="E114" s="245">
        <v>0</v>
      </c>
      <c r="F114" s="243">
        <v>0</v>
      </c>
      <c r="G114" s="245">
        <v>0</v>
      </c>
      <c r="H114" s="243">
        <v>0</v>
      </c>
      <c r="I114" s="245">
        <v>0</v>
      </c>
      <c r="J114" s="242">
        <v>0</v>
      </c>
      <c r="K114" s="242">
        <v>19.021383510827242</v>
      </c>
      <c r="L114" s="242">
        <v>5.0251256281407036E-3</v>
      </c>
      <c r="M114" s="243">
        <v>117.1575376442528</v>
      </c>
      <c r="N114" s="592">
        <v>33.068332748920284</v>
      </c>
      <c r="O114" s="245">
        <v>0.56720175568743947</v>
      </c>
      <c r="P114" s="245">
        <v>1.1973313217769017</v>
      </c>
      <c r="Q114" s="254">
        <v>0</v>
      </c>
      <c r="R114" s="255">
        <v>0</v>
      </c>
      <c r="S114" s="256">
        <v>0</v>
      </c>
      <c r="T114" s="257">
        <v>0</v>
      </c>
      <c r="U114" s="255">
        <v>0</v>
      </c>
      <c r="V114" s="256">
        <v>0</v>
      </c>
      <c r="W114" s="257">
        <v>0</v>
      </c>
      <c r="X114" s="255">
        <v>0</v>
      </c>
      <c r="Y114" s="256">
        <v>0</v>
      </c>
      <c r="Z114" s="257">
        <v>0</v>
      </c>
      <c r="AA114" s="255">
        <v>0</v>
      </c>
      <c r="AB114" s="256">
        <v>0</v>
      </c>
      <c r="AC114" s="257">
        <v>0</v>
      </c>
      <c r="AD114" s="255">
        <v>0</v>
      </c>
      <c r="AE114" s="256">
        <v>0</v>
      </c>
      <c r="AF114" s="257">
        <v>0</v>
      </c>
      <c r="AG114" s="255">
        <v>0</v>
      </c>
      <c r="AH114" s="256">
        <v>0</v>
      </c>
      <c r="AI114" s="257">
        <v>0</v>
      </c>
      <c r="AJ114" s="255">
        <v>0</v>
      </c>
      <c r="AK114" s="256">
        <v>0</v>
      </c>
      <c r="AL114" s="257">
        <v>0</v>
      </c>
      <c r="AM114" s="255">
        <v>0</v>
      </c>
      <c r="AN114" s="256">
        <v>0</v>
      </c>
      <c r="AO114" s="257">
        <v>0</v>
      </c>
      <c r="AP114" s="255">
        <v>0</v>
      </c>
      <c r="AQ114" s="256">
        <v>0</v>
      </c>
      <c r="AR114" s="257">
        <v>0</v>
      </c>
      <c r="AS114" s="255">
        <v>0</v>
      </c>
      <c r="AT114" s="256">
        <v>0</v>
      </c>
      <c r="AU114" s="257">
        <v>0</v>
      </c>
      <c r="AV114" s="255">
        <v>0</v>
      </c>
      <c r="AW114" s="256">
        <v>0</v>
      </c>
      <c r="AX114" s="257">
        <v>0</v>
      </c>
      <c r="AY114" s="243">
        <v>0</v>
      </c>
      <c r="AZ114" s="244">
        <v>0</v>
      </c>
      <c r="BA114" s="244">
        <v>0</v>
      </c>
      <c r="BB114" s="244">
        <v>0</v>
      </c>
      <c r="BC114" s="244">
        <v>0</v>
      </c>
      <c r="BD114" s="244">
        <v>0</v>
      </c>
      <c r="BE114" s="244">
        <v>0</v>
      </c>
      <c r="BF114" s="244">
        <v>0</v>
      </c>
      <c r="BG114" s="244">
        <v>0</v>
      </c>
      <c r="BH114" s="245">
        <v>0</v>
      </c>
      <c r="BK114">
        <v>56</v>
      </c>
      <c r="BL114" s="281">
        <v>0.72361809045226078</v>
      </c>
      <c r="BM114" s="281">
        <v>12912.241206030141</v>
      </c>
      <c r="BN114" s="282">
        <v>8425.2713567839291</v>
      </c>
      <c r="BO114" s="282">
        <v>166.14070351758843</v>
      </c>
      <c r="BP114" s="282">
        <v>0</v>
      </c>
      <c r="BQ114" s="283">
        <v>0</v>
      </c>
      <c r="BR114" s="284"/>
      <c r="BS114" s="147"/>
      <c r="BT114" s="285">
        <v>1</v>
      </c>
      <c r="BU114" s="288">
        <v>3.4430039393564885E-2</v>
      </c>
      <c r="BV114" s="287">
        <v>0</v>
      </c>
      <c r="BW114" s="288">
        <v>0</v>
      </c>
      <c r="BX114" s="286">
        <v>100</v>
      </c>
      <c r="BY114" s="287">
        <v>0</v>
      </c>
      <c r="BZ114" s="288">
        <v>0</v>
      </c>
      <c r="CA114" s="286">
        <v>0.77530318382235541</v>
      </c>
      <c r="CB114" s="286">
        <v>0</v>
      </c>
      <c r="CC114" s="287">
        <v>1.2212136220319942</v>
      </c>
      <c r="CD114" s="286">
        <v>0</v>
      </c>
      <c r="CE114" s="286">
        <v>15.746323361748706</v>
      </c>
      <c r="CF114" s="286">
        <v>0</v>
      </c>
      <c r="CG114" s="287">
        <v>22.442106524442163</v>
      </c>
      <c r="CH114" s="288">
        <v>0</v>
      </c>
      <c r="CI114" s="286">
        <v>1.7731820439511872</v>
      </c>
      <c r="CJ114" s="286">
        <v>0</v>
      </c>
      <c r="CK114" s="287"/>
      <c r="CL114" s="288"/>
      <c r="CM114" s="286"/>
      <c r="CN114" s="287"/>
      <c r="CO114" s="289"/>
      <c r="CP114" s="290"/>
      <c r="CQ114" s="289"/>
      <c r="CR114" s="290"/>
      <c r="CS114" s="284"/>
      <c r="CT114" s="147"/>
      <c r="CU114" s="291"/>
      <c r="CV114" s="292"/>
    </row>
    <row r="115" spans="2:100">
      <c r="B115">
        <v>57</v>
      </c>
      <c r="C115" s="243">
        <v>1</v>
      </c>
      <c r="D115" s="592">
        <v>0</v>
      </c>
      <c r="E115" s="245">
        <v>0</v>
      </c>
      <c r="F115" s="243">
        <v>0</v>
      </c>
      <c r="G115" s="245">
        <v>0</v>
      </c>
      <c r="H115" s="243">
        <v>0</v>
      </c>
      <c r="I115" s="245">
        <v>0</v>
      </c>
      <c r="J115" s="242">
        <v>0</v>
      </c>
      <c r="K115" s="242">
        <v>19.023599360160055</v>
      </c>
      <c r="L115" s="242">
        <v>5.0251256281407036E-3</v>
      </c>
      <c r="M115" s="243">
        <v>117.12926422643037</v>
      </c>
      <c r="N115" s="592">
        <v>33.026219209837606</v>
      </c>
      <c r="O115" s="245">
        <v>0.56723271682167564</v>
      </c>
      <c r="P115" s="245">
        <v>1.1974708019471536</v>
      </c>
      <c r="Q115" s="254">
        <v>0</v>
      </c>
      <c r="R115" s="255">
        <v>0</v>
      </c>
      <c r="S115" s="256">
        <v>0</v>
      </c>
      <c r="T115" s="257">
        <v>0</v>
      </c>
      <c r="U115" s="255">
        <v>0</v>
      </c>
      <c r="V115" s="256">
        <v>0</v>
      </c>
      <c r="W115" s="257">
        <v>0</v>
      </c>
      <c r="X115" s="255">
        <v>0</v>
      </c>
      <c r="Y115" s="256">
        <v>0</v>
      </c>
      <c r="Z115" s="257">
        <v>0</v>
      </c>
      <c r="AA115" s="255">
        <v>0</v>
      </c>
      <c r="AB115" s="256">
        <v>0</v>
      </c>
      <c r="AC115" s="257">
        <v>0</v>
      </c>
      <c r="AD115" s="255">
        <v>0</v>
      </c>
      <c r="AE115" s="256">
        <v>0</v>
      </c>
      <c r="AF115" s="257">
        <v>0</v>
      </c>
      <c r="AG115" s="255">
        <v>0</v>
      </c>
      <c r="AH115" s="256">
        <v>0</v>
      </c>
      <c r="AI115" s="257">
        <v>0</v>
      </c>
      <c r="AJ115" s="255">
        <v>0</v>
      </c>
      <c r="AK115" s="256">
        <v>0</v>
      </c>
      <c r="AL115" s="257">
        <v>0</v>
      </c>
      <c r="AM115" s="255">
        <v>0</v>
      </c>
      <c r="AN115" s="256">
        <v>0</v>
      </c>
      <c r="AO115" s="257">
        <v>0</v>
      </c>
      <c r="AP115" s="255">
        <v>0</v>
      </c>
      <c r="AQ115" s="256">
        <v>0</v>
      </c>
      <c r="AR115" s="257">
        <v>0</v>
      </c>
      <c r="AS115" s="255">
        <v>0</v>
      </c>
      <c r="AT115" s="256">
        <v>0</v>
      </c>
      <c r="AU115" s="257">
        <v>0</v>
      </c>
      <c r="AV115" s="255">
        <v>0</v>
      </c>
      <c r="AW115" s="256">
        <v>0</v>
      </c>
      <c r="AX115" s="257">
        <v>0</v>
      </c>
      <c r="AY115" s="243">
        <v>0</v>
      </c>
      <c r="AZ115" s="244">
        <v>0</v>
      </c>
      <c r="BA115" s="244">
        <v>0</v>
      </c>
      <c r="BB115" s="244">
        <v>0</v>
      </c>
      <c r="BC115" s="244">
        <v>0</v>
      </c>
      <c r="BD115" s="244">
        <v>0</v>
      </c>
      <c r="BE115" s="244">
        <v>0</v>
      </c>
      <c r="BF115" s="244">
        <v>0</v>
      </c>
      <c r="BG115" s="244">
        <v>0</v>
      </c>
      <c r="BH115" s="245">
        <v>0</v>
      </c>
      <c r="BK115">
        <v>57</v>
      </c>
      <c r="BL115" s="281">
        <v>0.71859296482412005</v>
      </c>
      <c r="BM115" s="281">
        <v>12822.572864321599</v>
      </c>
      <c r="BN115" s="282">
        <v>8392.8944723618188</v>
      </c>
      <c r="BO115" s="282">
        <v>165.83417085427186</v>
      </c>
      <c r="BP115" s="282">
        <v>0</v>
      </c>
      <c r="BQ115" s="283">
        <v>0</v>
      </c>
      <c r="BR115" s="284"/>
      <c r="BS115" s="147"/>
      <c r="BT115" s="285">
        <v>1</v>
      </c>
      <c r="BU115" s="288">
        <v>3.4430039393564885E-2</v>
      </c>
      <c r="BV115" s="287">
        <v>0</v>
      </c>
      <c r="BW115" s="288">
        <v>0</v>
      </c>
      <c r="BX115" s="286">
        <v>100</v>
      </c>
      <c r="BY115" s="287">
        <v>0</v>
      </c>
      <c r="BZ115" s="288">
        <v>0</v>
      </c>
      <c r="CA115" s="286">
        <v>0.77521287730306454</v>
      </c>
      <c r="CB115" s="286">
        <v>0</v>
      </c>
      <c r="CC115" s="287">
        <v>1.2211774042175811</v>
      </c>
      <c r="CD115" s="286">
        <v>0</v>
      </c>
      <c r="CE115" s="286">
        <v>15.746061145011991</v>
      </c>
      <c r="CF115" s="286">
        <v>0</v>
      </c>
      <c r="CG115" s="287">
        <v>22.443326274423104</v>
      </c>
      <c r="CH115" s="288">
        <v>0</v>
      </c>
      <c r="CI115" s="286">
        <v>1.7743667828327245</v>
      </c>
      <c r="CJ115" s="286">
        <v>0</v>
      </c>
      <c r="CK115" s="287"/>
      <c r="CL115" s="288"/>
      <c r="CM115" s="286"/>
      <c r="CN115" s="287"/>
      <c r="CO115" s="289"/>
      <c r="CP115" s="290"/>
      <c r="CQ115" s="289"/>
      <c r="CR115" s="290"/>
      <c r="CS115" s="284"/>
      <c r="CT115" s="147"/>
      <c r="CU115" s="291"/>
      <c r="CV115" s="292"/>
    </row>
    <row r="116" spans="2:100">
      <c r="B116">
        <v>58</v>
      </c>
      <c r="C116" s="243">
        <v>1.0000000000000002</v>
      </c>
      <c r="D116" s="592">
        <v>0</v>
      </c>
      <c r="E116" s="245">
        <v>0</v>
      </c>
      <c r="F116" s="243">
        <v>0</v>
      </c>
      <c r="G116" s="245">
        <v>0</v>
      </c>
      <c r="H116" s="243">
        <v>0</v>
      </c>
      <c r="I116" s="245">
        <v>0</v>
      </c>
      <c r="J116" s="242">
        <v>0</v>
      </c>
      <c r="K116" s="242">
        <v>19.025820574416208</v>
      </c>
      <c r="L116" s="242">
        <v>5.0251256281407036E-3</v>
      </c>
      <c r="M116" s="243">
        <v>117.10118978286297</v>
      </c>
      <c r="N116" s="592">
        <v>32.98389737022093</v>
      </c>
      <c r="O116" s="245">
        <v>0.56726442712035841</v>
      </c>
      <c r="P116" s="245">
        <v>1.1976106198210617</v>
      </c>
      <c r="Q116" s="254">
        <v>0</v>
      </c>
      <c r="R116" s="255">
        <v>0</v>
      </c>
      <c r="S116" s="256">
        <v>0</v>
      </c>
      <c r="T116" s="257">
        <v>0</v>
      </c>
      <c r="U116" s="255">
        <v>0</v>
      </c>
      <c r="V116" s="256">
        <v>0</v>
      </c>
      <c r="W116" s="257">
        <v>0</v>
      </c>
      <c r="X116" s="255">
        <v>0</v>
      </c>
      <c r="Y116" s="256">
        <v>0</v>
      </c>
      <c r="Z116" s="257">
        <v>0</v>
      </c>
      <c r="AA116" s="255">
        <v>0</v>
      </c>
      <c r="AB116" s="256">
        <v>0</v>
      </c>
      <c r="AC116" s="257">
        <v>0</v>
      </c>
      <c r="AD116" s="255">
        <v>0</v>
      </c>
      <c r="AE116" s="256">
        <v>0</v>
      </c>
      <c r="AF116" s="257">
        <v>0</v>
      </c>
      <c r="AG116" s="255">
        <v>0</v>
      </c>
      <c r="AH116" s="256">
        <v>0</v>
      </c>
      <c r="AI116" s="257">
        <v>0</v>
      </c>
      <c r="AJ116" s="255">
        <v>0</v>
      </c>
      <c r="AK116" s="256">
        <v>0</v>
      </c>
      <c r="AL116" s="257">
        <v>0</v>
      </c>
      <c r="AM116" s="255">
        <v>0</v>
      </c>
      <c r="AN116" s="256">
        <v>0</v>
      </c>
      <c r="AO116" s="257">
        <v>0</v>
      </c>
      <c r="AP116" s="255">
        <v>0</v>
      </c>
      <c r="AQ116" s="256">
        <v>0</v>
      </c>
      <c r="AR116" s="257">
        <v>0</v>
      </c>
      <c r="AS116" s="255">
        <v>0</v>
      </c>
      <c r="AT116" s="256">
        <v>0</v>
      </c>
      <c r="AU116" s="257">
        <v>0</v>
      </c>
      <c r="AV116" s="255">
        <v>0</v>
      </c>
      <c r="AW116" s="256">
        <v>0</v>
      </c>
      <c r="AX116" s="257">
        <v>0</v>
      </c>
      <c r="AY116" s="243">
        <v>0</v>
      </c>
      <c r="AZ116" s="244">
        <v>0</v>
      </c>
      <c r="BA116" s="244">
        <v>0</v>
      </c>
      <c r="BB116" s="244">
        <v>0</v>
      </c>
      <c r="BC116" s="244">
        <v>0</v>
      </c>
      <c r="BD116" s="244">
        <v>0</v>
      </c>
      <c r="BE116" s="244">
        <v>0</v>
      </c>
      <c r="BF116" s="244">
        <v>0</v>
      </c>
      <c r="BG116" s="244">
        <v>0</v>
      </c>
      <c r="BH116" s="245">
        <v>0</v>
      </c>
      <c r="BK116">
        <v>58</v>
      </c>
      <c r="BL116" s="281">
        <v>0.71356783919597944</v>
      </c>
      <c r="BM116" s="281">
        <v>12732.904522613057</v>
      </c>
      <c r="BN116" s="282">
        <v>8360.5175879397084</v>
      </c>
      <c r="BO116" s="282">
        <v>165.52763819095529</v>
      </c>
      <c r="BP116" s="282">
        <v>0</v>
      </c>
      <c r="BQ116" s="283">
        <v>0</v>
      </c>
      <c r="BR116" s="284"/>
      <c r="BS116" s="147"/>
      <c r="BT116" s="285">
        <v>1</v>
      </c>
      <c r="BU116" s="288">
        <v>3.4430039393564885E-2</v>
      </c>
      <c r="BV116" s="287">
        <v>0</v>
      </c>
      <c r="BW116" s="288">
        <v>0</v>
      </c>
      <c r="BX116" s="286">
        <v>100</v>
      </c>
      <c r="BY116" s="287">
        <v>0</v>
      </c>
      <c r="BZ116" s="288">
        <v>0</v>
      </c>
      <c r="CA116" s="286">
        <v>0.77512237324896149</v>
      </c>
      <c r="CB116" s="286">
        <v>0</v>
      </c>
      <c r="CC116" s="287">
        <v>1.2211411772202001</v>
      </c>
      <c r="CD116" s="286">
        <v>0</v>
      </c>
      <c r="CE116" s="286">
        <v>15.745795449209146</v>
      </c>
      <c r="CF116" s="286">
        <v>0</v>
      </c>
      <c r="CG116" s="287">
        <v>22.444546108894226</v>
      </c>
      <c r="CH116" s="288">
        <v>0</v>
      </c>
      <c r="CI116" s="286">
        <v>1.7755655103973211</v>
      </c>
      <c r="CJ116" s="286">
        <v>0</v>
      </c>
      <c r="CK116" s="287"/>
      <c r="CL116" s="288"/>
      <c r="CM116" s="286"/>
      <c r="CN116" s="287"/>
      <c r="CO116" s="289"/>
      <c r="CP116" s="290"/>
      <c r="CQ116" s="289"/>
      <c r="CR116" s="290"/>
      <c r="CS116" s="284"/>
      <c r="CT116" s="147"/>
      <c r="CU116" s="291"/>
      <c r="CV116" s="292"/>
    </row>
    <row r="117" spans="2:100">
      <c r="B117">
        <v>59</v>
      </c>
      <c r="C117" s="243">
        <v>1</v>
      </c>
      <c r="D117" s="592">
        <v>0</v>
      </c>
      <c r="E117" s="245">
        <v>0</v>
      </c>
      <c r="F117" s="243">
        <v>0</v>
      </c>
      <c r="G117" s="245">
        <v>0</v>
      </c>
      <c r="H117" s="243">
        <v>0</v>
      </c>
      <c r="I117" s="245">
        <v>0</v>
      </c>
      <c r="J117" s="242">
        <v>0</v>
      </c>
      <c r="K117" s="242">
        <v>19.028047178990967</v>
      </c>
      <c r="L117" s="242">
        <v>5.0251256281407036E-3</v>
      </c>
      <c r="M117" s="243">
        <v>117.07331526803539</v>
      </c>
      <c r="N117" s="592">
        <v>32.941368536307138</v>
      </c>
      <c r="O117" s="245">
        <v>0.56729687813412</v>
      </c>
      <c r="P117" s="245">
        <v>1.1977507769971709</v>
      </c>
      <c r="Q117" s="254">
        <v>0</v>
      </c>
      <c r="R117" s="255">
        <v>0</v>
      </c>
      <c r="S117" s="256">
        <v>0</v>
      </c>
      <c r="T117" s="257">
        <v>0</v>
      </c>
      <c r="U117" s="255">
        <v>0</v>
      </c>
      <c r="V117" s="256">
        <v>0</v>
      </c>
      <c r="W117" s="257">
        <v>0</v>
      </c>
      <c r="X117" s="255">
        <v>0</v>
      </c>
      <c r="Y117" s="256">
        <v>0</v>
      </c>
      <c r="Z117" s="257">
        <v>0</v>
      </c>
      <c r="AA117" s="255">
        <v>0</v>
      </c>
      <c r="AB117" s="256">
        <v>0</v>
      </c>
      <c r="AC117" s="257">
        <v>0</v>
      </c>
      <c r="AD117" s="255">
        <v>0</v>
      </c>
      <c r="AE117" s="256">
        <v>0</v>
      </c>
      <c r="AF117" s="257">
        <v>0</v>
      </c>
      <c r="AG117" s="255">
        <v>0</v>
      </c>
      <c r="AH117" s="256">
        <v>0</v>
      </c>
      <c r="AI117" s="257">
        <v>0</v>
      </c>
      <c r="AJ117" s="255">
        <v>0</v>
      </c>
      <c r="AK117" s="256">
        <v>0</v>
      </c>
      <c r="AL117" s="257">
        <v>0</v>
      </c>
      <c r="AM117" s="255">
        <v>0</v>
      </c>
      <c r="AN117" s="256">
        <v>0</v>
      </c>
      <c r="AO117" s="257">
        <v>0</v>
      </c>
      <c r="AP117" s="255">
        <v>0</v>
      </c>
      <c r="AQ117" s="256">
        <v>0</v>
      </c>
      <c r="AR117" s="257">
        <v>0</v>
      </c>
      <c r="AS117" s="255">
        <v>0</v>
      </c>
      <c r="AT117" s="256">
        <v>0</v>
      </c>
      <c r="AU117" s="257">
        <v>0</v>
      </c>
      <c r="AV117" s="255">
        <v>0</v>
      </c>
      <c r="AW117" s="256">
        <v>0</v>
      </c>
      <c r="AX117" s="257">
        <v>0</v>
      </c>
      <c r="AY117" s="243">
        <v>0</v>
      </c>
      <c r="AZ117" s="244">
        <v>0</v>
      </c>
      <c r="BA117" s="244">
        <v>0</v>
      </c>
      <c r="BB117" s="244">
        <v>0</v>
      </c>
      <c r="BC117" s="244">
        <v>0</v>
      </c>
      <c r="BD117" s="244">
        <v>0</v>
      </c>
      <c r="BE117" s="244">
        <v>0</v>
      </c>
      <c r="BF117" s="244">
        <v>0</v>
      </c>
      <c r="BG117" s="244">
        <v>0</v>
      </c>
      <c r="BH117" s="245">
        <v>0</v>
      </c>
      <c r="BK117">
        <v>59</v>
      </c>
      <c r="BL117" s="281">
        <v>0.70854271356783871</v>
      </c>
      <c r="BM117" s="281">
        <v>12643.236180904514</v>
      </c>
      <c r="BN117" s="282">
        <v>8328.140703517598</v>
      </c>
      <c r="BO117" s="282">
        <v>165.22110552763871</v>
      </c>
      <c r="BP117" s="282">
        <v>0</v>
      </c>
      <c r="BQ117" s="283">
        <v>0</v>
      </c>
      <c r="BR117" s="284"/>
      <c r="BS117" s="147"/>
      <c r="BT117" s="285">
        <v>1</v>
      </c>
      <c r="BU117" s="288">
        <v>3.4430039393564885E-2</v>
      </c>
      <c r="BV117" s="287">
        <v>0</v>
      </c>
      <c r="BW117" s="288">
        <v>0</v>
      </c>
      <c r="BX117" s="286">
        <v>100</v>
      </c>
      <c r="BY117" s="287">
        <v>0</v>
      </c>
      <c r="BZ117" s="288">
        <v>0</v>
      </c>
      <c r="CA117" s="286">
        <v>0.77503167077140089</v>
      </c>
      <c r="CB117" s="286">
        <v>0</v>
      </c>
      <c r="CC117" s="287">
        <v>1.2211049410159787</v>
      </c>
      <c r="CD117" s="286">
        <v>0</v>
      </c>
      <c r="CE117" s="286">
        <v>15.745526258070887</v>
      </c>
      <c r="CF117" s="286">
        <v>0</v>
      </c>
      <c r="CG117" s="287">
        <v>22.445766027701865</v>
      </c>
      <c r="CH117" s="288">
        <v>0</v>
      </c>
      <c r="CI117" s="286">
        <v>1.7767782314752885</v>
      </c>
      <c r="CJ117" s="286">
        <v>0</v>
      </c>
      <c r="CK117" s="287"/>
      <c r="CL117" s="288"/>
      <c r="CM117" s="286"/>
      <c r="CN117" s="287"/>
      <c r="CO117" s="289"/>
      <c r="CP117" s="290"/>
      <c r="CQ117" s="289"/>
      <c r="CR117" s="290"/>
      <c r="CS117" s="284"/>
      <c r="CT117" s="147"/>
      <c r="CU117" s="291"/>
      <c r="CV117" s="292"/>
    </row>
    <row r="118" spans="2:100">
      <c r="B118">
        <v>60</v>
      </c>
      <c r="C118" s="243">
        <v>0.99999999999999989</v>
      </c>
      <c r="D118" s="592">
        <v>0</v>
      </c>
      <c r="E118" s="245">
        <v>0</v>
      </c>
      <c r="F118" s="243">
        <v>0</v>
      </c>
      <c r="G118" s="245">
        <v>0</v>
      </c>
      <c r="H118" s="243">
        <v>0</v>
      </c>
      <c r="I118" s="245">
        <v>0</v>
      </c>
      <c r="J118" s="242">
        <v>0</v>
      </c>
      <c r="K118" s="242">
        <v>19.030279199450373</v>
      </c>
      <c r="L118" s="242">
        <v>5.0251256281407036E-3</v>
      </c>
      <c r="M118" s="243">
        <v>117.04564164307818</v>
      </c>
      <c r="N118" s="592">
        <v>32.898634014624626</v>
      </c>
      <c r="O118" s="245">
        <v>0.56733006135935493</v>
      </c>
      <c r="P118" s="245">
        <v>1.1978912750847768</v>
      </c>
      <c r="Q118" s="254">
        <v>0</v>
      </c>
      <c r="R118" s="255">
        <v>0</v>
      </c>
      <c r="S118" s="256">
        <v>0</v>
      </c>
      <c r="T118" s="257">
        <v>0</v>
      </c>
      <c r="U118" s="255">
        <v>0</v>
      </c>
      <c r="V118" s="256">
        <v>0</v>
      </c>
      <c r="W118" s="257">
        <v>0</v>
      </c>
      <c r="X118" s="255">
        <v>0</v>
      </c>
      <c r="Y118" s="256">
        <v>0</v>
      </c>
      <c r="Z118" s="257">
        <v>0</v>
      </c>
      <c r="AA118" s="255">
        <v>0</v>
      </c>
      <c r="AB118" s="256">
        <v>0</v>
      </c>
      <c r="AC118" s="257">
        <v>0</v>
      </c>
      <c r="AD118" s="255">
        <v>0</v>
      </c>
      <c r="AE118" s="256">
        <v>0</v>
      </c>
      <c r="AF118" s="257">
        <v>0</v>
      </c>
      <c r="AG118" s="255">
        <v>0</v>
      </c>
      <c r="AH118" s="256">
        <v>0</v>
      </c>
      <c r="AI118" s="257">
        <v>0</v>
      </c>
      <c r="AJ118" s="255">
        <v>0</v>
      </c>
      <c r="AK118" s="256">
        <v>0</v>
      </c>
      <c r="AL118" s="257">
        <v>0</v>
      </c>
      <c r="AM118" s="255">
        <v>0</v>
      </c>
      <c r="AN118" s="256">
        <v>0</v>
      </c>
      <c r="AO118" s="257">
        <v>0</v>
      </c>
      <c r="AP118" s="255">
        <v>0</v>
      </c>
      <c r="AQ118" s="256">
        <v>0</v>
      </c>
      <c r="AR118" s="257">
        <v>0</v>
      </c>
      <c r="AS118" s="255">
        <v>0</v>
      </c>
      <c r="AT118" s="256">
        <v>0</v>
      </c>
      <c r="AU118" s="257">
        <v>0</v>
      </c>
      <c r="AV118" s="255">
        <v>0</v>
      </c>
      <c r="AW118" s="256">
        <v>0</v>
      </c>
      <c r="AX118" s="257">
        <v>0</v>
      </c>
      <c r="AY118" s="243">
        <v>0</v>
      </c>
      <c r="AZ118" s="244">
        <v>0</v>
      </c>
      <c r="BA118" s="244">
        <v>0</v>
      </c>
      <c r="BB118" s="244">
        <v>0</v>
      </c>
      <c r="BC118" s="244">
        <v>0</v>
      </c>
      <c r="BD118" s="244">
        <v>0</v>
      </c>
      <c r="BE118" s="244">
        <v>0</v>
      </c>
      <c r="BF118" s="244">
        <v>0</v>
      </c>
      <c r="BG118" s="244">
        <v>0</v>
      </c>
      <c r="BH118" s="245">
        <v>0</v>
      </c>
      <c r="BK118">
        <v>60</v>
      </c>
      <c r="BL118" s="281">
        <v>0.70351758793969799</v>
      </c>
      <c r="BM118" s="281">
        <v>12553.567839195972</v>
      </c>
      <c r="BN118" s="282">
        <v>8295.7638190954876</v>
      </c>
      <c r="BO118" s="282">
        <v>164.91457286432214</v>
      </c>
      <c r="BP118" s="282">
        <v>0</v>
      </c>
      <c r="BQ118" s="283">
        <v>0</v>
      </c>
      <c r="BR118" s="284"/>
      <c r="BS118" s="147"/>
      <c r="BT118" s="285">
        <v>1</v>
      </c>
      <c r="BU118" s="288">
        <v>3.4430039393564885E-2</v>
      </c>
      <c r="BV118" s="287">
        <v>0</v>
      </c>
      <c r="BW118" s="288">
        <v>0</v>
      </c>
      <c r="BX118" s="286">
        <v>100</v>
      </c>
      <c r="BY118" s="287">
        <v>0</v>
      </c>
      <c r="BZ118" s="288">
        <v>0</v>
      </c>
      <c r="CA118" s="286">
        <v>0.77494076897601916</v>
      </c>
      <c r="CB118" s="286">
        <v>0</v>
      </c>
      <c r="CC118" s="287">
        <v>1.2210686955809842</v>
      </c>
      <c r="CD118" s="286">
        <v>0</v>
      </c>
      <c r="CE118" s="286">
        <v>15.745253555222382</v>
      </c>
      <c r="CF118" s="286">
        <v>0</v>
      </c>
      <c r="CG118" s="287">
        <v>22.446986030691601</v>
      </c>
      <c r="CH118" s="288">
        <v>0</v>
      </c>
      <c r="CI118" s="286">
        <v>1.7780049512337746</v>
      </c>
      <c r="CJ118" s="286">
        <v>0</v>
      </c>
      <c r="CK118" s="287"/>
      <c r="CL118" s="288"/>
      <c r="CM118" s="286"/>
      <c r="CN118" s="287"/>
      <c r="CO118" s="289"/>
      <c r="CP118" s="290"/>
      <c r="CQ118" s="289"/>
      <c r="CR118" s="290"/>
      <c r="CS118" s="284"/>
      <c r="CT118" s="147"/>
      <c r="CU118" s="291"/>
      <c r="CV118" s="292"/>
    </row>
    <row r="119" spans="2:100">
      <c r="B119">
        <v>61</v>
      </c>
      <c r="C119" s="243">
        <v>0.99999999999999989</v>
      </c>
      <c r="D119" s="592">
        <v>0</v>
      </c>
      <c r="E119" s="245">
        <v>0</v>
      </c>
      <c r="F119" s="243">
        <v>0</v>
      </c>
      <c r="G119" s="245">
        <v>0</v>
      </c>
      <c r="H119" s="243">
        <v>0</v>
      </c>
      <c r="I119" s="245">
        <v>0</v>
      </c>
      <c r="J119" s="242">
        <v>0</v>
      </c>
      <c r="K119" s="242">
        <v>19.032516661532721</v>
      </c>
      <c r="L119" s="242">
        <v>5.0251256281407036E-3</v>
      </c>
      <c r="M119" s="243">
        <v>117.01816987579917</v>
      </c>
      <c r="N119" s="592">
        <v>32.855695111962675</v>
      </c>
      <c r="O119" s="245">
        <v>0.5673639682381979</v>
      </c>
      <c r="P119" s="245">
        <v>1.1980321157040179</v>
      </c>
      <c r="Q119" s="254">
        <v>0</v>
      </c>
      <c r="R119" s="255">
        <v>0</v>
      </c>
      <c r="S119" s="256">
        <v>0</v>
      </c>
      <c r="T119" s="257">
        <v>0</v>
      </c>
      <c r="U119" s="255">
        <v>0</v>
      </c>
      <c r="V119" s="256">
        <v>0</v>
      </c>
      <c r="W119" s="257">
        <v>0</v>
      </c>
      <c r="X119" s="255">
        <v>0</v>
      </c>
      <c r="Y119" s="256">
        <v>0</v>
      </c>
      <c r="Z119" s="257">
        <v>0</v>
      </c>
      <c r="AA119" s="255">
        <v>0</v>
      </c>
      <c r="AB119" s="256">
        <v>0</v>
      </c>
      <c r="AC119" s="257">
        <v>0</v>
      </c>
      <c r="AD119" s="255">
        <v>0</v>
      </c>
      <c r="AE119" s="256">
        <v>0</v>
      </c>
      <c r="AF119" s="257">
        <v>0</v>
      </c>
      <c r="AG119" s="255">
        <v>0</v>
      </c>
      <c r="AH119" s="256">
        <v>0</v>
      </c>
      <c r="AI119" s="257">
        <v>0</v>
      </c>
      <c r="AJ119" s="255">
        <v>0</v>
      </c>
      <c r="AK119" s="256">
        <v>0</v>
      </c>
      <c r="AL119" s="257">
        <v>0</v>
      </c>
      <c r="AM119" s="255">
        <v>0</v>
      </c>
      <c r="AN119" s="256">
        <v>0</v>
      </c>
      <c r="AO119" s="257">
        <v>0</v>
      </c>
      <c r="AP119" s="255">
        <v>0</v>
      </c>
      <c r="AQ119" s="256">
        <v>0</v>
      </c>
      <c r="AR119" s="257">
        <v>0</v>
      </c>
      <c r="AS119" s="255">
        <v>0</v>
      </c>
      <c r="AT119" s="256">
        <v>0</v>
      </c>
      <c r="AU119" s="257">
        <v>0</v>
      </c>
      <c r="AV119" s="255">
        <v>0</v>
      </c>
      <c r="AW119" s="256">
        <v>0</v>
      </c>
      <c r="AX119" s="257">
        <v>0</v>
      </c>
      <c r="AY119" s="243">
        <v>0</v>
      </c>
      <c r="AZ119" s="244">
        <v>0</v>
      </c>
      <c r="BA119" s="244">
        <v>0</v>
      </c>
      <c r="BB119" s="244">
        <v>0</v>
      </c>
      <c r="BC119" s="244">
        <v>0</v>
      </c>
      <c r="BD119" s="244">
        <v>0</v>
      </c>
      <c r="BE119" s="244">
        <v>0</v>
      </c>
      <c r="BF119" s="244">
        <v>0</v>
      </c>
      <c r="BG119" s="244">
        <v>0</v>
      </c>
      <c r="BH119" s="245">
        <v>0</v>
      </c>
      <c r="BK119">
        <v>61</v>
      </c>
      <c r="BL119" s="281">
        <v>0.69849246231155737</v>
      </c>
      <c r="BM119" s="281">
        <v>12463.899497487429</v>
      </c>
      <c r="BN119" s="282">
        <v>8263.3869346733773</v>
      </c>
      <c r="BO119" s="282">
        <v>164.60804020100556</v>
      </c>
      <c r="BP119" s="282">
        <v>0</v>
      </c>
      <c r="BQ119" s="283">
        <v>0</v>
      </c>
      <c r="BR119" s="284"/>
      <c r="BS119" s="147"/>
      <c r="BT119" s="285">
        <v>1</v>
      </c>
      <c r="BU119" s="288">
        <v>3.4430039393564885E-2</v>
      </c>
      <c r="BV119" s="287">
        <v>0</v>
      </c>
      <c r="BW119" s="288">
        <v>0</v>
      </c>
      <c r="BX119" s="286">
        <v>100</v>
      </c>
      <c r="BY119" s="287">
        <v>0</v>
      </c>
      <c r="BZ119" s="288">
        <v>0</v>
      </c>
      <c r="CA119" s="286">
        <v>0.77484966696268653</v>
      </c>
      <c r="CB119" s="286">
        <v>0</v>
      </c>
      <c r="CC119" s="287">
        <v>1.2210324408911952</v>
      </c>
      <c r="CD119" s="286">
        <v>0</v>
      </c>
      <c r="CE119" s="286">
        <v>15.74497732418239</v>
      </c>
      <c r="CF119" s="286">
        <v>0</v>
      </c>
      <c r="CG119" s="287">
        <v>22.448206117707997</v>
      </c>
      <c r="CH119" s="288">
        <v>0</v>
      </c>
      <c r="CI119" s="286">
        <v>1.7792456751752188</v>
      </c>
      <c r="CJ119" s="286">
        <v>0</v>
      </c>
      <c r="CK119" s="287"/>
      <c r="CL119" s="288"/>
      <c r="CM119" s="286"/>
      <c r="CN119" s="287"/>
      <c r="CO119" s="289"/>
      <c r="CP119" s="290"/>
      <c r="CQ119" s="289"/>
      <c r="CR119" s="290"/>
      <c r="CS119" s="284"/>
      <c r="CT119" s="147"/>
      <c r="CU119" s="291"/>
      <c r="CV119" s="292"/>
    </row>
    <row r="120" spans="2:100">
      <c r="B120">
        <v>62</v>
      </c>
      <c r="C120" s="243">
        <v>1</v>
      </c>
      <c r="D120" s="592">
        <v>0</v>
      </c>
      <c r="E120" s="245">
        <v>0</v>
      </c>
      <c r="F120" s="243">
        <v>0</v>
      </c>
      <c r="G120" s="245">
        <v>0</v>
      </c>
      <c r="H120" s="243">
        <v>0</v>
      </c>
      <c r="I120" s="245">
        <v>0</v>
      </c>
      <c r="J120" s="242">
        <v>0</v>
      </c>
      <c r="K120" s="242">
        <v>19.034759591150092</v>
      </c>
      <c r="L120" s="242">
        <v>5.0251256281407036E-3</v>
      </c>
      <c r="M120" s="243">
        <v>116.99090094076236</v>
      </c>
      <c r="N120" s="592">
        <v>32.812553135343229</v>
      </c>
      <c r="O120" s="245">
        <v>0.56739859015848704</v>
      </c>
      <c r="P120" s="245">
        <v>1.1981733004859707</v>
      </c>
      <c r="Q120" s="254">
        <v>0</v>
      </c>
      <c r="R120" s="255">
        <v>0</v>
      </c>
      <c r="S120" s="256">
        <v>0</v>
      </c>
      <c r="T120" s="257">
        <v>0</v>
      </c>
      <c r="U120" s="255">
        <v>0</v>
      </c>
      <c r="V120" s="256">
        <v>0</v>
      </c>
      <c r="W120" s="257">
        <v>0</v>
      </c>
      <c r="X120" s="255">
        <v>0</v>
      </c>
      <c r="Y120" s="256">
        <v>0</v>
      </c>
      <c r="Z120" s="257">
        <v>0</v>
      </c>
      <c r="AA120" s="255">
        <v>0</v>
      </c>
      <c r="AB120" s="256">
        <v>0</v>
      </c>
      <c r="AC120" s="257">
        <v>0</v>
      </c>
      <c r="AD120" s="255">
        <v>0</v>
      </c>
      <c r="AE120" s="256">
        <v>0</v>
      </c>
      <c r="AF120" s="257">
        <v>0</v>
      </c>
      <c r="AG120" s="255">
        <v>0</v>
      </c>
      <c r="AH120" s="256">
        <v>0</v>
      </c>
      <c r="AI120" s="257">
        <v>0</v>
      </c>
      <c r="AJ120" s="255">
        <v>0</v>
      </c>
      <c r="AK120" s="256">
        <v>0</v>
      </c>
      <c r="AL120" s="257">
        <v>0</v>
      </c>
      <c r="AM120" s="255">
        <v>0</v>
      </c>
      <c r="AN120" s="256">
        <v>0</v>
      </c>
      <c r="AO120" s="257">
        <v>0</v>
      </c>
      <c r="AP120" s="255">
        <v>0</v>
      </c>
      <c r="AQ120" s="256">
        <v>0</v>
      </c>
      <c r="AR120" s="257">
        <v>0</v>
      </c>
      <c r="AS120" s="255">
        <v>0</v>
      </c>
      <c r="AT120" s="256">
        <v>0</v>
      </c>
      <c r="AU120" s="257">
        <v>0</v>
      </c>
      <c r="AV120" s="255">
        <v>0</v>
      </c>
      <c r="AW120" s="256">
        <v>0</v>
      </c>
      <c r="AX120" s="257">
        <v>0</v>
      </c>
      <c r="AY120" s="243">
        <v>0</v>
      </c>
      <c r="AZ120" s="244">
        <v>0</v>
      </c>
      <c r="BA120" s="244">
        <v>0</v>
      </c>
      <c r="BB120" s="244">
        <v>0</v>
      </c>
      <c r="BC120" s="244">
        <v>0</v>
      </c>
      <c r="BD120" s="244">
        <v>0</v>
      </c>
      <c r="BE120" s="244">
        <v>0</v>
      </c>
      <c r="BF120" s="244">
        <v>0</v>
      </c>
      <c r="BG120" s="244">
        <v>0</v>
      </c>
      <c r="BH120" s="245">
        <v>0</v>
      </c>
      <c r="BK120">
        <v>62</v>
      </c>
      <c r="BL120" s="281">
        <v>0.69346733668341665</v>
      </c>
      <c r="BM120" s="281">
        <v>12374.231155778887</v>
      </c>
      <c r="BN120" s="282">
        <v>8231.0100502512669</v>
      </c>
      <c r="BO120" s="282">
        <v>164.30150753768899</v>
      </c>
      <c r="BP120" s="282">
        <v>0</v>
      </c>
      <c r="BQ120" s="283">
        <v>0</v>
      </c>
      <c r="BR120" s="284"/>
      <c r="BS120" s="147"/>
      <c r="BT120" s="285">
        <v>1</v>
      </c>
      <c r="BU120" s="288">
        <v>3.4430039393564885E-2</v>
      </c>
      <c r="BV120" s="287">
        <v>0</v>
      </c>
      <c r="BW120" s="288">
        <v>0</v>
      </c>
      <c r="BX120" s="286">
        <v>100</v>
      </c>
      <c r="BY120" s="287">
        <v>0</v>
      </c>
      <c r="BZ120" s="288">
        <v>0</v>
      </c>
      <c r="CA120" s="286">
        <v>0.77475836382545937</v>
      </c>
      <c r="CB120" s="286">
        <v>0</v>
      </c>
      <c r="CC120" s="287">
        <v>1.2209961769225255</v>
      </c>
      <c r="CD120" s="286">
        <v>0</v>
      </c>
      <c r="CE120" s="286">
        <v>15.74469754836236</v>
      </c>
      <c r="CF120" s="286">
        <v>0</v>
      </c>
      <c r="CG120" s="287">
        <v>22.449426288594783</v>
      </c>
      <c r="CH120" s="288">
        <v>0</v>
      </c>
      <c r="CI120" s="286">
        <v>1.7805004091357024</v>
      </c>
      <c r="CJ120" s="286">
        <v>0</v>
      </c>
      <c r="CK120" s="287"/>
      <c r="CL120" s="288"/>
      <c r="CM120" s="286"/>
      <c r="CN120" s="287"/>
      <c r="CO120" s="289"/>
      <c r="CP120" s="290"/>
      <c r="CQ120" s="289"/>
      <c r="CR120" s="290"/>
      <c r="CS120" s="284"/>
      <c r="CT120" s="147"/>
      <c r="CU120" s="291"/>
      <c r="CV120" s="292"/>
    </row>
    <row r="121" spans="2:100">
      <c r="B121">
        <v>63</v>
      </c>
      <c r="C121" s="243">
        <v>1</v>
      </c>
      <c r="D121" s="592">
        <v>0</v>
      </c>
      <c r="E121" s="245">
        <v>0</v>
      </c>
      <c r="F121" s="243">
        <v>0</v>
      </c>
      <c r="G121" s="245">
        <v>0</v>
      </c>
      <c r="H121" s="243">
        <v>0</v>
      </c>
      <c r="I121" s="245">
        <v>0</v>
      </c>
      <c r="J121" s="242">
        <v>0</v>
      </c>
      <c r="K121" s="242">
        <v>19.037008014389976</v>
      </c>
      <c r="L121" s="242">
        <v>5.0251256281407036E-3</v>
      </c>
      <c r="M121" s="243">
        <v>116.96383581934563</v>
      </c>
      <c r="N121" s="592">
        <v>32.769209391991829</v>
      </c>
      <c r="O121" s="245">
        <v>0.5674339184537277</v>
      </c>
      <c r="P121" s="245">
        <v>1.1983148310727545</v>
      </c>
      <c r="Q121" s="254">
        <v>0</v>
      </c>
      <c r="R121" s="255">
        <v>0</v>
      </c>
      <c r="S121" s="256">
        <v>0</v>
      </c>
      <c r="T121" s="257">
        <v>0</v>
      </c>
      <c r="U121" s="255">
        <v>0</v>
      </c>
      <c r="V121" s="256">
        <v>0</v>
      </c>
      <c r="W121" s="257">
        <v>0</v>
      </c>
      <c r="X121" s="255">
        <v>0</v>
      </c>
      <c r="Y121" s="256">
        <v>0</v>
      </c>
      <c r="Z121" s="257">
        <v>0</v>
      </c>
      <c r="AA121" s="255">
        <v>0</v>
      </c>
      <c r="AB121" s="256">
        <v>0</v>
      </c>
      <c r="AC121" s="257">
        <v>0</v>
      </c>
      <c r="AD121" s="255">
        <v>0</v>
      </c>
      <c r="AE121" s="256">
        <v>0</v>
      </c>
      <c r="AF121" s="257">
        <v>0</v>
      </c>
      <c r="AG121" s="255">
        <v>0</v>
      </c>
      <c r="AH121" s="256">
        <v>0</v>
      </c>
      <c r="AI121" s="257">
        <v>0</v>
      </c>
      <c r="AJ121" s="255">
        <v>0</v>
      </c>
      <c r="AK121" s="256">
        <v>0</v>
      </c>
      <c r="AL121" s="257">
        <v>0</v>
      </c>
      <c r="AM121" s="255">
        <v>0</v>
      </c>
      <c r="AN121" s="256">
        <v>0</v>
      </c>
      <c r="AO121" s="257">
        <v>0</v>
      </c>
      <c r="AP121" s="255">
        <v>0</v>
      </c>
      <c r="AQ121" s="256">
        <v>0</v>
      </c>
      <c r="AR121" s="257">
        <v>0</v>
      </c>
      <c r="AS121" s="255">
        <v>0</v>
      </c>
      <c r="AT121" s="256">
        <v>0</v>
      </c>
      <c r="AU121" s="257">
        <v>0</v>
      </c>
      <c r="AV121" s="255">
        <v>0</v>
      </c>
      <c r="AW121" s="256">
        <v>0</v>
      </c>
      <c r="AX121" s="257">
        <v>0</v>
      </c>
      <c r="AY121" s="243">
        <v>0</v>
      </c>
      <c r="AZ121" s="244">
        <v>0</v>
      </c>
      <c r="BA121" s="244">
        <v>0</v>
      </c>
      <c r="BB121" s="244">
        <v>0</v>
      </c>
      <c r="BC121" s="244">
        <v>0</v>
      </c>
      <c r="BD121" s="244">
        <v>0</v>
      </c>
      <c r="BE121" s="244">
        <v>0</v>
      </c>
      <c r="BF121" s="244">
        <v>0</v>
      </c>
      <c r="BG121" s="244">
        <v>0</v>
      </c>
      <c r="BH121" s="245">
        <v>0</v>
      </c>
      <c r="BK121">
        <v>63</v>
      </c>
      <c r="BL121" s="281">
        <v>0.68844221105527603</v>
      </c>
      <c r="BM121" s="281">
        <v>12284.562814070345</v>
      </c>
      <c r="BN121" s="282">
        <v>8198.6331658291565</v>
      </c>
      <c r="BO121" s="282">
        <v>163.99497487437242</v>
      </c>
      <c r="BP121" s="282">
        <v>0</v>
      </c>
      <c r="BQ121" s="283">
        <v>0</v>
      </c>
      <c r="BR121" s="284"/>
      <c r="BS121" s="147"/>
      <c r="BT121" s="285">
        <v>1</v>
      </c>
      <c r="BU121" s="288">
        <v>3.4430039393564885E-2</v>
      </c>
      <c r="BV121" s="287">
        <v>0</v>
      </c>
      <c r="BW121" s="288">
        <v>0</v>
      </c>
      <c r="BX121" s="286">
        <v>100</v>
      </c>
      <c r="BY121" s="287">
        <v>0</v>
      </c>
      <c r="BZ121" s="288">
        <v>0</v>
      </c>
      <c r="CA121" s="286">
        <v>0.77466685865252427</v>
      </c>
      <c r="CB121" s="286">
        <v>0</v>
      </c>
      <c r="CC121" s="287">
        <v>1.2209599036508101</v>
      </c>
      <c r="CD121" s="286">
        <v>0</v>
      </c>
      <c r="CE121" s="286">
        <v>15.74441421106545</v>
      </c>
      <c r="CF121" s="286">
        <v>0</v>
      </c>
      <c r="CG121" s="287">
        <v>22.450646543194757</v>
      </c>
      <c r="CH121" s="288">
        <v>0</v>
      </c>
      <c r="CI121" s="286">
        <v>1.7817691592833522</v>
      </c>
      <c r="CJ121" s="286">
        <v>0</v>
      </c>
      <c r="CK121" s="287"/>
      <c r="CL121" s="288"/>
      <c r="CM121" s="286"/>
      <c r="CN121" s="287"/>
      <c r="CO121" s="289"/>
      <c r="CP121" s="290"/>
      <c r="CQ121" s="289"/>
      <c r="CR121" s="290"/>
      <c r="CS121" s="284"/>
      <c r="CT121" s="147"/>
      <c r="CU121" s="291"/>
      <c r="CV121" s="292"/>
    </row>
    <row r="122" spans="2:100">
      <c r="B122">
        <v>64</v>
      </c>
      <c r="C122" s="243">
        <v>1</v>
      </c>
      <c r="D122" s="592">
        <v>0</v>
      </c>
      <c r="E122" s="245">
        <v>0</v>
      </c>
      <c r="F122" s="243">
        <v>0</v>
      </c>
      <c r="G122" s="245">
        <v>0</v>
      </c>
      <c r="H122" s="243">
        <v>0</v>
      </c>
      <c r="I122" s="245">
        <v>0</v>
      </c>
      <c r="J122" s="242">
        <v>0</v>
      </c>
      <c r="K122" s="242">
        <v>19.039261957516715</v>
      </c>
      <c r="L122" s="242">
        <v>5.0251256281407036E-3</v>
      </c>
      <c r="M122" s="243">
        <v>116.93697549980563</v>
      </c>
      <c r="N122" s="592">
        <v>32.725665189308209</v>
      </c>
      <c r="O122" s="245">
        <v>0.5674699444030683</v>
      </c>
      <c r="P122" s="245">
        <v>1.1984567091176195</v>
      </c>
      <c r="Q122" s="254">
        <v>0</v>
      </c>
      <c r="R122" s="255">
        <v>0</v>
      </c>
      <c r="S122" s="256">
        <v>0</v>
      </c>
      <c r="T122" s="257">
        <v>0</v>
      </c>
      <c r="U122" s="255">
        <v>0</v>
      </c>
      <c r="V122" s="256">
        <v>0</v>
      </c>
      <c r="W122" s="257">
        <v>0</v>
      </c>
      <c r="X122" s="255">
        <v>0</v>
      </c>
      <c r="Y122" s="256">
        <v>0</v>
      </c>
      <c r="Z122" s="257">
        <v>0</v>
      </c>
      <c r="AA122" s="255">
        <v>0</v>
      </c>
      <c r="AB122" s="256">
        <v>0</v>
      </c>
      <c r="AC122" s="257">
        <v>0</v>
      </c>
      <c r="AD122" s="255">
        <v>0</v>
      </c>
      <c r="AE122" s="256">
        <v>0</v>
      </c>
      <c r="AF122" s="257">
        <v>0</v>
      </c>
      <c r="AG122" s="255">
        <v>0</v>
      </c>
      <c r="AH122" s="256">
        <v>0</v>
      </c>
      <c r="AI122" s="257">
        <v>0</v>
      </c>
      <c r="AJ122" s="255">
        <v>0</v>
      </c>
      <c r="AK122" s="256">
        <v>0</v>
      </c>
      <c r="AL122" s="257">
        <v>0</v>
      </c>
      <c r="AM122" s="255">
        <v>0</v>
      </c>
      <c r="AN122" s="256">
        <v>0</v>
      </c>
      <c r="AO122" s="257">
        <v>0</v>
      </c>
      <c r="AP122" s="255">
        <v>0</v>
      </c>
      <c r="AQ122" s="256">
        <v>0</v>
      </c>
      <c r="AR122" s="257">
        <v>0</v>
      </c>
      <c r="AS122" s="255">
        <v>0</v>
      </c>
      <c r="AT122" s="256">
        <v>0</v>
      </c>
      <c r="AU122" s="257">
        <v>0</v>
      </c>
      <c r="AV122" s="255">
        <v>0</v>
      </c>
      <c r="AW122" s="256">
        <v>0</v>
      </c>
      <c r="AX122" s="257">
        <v>0</v>
      </c>
      <c r="AY122" s="243">
        <v>0</v>
      </c>
      <c r="AZ122" s="244">
        <v>0</v>
      </c>
      <c r="BA122" s="244">
        <v>0</v>
      </c>
      <c r="BB122" s="244">
        <v>0</v>
      </c>
      <c r="BC122" s="244">
        <v>0</v>
      </c>
      <c r="BD122" s="244">
        <v>0</v>
      </c>
      <c r="BE122" s="244">
        <v>0</v>
      </c>
      <c r="BF122" s="244">
        <v>0</v>
      </c>
      <c r="BG122" s="244">
        <v>0</v>
      </c>
      <c r="BH122" s="245">
        <v>0</v>
      </c>
      <c r="BK122">
        <v>64</v>
      </c>
      <c r="BL122" s="281">
        <v>0.68341708542713531</v>
      </c>
      <c r="BM122" s="281">
        <v>12194.894472361802</v>
      </c>
      <c r="BN122" s="282">
        <v>8166.2562814070461</v>
      </c>
      <c r="BO122" s="282">
        <v>163.68844221105584</v>
      </c>
      <c r="BP122" s="282">
        <v>0</v>
      </c>
      <c r="BQ122" s="283">
        <v>0</v>
      </c>
      <c r="BR122" s="284"/>
      <c r="BS122" s="147"/>
      <c r="BT122" s="285">
        <v>1</v>
      </c>
      <c r="BU122" s="288">
        <v>3.4430039393564885E-2</v>
      </c>
      <c r="BV122" s="287">
        <v>0</v>
      </c>
      <c r="BW122" s="288">
        <v>0</v>
      </c>
      <c r="BX122" s="286">
        <v>100</v>
      </c>
      <c r="BY122" s="287">
        <v>0</v>
      </c>
      <c r="BZ122" s="288">
        <v>0</v>
      </c>
      <c r="CA122" s="286">
        <v>0.77457515052615555</v>
      </c>
      <c r="CB122" s="286">
        <v>0</v>
      </c>
      <c r="CC122" s="287">
        <v>1.2209236210518142</v>
      </c>
      <c r="CD122" s="286">
        <v>0</v>
      </c>
      <c r="CE122" s="286">
        <v>15.744127295485679</v>
      </c>
      <c r="CF122" s="286">
        <v>0</v>
      </c>
      <c r="CG122" s="287">
        <v>22.451866881349886</v>
      </c>
      <c r="CH122" s="288">
        <v>0</v>
      </c>
      <c r="CI122" s="286">
        <v>1.7830519321168234</v>
      </c>
      <c r="CJ122" s="286">
        <v>0</v>
      </c>
      <c r="CK122" s="287"/>
      <c r="CL122" s="288"/>
      <c r="CM122" s="286"/>
      <c r="CN122" s="287"/>
      <c r="CO122" s="289"/>
      <c r="CP122" s="290"/>
      <c r="CQ122" s="289"/>
      <c r="CR122" s="290"/>
      <c r="CS122" s="284"/>
      <c r="CT122" s="147"/>
      <c r="CU122" s="291"/>
      <c r="CV122" s="292"/>
    </row>
    <row r="123" spans="2:100">
      <c r="B123">
        <v>65</v>
      </c>
      <c r="C123" s="243">
        <v>1.0000000000000002</v>
      </c>
      <c r="D123" s="592">
        <v>0</v>
      </c>
      <c r="E123" s="245">
        <v>0</v>
      </c>
      <c r="F123" s="243">
        <v>0</v>
      </c>
      <c r="G123" s="245">
        <v>0</v>
      </c>
      <c r="H123" s="243">
        <v>0</v>
      </c>
      <c r="I123" s="245">
        <v>0</v>
      </c>
      <c r="J123" s="242">
        <v>0</v>
      </c>
      <c r="K123" s="242">
        <v>19.04152144697311</v>
      </c>
      <c r="L123" s="242">
        <v>5.0251256281407036E-3</v>
      </c>
      <c r="M123" s="243">
        <v>116.91032097733604</v>
      </c>
      <c r="N123" s="592">
        <v>32.681921834839223</v>
      </c>
      <c r="O123" s="245">
        <v>0.56750665923125365</v>
      </c>
      <c r="P123" s="245">
        <v>1.1985989362850509</v>
      </c>
      <c r="Q123" s="254">
        <v>0</v>
      </c>
      <c r="R123" s="255">
        <v>0</v>
      </c>
      <c r="S123" s="256">
        <v>0</v>
      </c>
      <c r="T123" s="257">
        <v>0</v>
      </c>
      <c r="U123" s="255">
        <v>0</v>
      </c>
      <c r="V123" s="256">
        <v>0</v>
      </c>
      <c r="W123" s="257">
        <v>0</v>
      </c>
      <c r="X123" s="255">
        <v>0</v>
      </c>
      <c r="Y123" s="256">
        <v>0</v>
      </c>
      <c r="Z123" s="257">
        <v>0</v>
      </c>
      <c r="AA123" s="255">
        <v>0</v>
      </c>
      <c r="AB123" s="256">
        <v>0</v>
      </c>
      <c r="AC123" s="257">
        <v>0</v>
      </c>
      <c r="AD123" s="255">
        <v>0</v>
      </c>
      <c r="AE123" s="256">
        <v>0</v>
      </c>
      <c r="AF123" s="257">
        <v>0</v>
      </c>
      <c r="AG123" s="255">
        <v>0</v>
      </c>
      <c r="AH123" s="256">
        <v>0</v>
      </c>
      <c r="AI123" s="257">
        <v>0</v>
      </c>
      <c r="AJ123" s="255">
        <v>0</v>
      </c>
      <c r="AK123" s="256">
        <v>0</v>
      </c>
      <c r="AL123" s="257">
        <v>0</v>
      </c>
      <c r="AM123" s="255">
        <v>0</v>
      </c>
      <c r="AN123" s="256">
        <v>0</v>
      </c>
      <c r="AO123" s="257">
        <v>0</v>
      </c>
      <c r="AP123" s="255">
        <v>0</v>
      </c>
      <c r="AQ123" s="256">
        <v>0</v>
      </c>
      <c r="AR123" s="257">
        <v>0</v>
      </c>
      <c r="AS123" s="255">
        <v>0</v>
      </c>
      <c r="AT123" s="256">
        <v>0</v>
      </c>
      <c r="AU123" s="257">
        <v>0</v>
      </c>
      <c r="AV123" s="255">
        <v>0</v>
      </c>
      <c r="AW123" s="256">
        <v>0</v>
      </c>
      <c r="AX123" s="257">
        <v>0</v>
      </c>
      <c r="AY123" s="243">
        <v>0</v>
      </c>
      <c r="AZ123" s="244">
        <v>0</v>
      </c>
      <c r="BA123" s="244">
        <v>0</v>
      </c>
      <c r="BB123" s="244">
        <v>0</v>
      </c>
      <c r="BC123" s="244">
        <v>0</v>
      </c>
      <c r="BD123" s="244">
        <v>0</v>
      </c>
      <c r="BE123" s="244">
        <v>0</v>
      </c>
      <c r="BF123" s="244">
        <v>0</v>
      </c>
      <c r="BG123" s="244">
        <v>0</v>
      </c>
      <c r="BH123" s="245">
        <v>0</v>
      </c>
      <c r="BK123">
        <v>65</v>
      </c>
      <c r="BL123" s="281">
        <v>0.67839195979899458</v>
      </c>
      <c r="BM123" s="281">
        <v>12105.22613065326</v>
      </c>
      <c r="BN123" s="282">
        <v>8133.8793969849357</v>
      </c>
      <c r="BO123" s="282">
        <v>163.38190954773927</v>
      </c>
      <c r="BP123" s="282">
        <v>0</v>
      </c>
      <c r="BQ123" s="283">
        <v>0</v>
      </c>
      <c r="BR123" s="284"/>
      <c r="BS123" s="147"/>
      <c r="BT123" s="285">
        <v>1</v>
      </c>
      <c r="BU123" s="288">
        <v>3.4430039393564885E-2</v>
      </c>
      <c r="BV123" s="287">
        <v>0</v>
      </c>
      <c r="BW123" s="288">
        <v>0</v>
      </c>
      <c r="BX123" s="286">
        <v>100</v>
      </c>
      <c r="BY123" s="287">
        <v>0</v>
      </c>
      <c r="BZ123" s="288">
        <v>0</v>
      </c>
      <c r="CA123" s="286">
        <v>0.77448323852265943</v>
      </c>
      <c r="CB123" s="286">
        <v>0</v>
      </c>
      <c r="CC123" s="287">
        <v>1.2208873291012281</v>
      </c>
      <c r="CD123" s="286">
        <v>0</v>
      </c>
      <c r="CE123" s="286">
        <v>15.743836784706936</v>
      </c>
      <c r="CF123" s="286">
        <v>0</v>
      </c>
      <c r="CG123" s="287">
        <v>22.453087302901196</v>
      </c>
      <c r="CH123" s="288">
        <v>0</v>
      </c>
      <c r="CI123" s="286">
        <v>1.7843487344636215</v>
      </c>
      <c r="CJ123" s="286">
        <v>0</v>
      </c>
      <c r="CK123" s="287"/>
      <c r="CL123" s="288"/>
      <c r="CM123" s="286"/>
      <c r="CN123" s="287"/>
      <c r="CO123" s="289"/>
      <c r="CP123" s="290"/>
      <c r="CQ123" s="289"/>
      <c r="CR123" s="290"/>
      <c r="CS123" s="284"/>
      <c r="CT123" s="147"/>
      <c r="CU123" s="291"/>
      <c r="CV123" s="292"/>
    </row>
    <row r="124" spans="2:100">
      <c r="B124">
        <v>66</v>
      </c>
      <c r="C124" s="243">
        <v>1</v>
      </c>
      <c r="D124" s="592">
        <v>0</v>
      </c>
      <c r="E124" s="245">
        <v>0</v>
      </c>
      <c r="F124" s="243">
        <v>0</v>
      </c>
      <c r="G124" s="245">
        <v>0</v>
      </c>
      <c r="H124" s="243">
        <v>0</v>
      </c>
      <c r="I124" s="245">
        <v>0</v>
      </c>
      <c r="J124" s="242">
        <v>0</v>
      </c>
      <c r="K124" s="242">
        <v>19.043786509382077</v>
      </c>
      <c r="L124" s="242">
        <v>5.0251256281407036E-3</v>
      </c>
      <c r="M124" s="243">
        <v>116.88387325413315</v>
      </c>
      <c r="N124" s="592">
        <v>32.637980636248436</v>
      </c>
      <c r="O124" s="245">
        <v>0.56754405410859565</v>
      </c>
      <c r="P124" s="245">
        <v>1.1987415142508697</v>
      </c>
      <c r="Q124" s="254">
        <v>0</v>
      </c>
      <c r="R124" s="255">
        <v>0</v>
      </c>
      <c r="S124" s="256">
        <v>0</v>
      </c>
      <c r="T124" s="257">
        <v>0</v>
      </c>
      <c r="U124" s="255">
        <v>0</v>
      </c>
      <c r="V124" s="256">
        <v>0</v>
      </c>
      <c r="W124" s="257">
        <v>0</v>
      </c>
      <c r="X124" s="255">
        <v>0</v>
      </c>
      <c r="Y124" s="256">
        <v>0</v>
      </c>
      <c r="Z124" s="257">
        <v>0</v>
      </c>
      <c r="AA124" s="255">
        <v>0</v>
      </c>
      <c r="AB124" s="256">
        <v>0</v>
      </c>
      <c r="AC124" s="257">
        <v>0</v>
      </c>
      <c r="AD124" s="255">
        <v>0</v>
      </c>
      <c r="AE124" s="256">
        <v>0</v>
      </c>
      <c r="AF124" s="257">
        <v>0</v>
      </c>
      <c r="AG124" s="255">
        <v>0</v>
      </c>
      <c r="AH124" s="256">
        <v>0</v>
      </c>
      <c r="AI124" s="257">
        <v>0</v>
      </c>
      <c r="AJ124" s="255">
        <v>0</v>
      </c>
      <c r="AK124" s="256">
        <v>0</v>
      </c>
      <c r="AL124" s="257">
        <v>0</v>
      </c>
      <c r="AM124" s="255">
        <v>0</v>
      </c>
      <c r="AN124" s="256">
        <v>0</v>
      </c>
      <c r="AO124" s="257">
        <v>0</v>
      </c>
      <c r="AP124" s="255">
        <v>0</v>
      </c>
      <c r="AQ124" s="256">
        <v>0</v>
      </c>
      <c r="AR124" s="257">
        <v>0</v>
      </c>
      <c r="AS124" s="255">
        <v>0</v>
      </c>
      <c r="AT124" s="256">
        <v>0</v>
      </c>
      <c r="AU124" s="257">
        <v>0</v>
      </c>
      <c r="AV124" s="255">
        <v>0</v>
      </c>
      <c r="AW124" s="256">
        <v>0</v>
      </c>
      <c r="AX124" s="257">
        <v>0</v>
      </c>
      <c r="AY124" s="243">
        <v>0</v>
      </c>
      <c r="AZ124" s="244">
        <v>0</v>
      </c>
      <c r="BA124" s="244">
        <v>0</v>
      </c>
      <c r="BB124" s="244">
        <v>0</v>
      </c>
      <c r="BC124" s="244">
        <v>0</v>
      </c>
      <c r="BD124" s="244">
        <v>0</v>
      </c>
      <c r="BE124" s="244">
        <v>0</v>
      </c>
      <c r="BF124" s="244">
        <v>0</v>
      </c>
      <c r="BG124" s="244">
        <v>0</v>
      </c>
      <c r="BH124" s="245">
        <v>0</v>
      </c>
      <c r="BK124">
        <v>66</v>
      </c>
      <c r="BL124" s="281">
        <v>0.67336683417085397</v>
      </c>
      <c r="BM124" s="281">
        <v>12015.557788944718</v>
      </c>
      <c r="BN124" s="282">
        <v>8101.5025125628254</v>
      </c>
      <c r="BO124" s="282">
        <v>163.0753768844227</v>
      </c>
      <c r="BP124" s="282">
        <v>0</v>
      </c>
      <c r="BQ124" s="283">
        <v>0</v>
      </c>
      <c r="BR124" s="284"/>
      <c r="BS124" s="147"/>
      <c r="BT124" s="285">
        <v>1</v>
      </c>
      <c r="BU124" s="288">
        <v>3.4430039393564885E-2</v>
      </c>
      <c r="BV124" s="287">
        <v>0</v>
      </c>
      <c r="BW124" s="288">
        <v>0</v>
      </c>
      <c r="BX124" s="286">
        <v>100</v>
      </c>
      <c r="BY124" s="287">
        <v>0</v>
      </c>
      <c r="BZ124" s="288">
        <v>0</v>
      </c>
      <c r="CA124" s="286">
        <v>0.77439112171232416</v>
      </c>
      <c r="CB124" s="286">
        <v>0</v>
      </c>
      <c r="CC124" s="287">
        <v>1.2208510277746634</v>
      </c>
      <c r="CD124" s="286">
        <v>0</v>
      </c>
      <c r="CE124" s="286">
        <v>15.743542661702032</v>
      </c>
      <c r="CF124" s="286">
        <v>0</v>
      </c>
      <c r="CG124" s="287">
        <v>22.454307807688789</v>
      </c>
      <c r="CH124" s="288">
        <v>0</v>
      </c>
      <c r="CI124" s="286">
        <v>1.7856595734786451</v>
      </c>
      <c r="CJ124" s="286">
        <v>0</v>
      </c>
      <c r="CK124" s="287"/>
      <c r="CL124" s="288"/>
      <c r="CM124" s="286"/>
      <c r="CN124" s="287"/>
      <c r="CO124" s="289"/>
      <c r="CP124" s="290"/>
      <c r="CQ124" s="289"/>
      <c r="CR124" s="290"/>
      <c r="CS124" s="284"/>
      <c r="CT124" s="147"/>
      <c r="CU124" s="291"/>
      <c r="CV124" s="292"/>
    </row>
    <row r="125" spans="2:100">
      <c r="B125">
        <v>67</v>
      </c>
      <c r="C125" s="243">
        <v>1</v>
      </c>
      <c r="D125" s="592">
        <v>0</v>
      </c>
      <c r="E125" s="245">
        <v>0</v>
      </c>
      <c r="F125" s="243">
        <v>0</v>
      </c>
      <c r="G125" s="245">
        <v>0</v>
      </c>
      <c r="H125" s="243">
        <v>0</v>
      </c>
      <c r="I125" s="245">
        <v>0</v>
      </c>
      <c r="J125" s="242">
        <v>0</v>
      </c>
      <c r="K125" s="242">
        <v>19.046057171548142</v>
      </c>
      <c r="L125" s="242">
        <v>5.0251256281407036E-3</v>
      </c>
      <c r="M125" s="243">
        <v>116.85763333946086</v>
      </c>
      <c r="N125" s="592">
        <v>32.593842901289911</v>
      </c>
      <c r="O125" s="245">
        <v>0.56758212015093046</v>
      </c>
      <c r="P125" s="245">
        <v>1.1988844447023304</v>
      </c>
      <c r="Q125" s="254">
        <v>0</v>
      </c>
      <c r="R125" s="255">
        <v>0</v>
      </c>
      <c r="S125" s="256">
        <v>0</v>
      </c>
      <c r="T125" s="257">
        <v>0</v>
      </c>
      <c r="U125" s="255">
        <v>0</v>
      </c>
      <c r="V125" s="256">
        <v>0</v>
      </c>
      <c r="W125" s="257">
        <v>0</v>
      </c>
      <c r="X125" s="255">
        <v>0</v>
      </c>
      <c r="Y125" s="256">
        <v>0</v>
      </c>
      <c r="Z125" s="257">
        <v>0</v>
      </c>
      <c r="AA125" s="255">
        <v>0</v>
      </c>
      <c r="AB125" s="256">
        <v>0</v>
      </c>
      <c r="AC125" s="257">
        <v>0</v>
      </c>
      <c r="AD125" s="255">
        <v>0</v>
      </c>
      <c r="AE125" s="256">
        <v>0</v>
      </c>
      <c r="AF125" s="257">
        <v>0</v>
      </c>
      <c r="AG125" s="255">
        <v>0</v>
      </c>
      <c r="AH125" s="256">
        <v>0</v>
      </c>
      <c r="AI125" s="257">
        <v>0</v>
      </c>
      <c r="AJ125" s="255">
        <v>0</v>
      </c>
      <c r="AK125" s="256">
        <v>0</v>
      </c>
      <c r="AL125" s="257">
        <v>0</v>
      </c>
      <c r="AM125" s="255">
        <v>0</v>
      </c>
      <c r="AN125" s="256">
        <v>0</v>
      </c>
      <c r="AO125" s="257">
        <v>0</v>
      </c>
      <c r="AP125" s="255">
        <v>0</v>
      </c>
      <c r="AQ125" s="256">
        <v>0</v>
      </c>
      <c r="AR125" s="257">
        <v>0</v>
      </c>
      <c r="AS125" s="255">
        <v>0</v>
      </c>
      <c r="AT125" s="256">
        <v>0</v>
      </c>
      <c r="AU125" s="257">
        <v>0</v>
      </c>
      <c r="AV125" s="255">
        <v>0</v>
      </c>
      <c r="AW125" s="256">
        <v>0</v>
      </c>
      <c r="AX125" s="257">
        <v>0</v>
      </c>
      <c r="AY125" s="243">
        <v>0</v>
      </c>
      <c r="AZ125" s="244">
        <v>0</v>
      </c>
      <c r="BA125" s="244">
        <v>0</v>
      </c>
      <c r="BB125" s="244">
        <v>0</v>
      </c>
      <c r="BC125" s="244">
        <v>0</v>
      </c>
      <c r="BD125" s="244">
        <v>0</v>
      </c>
      <c r="BE125" s="244">
        <v>0</v>
      </c>
      <c r="BF125" s="244">
        <v>0</v>
      </c>
      <c r="BG125" s="244">
        <v>0</v>
      </c>
      <c r="BH125" s="245">
        <v>0</v>
      </c>
      <c r="BK125">
        <v>67</v>
      </c>
      <c r="BL125" s="281">
        <v>0.66834170854271324</v>
      </c>
      <c r="BM125" s="281">
        <v>11925.889447236175</v>
      </c>
      <c r="BN125" s="282">
        <v>8069.125628140715</v>
      </c>
      <c r="BO125" s="282">
        <v>162.76884422110612</v>
      </c>
      <c r="BP125" s="282">
        <v>0</v>
      </c>
      <c r="BQ125" s="283">
        <v>0</v>
      </c>
      <c r="BR125" s="284"/>
      <c r="BS125" s="147"/>
      <c r="BT125" s="285">
        <v>1</v>
      </c>
      <c r="BU125" s="288">
        <v>3.4430039393564885E-2</v>
      </c>
      <c r="BV125" s="287">
        <v>0</v>
      </c>
      <c r="BW125" s="288">
        <v>0</v>
      </c>
      <c r="BX125" s="286">
        <v>100</v>
      </c>
      <c r="BY125" s="287">
        <v>0</v>
      </c>
      <c r="BZ125" s="288">
        <v>0</v>
      </c>
      <c r="CA125" s="286">
        <v>0.77429879915936872</v>
      </c>
      <c r="CB125" s="286">
        <v>0</v>
      </c>
      <c r="CC125" s="287">
        <v>1.22081471704766</v>
      </c>
      <c r="CD125" s="286">
        <v>0</v>
      </c>
      <c r="CE125" s="286">
        <v>15.74324490933178</v>
      </c>
      <c r="CF125" s="286">
        <v>0</v>
      </c>
      <c r="CG125" s="287">
        <v>22.455528395551884</v>
      </c>
      <c r="CH125" s="288">
        <v>0</v>
      </c>
      <c r="CI125" s="286">
        <v>1.7869844566425328</v>
      </c>
      <c r="CJ125" s="286">
        <v>0</v>
      </c>
      <c r="CK125" s="287"/>
      <c r="CL125" s="288"/>
      <c r="CM125" s="286"/>
      <c r="CN125" s="287"/>
      <c r="CO125" s="289"/>
      <c r="CP125" s="290"/>
      <c r="CQ125" s="289"/>
      <c r="CR125" s="290"/>
      <c r="CS125" s="284"/>
      <c r="CT125" s="147"/>
      <c r="CU125" s="291"/>
      <c r="CV125" s="292"/>
    </row>
    <row r="126" spans="2:100">
      <c r="B126">
        <v>68</v>
      </c>
      <c r="C126" s="243">
        <v>1</v>
      </c>
      <c r="D126" s="592">
        <v>0</v>
      </c>
      <c r="E126" s="245">
        <v>0</v>
      </c>
      <c r="F126" s="243">
        <v>0</v>
      </c>
      <c r="G126" s="245">
        <v>0</v>
      </c>
      <c r="H126" s="243">
        <v>0</v>
      </c>
      <c r="I126" s="245">
        <v>0</v>
      </c>
      <c r="J126" s="242">
        <v>0</v>
      </c>
      <c r="K126" s="242">
        <v>19.048333460459155</v>
      </c>
      <c r="L126" s="242">
        <v>5.0251256281407036E-3</v>
      </c>
      <c r="M126" s="243">
        <v>116.83160224971202</v>
      </c>
      <c r="N126" s="592">
        <v>32.549509937778026</v>
      </c>
      <c r="O126" s="245">
        <v>0.56762084841958527</v>
      </c>
      <c r="P126" s="245">
        <v>1.1990277293382252</v>
      </c>
      <c r="Q126" s="254">
        <v>0</v>
      </c>
      <c r="R126" s="255">
        <v>0</v>
      </c>
      <c r="S126" s="256">
        <v>0</v>
      </c>
      <c r="T126" s="257">
        <v>0</v>
      </c>
      <c r="U126" s="255">
        <v>0</v>
      </c>
      <c r="V126" s="256">
        <v>0</v>
      </c>
      <c r="W126" s="257">
        <v>0</v>
      </c>
      <c r="X126" s="255">
        <v>0</v>
      </c>
      <c r="Y126" s="256">
        <v>0</v>
      </c>
      <c r="Z126" s="257">
        <v>0</v>
      </c>
      <c r="AA126" s="255">
        <v>0</v>
      </c>
      <c r="AB126" s="256">
        <v>0</v>
      </c>
      <c r="AC126" s="257">
        <v>0</v>
      </c>
      <c r="AD126" s="255">
        <v>0</v>
      </c>
      <c r="AE126" s="256">
        <v>0</v>
      </c>
      <c r="AF126" s="257">
        <v>0</v>
      </c>
      <c r="AG126" s="255">
        <v>0</v>
      </c>
      <c r="AH126" s="256">
        <v>0</v>
      </c>
      <c r="AI126" s="257">
        <v>0</v>
      </c>
      <c r="AJ126" s="255">
        <v>0</v>
      </c>
      <c r="AK126" s="256">
        <v>0</v>
      </c>
      <c r="AL126" s="257">
        <v>0</v>
      </c>
      <c r="AM126" s="255">
        <v>0</v>
      </c>
      <c r="AN126" s="256">
        <v>0</v>
      </c>
      <c r="AO126" s="257">
        <v>0</v>
      </c>
      <c r="AP126" s="255">
        <v>0</v>
      </c>
      <c r="AQ126" s="256">
        <v>0</v>
      </c>
      <c r="AR126" s="257">
        <v>0</v>
      </c>
      <c r="AS126" s="255">
        <v>0</v>
      </c>
      <c r="AT126" s="256">
        <v>0</v>
      </c>
      <c r="AU126" s="257">
        <v>0</v>
      </c>
      <c r="AV126" s="255">
        <v>0</v>
      </c>
      <c r="AW126" s="256">
        <v>0</v>
      </c>
      <c r="AX126" s="257">
        <v>0</v>
      </c>
      <c r="AY126" s="243">
        <v>0</v>
      </c>
      <c r="AZ126" s="244">
        <v>0</v>
      </c>
      <c r="BA126" s="244">
        <v>0</v>
      </c>
      <c r="BB126" s="244">
        <v>0</v>
      </c>
      <c r="BC126" s="244">
        <v>0</v>
      </c>
      <c r="BD126" s="244">
        <v>0</v>
      </c>
      <c r="BE126" s="244">
        <v>0</v>
      </c>
      <c r="BF126" s="244">
        <v>0</v>
      </c>
      <c r="BG126" s="244">
        <v>0</v>
      </c>
      <c r="BH126" s="245">
        <v>0</v>
      </c>
      <c r="BK126">
        <v>68</v>
      </c>
      <c r="BL126" s="281">
        <v>0.66331658291457252</v>
      </c>
      <c r="BM126" s="281">
        <v>11836.221105527633</v>
      </c>
      <c r="BN126" s="282">
        <v>8036.7487437186046</v>
      </c>
      <c r="BO126" s="282">
        <v>162.46231155778955</v>
      </c>
      <c r="BP126" s="282">
        <v>0</v>
      </c>
      <c r="BQ126" s="283">
        <v>0</v>
      </c>
      <c r="BR126" s="284"/>
      <c r="BS126" s="147"/>
      <c r="BT126" s="285">
        <v>1</v>
      </c>
      <c r="BU126" s="288">
        <v>3.4430039393564885E-2</v>
      </c>
      <c r="BV126" s="287">
        <v>0</v>
      </c>
      <c r="BW126" s="288">
        <v>0</v>
      </c>
      <c r="BX126" s="286">
        <v>100</v>
      </c>
      <c r="BY126" s="287">
        <v>0</v>
      </c>
      <c r="BZ126" s="288">
        <v>0</v>
      </c>
      <c r="CA126" s="286">
        <v>0.77420626992189012</v>
      </c>
      <c r="CB126" s="286">
        <v>0</v>
      </c>
      <c r="CC126" s="287">
        <v>1.2207783968956767</v>
      </c>
      <c r="CD126" s="286">
        <v>0</v>
      </c>
      <c r="CE126" s="286">
        <v>15.742943510343995</v>
      </c>
      <c r="CF126" s="286">
        <v>0</v>
      </c>
      <c r="CG126" s="287">
        <v>22.456749066328737</v>
      </c>
      <c r="CH126" s="288">
        <v>0</v>
      </c>
      <c r="CI126" s="286">
        <v>1.7883233917602102</v>
      </c>
      <c r="CJ126" s="286">
        <v>0</v>
      </c>
      <c r="CK126" s="287"/>
      <c r="CL126" s="288"/>
      <c r="CM126" s="286"/>
      <c r="CN126" s="287"/>
      <c r="CO126" s="289"/>
      <c r="CP126" s="290"/>
      <c r="CQ126" s="289"/>
      <c r="CR126" s="290"/>
      <c r="CS126" s="284"/>
      <c r="CT126" s="147"/>
      <c r="CU126" s="291"/>
      <c r="CV126" s="292"/>
    </row>
    <row r="127" spans="2:100">
      <c r="B127">
        <v>69</v>
      </c>
      <c r="C127" s="243">
        <v>1</v>
      </c>
      <c r="D127" s="592">
        <v>0</v>
      </c>
      <c r="E127" s="245">
        <v>0</v>
      </c>
      <c r="F127" s="243">
        <v>0</v>
      </c>
      <c r="G127" s="245">
        <v>0</v>
      </c>
      <c r="H127" s="243">
        <v>0</v>
      </c>
      <c r="I127" s="245">
        <v>0</v>
      </c>
      <c r="J127" s="242">
        <v>0</v>
      </c>
      <c r="K127" s="242">
        <v>19.050615403287878</v>
      </c>
      <c r="L127" s="242">
        <v>5.0251256281407036E-3</v>
      </c>
      <c r="M127" s="243">
        <v>116.80578100848396</v>
      </c>
      <c r="N127" s="592">
        <v>32.504983053560558</v>
      </c>
      <c r="O127" s="245">
        <v>0.5676602299213348</v>
      </c>
      <c r="P127" s="245">
        <v>1.1991713698689876</v>
      </c>
      <c r="Q127" s="254">
        <v>0</v>
      </c>
      <c r="R127" s="255">
        <v>0</v>
      </c>
      <c r="S127" s="256">
        <v>0</v>
      </c>
      <c r="T127" s="257">
        <v>0</v>
      </c>
      <c r="U127" s="255">
        <v>0</v>
      </c>
      <c r="V127" s="256">
        <v>0</v>
      </c>
      <c r="W127" s="257">
        <v>0</v>
      </c>
      <c r="X127" s="255">
        <v>0</v>
      </c>
      <c r="Y127" s="256">
        <v>0</v>
      </c>
      <c r="Z127" s="257">
        <v>0</v>
      </c>
      <c r="AA127" s="255">
        <v>0</v>
      </c>
      <c r="AB127" s="256">
        <v>0</v>
      </c>
      <c r="AC127" s="257">
        <v>0</v>
      </c>
      <c r="AD127" s="255">
        <v>0</v>
      </c>
      <c r="AE127" s="256">
        <v>0</v>
      </c>
      <c r="AF127" s="257">
        <v>0</v>
      </c>
      <c r="AG127" s="255">
        <v>0</v>
      </c>
      <c r="AH127" s="256">
        <v>0</v>
      </c>
      <c r="AI127" s="257">
        <v>0</v>
      </c>
      <c r="AJ127" s="255">
        <v>0</v>
      </c>
      <c r="AK127" s="256">
        <v>0</v>
      </c>
      <c r="AL127" s="257">
        <v>0</v>
      </c>
      <c r="AM127" s="255">
        <v>0</v>
      </c>
      <c r="AN127" s="256">
        <v>0</v>
      </c>
      <c r="AO127" s="257">
        <v>0</v>
      </c>
      <c r="AP127" s="255">
        <v>0</v>
      </c>
      <c r="AQ127" s="256">
        <v>0</v>
      </c>
      <c r="AR127" s="257">
        <v>0</v>
      </c>
      <c r="AS127" s="255">
        <v>0</v>
      </c>
      <c r="AT127" s="256">
        <v>0</v>
      </c>
      <c r="AU127" s="257">
        <v>0</v>
      </c>
      <c r="AV127" s="255">
        <v>0</v>
      </c>
      <c r="AW127" s="256">
        <v>0</v>
      </c>
      <c r="AX127" s="257">
        <v>0</v>
      </c>
      <c r="AY127" s="243">
        <v>0</v>
      </c>
      <c r="AZ127" s="244">
        <v>0</v>
      </c>
      <c r="BA127" s="244">
        <v>0</v>
      </c>
      <c r="BB127" s="244">
        <v>0</v>
      </c>
      <c r="BC127" s="244">
        <v>0</v>
      </c>
      <c r="BD127" s="244">
        <v>0</v>
      </c>
      <c r="BE127" s="244">
        <v>0</v>
      </c>
      <c r="BF127" s="244">
        <v>0</v>
      </c>
      <c r="BG127" s="244">
        <v>0</v>
      </c>
      <c r="BH127" s="245">
        <v>0</v>
      </c>
      <c r="BK127">
        <v>69</v>
      </c>
      <c r="BL127" s="281">
        <v>0.6582914572864319</v>
      </c>
      <c r="BM127" s="281">
        <v>11746.552763819091</v>
      </c>
      <c r="BN127" s="282">
        <v>8004.3718592964942</v>
      </c>
      <c r="BO127" s="282">
        <v>162.15577889447297</v>
      </c>
      <c r="BP127" s="282">
        <v>0</v>
      </c>
      <c r="BQ127" s="283">
        <v>0</v>
      </c>
      <c r="BR127" s="284"/>
      <c r="BS127" s="147"/>
      <c r="BT127" s="285">
        <v>1</v>
      </c>
      <c r="BU127" s="288">
        <v>3.4430039393564885E-2</v>
      </c>
      <c r="BV127" s="287">
        <v>0</v>
      </c>
      <c r="BW127" s="288">
        <v>0</v>
      </c>
      <c r="BX127" s="286">
        <v>100</v>
      </c>
      <c r="BY127" s="287">
        <v>0</v>
      </c>
      <c r="BZ127" s="288">
        <v>0</v>
      </c>
      <c r="CA127" s="286">
        <v>0.77411353305181008</v>
      </c>
      <c r="CB127" s="286">
        <v>0</v>
      </c>
      <c r="CC127" s="287">
        <v>1.2207420672941058</v>
      </c>
      <c r="CD127" s="286">
        <v>0</v>
      </c>
      <c r="CE127" s="286">
        <v>15.742638447372517</v>
      </c>
      <c r="CF127" s="286">
        <v>0</v>
      </c>
      <c r="CG127" s="287">
        <v>22.457969819856746</v>
      </c>
      <c r="CH127" s="288">
        <v>0</v>
      </c>
      <c r="CI127" s="286">
        <v>1.7896763869593031</v>
      </c>
      <c r="CJ127" s="286">
        <v>0</v>
      </c>
      <c r="CK127" s="287"/>
      <c r="CL127" s="288"/>
      <c r="CM127" s="286"/>
      <c r="CN127" s="287"/>
      <c r="CO127" s="289"/>
      <c r="CP127" s="290"/>
      <c r="CQ127" s="289"/>
      <c r="CR127" s="290"/>
      <c r="CS127" s="284"/>
      <c r="CT127" s="147"/>
      <c r="CU127" s="291"/>
      <c r="CV127" s="292"/>
    </row>
    <row r="128" spans="2:100">
      <c r="B128">
        <v>70</v>
      </c>
      <c r="C128" s="243">
        <v>0.99999999999999989</v>
      </c>
      <c r="D128" s="592">
        <v>0</v>
      </c>
      <c r="E128" s="245">
        <v>0</v>
      </c>
      <c r="F128" s="243">
        <v>0</v>
      </c>
      <c r="G128" s="245">
        <v>0</v>
      </c>
      <c r="H128" s="243">
        <v>0</v>
      </c>
      <c r="I128" s="245">
        <v>0</v>
      </c>
      <c r="J128" s="242">
        <v>0</v>
      </c>
      <c r="K128" s="242">
        <v>19.052903027393693</v>
      </c>
      <c r="L128" s="242">
        <v>5.0251256281407036E-3</v>
      </c>
      <c r="M128" s="243">
        <v>116.78017064663698</v>
      </c>
      <c r="N128" s="592">
        <v>32.46026355649137</v>
      </c>
      <c r="O128" s="245">
        <v>0.56770025560835813</v>
      </c>
      <c r="P128" s="245">
        <v>1.1993153680167978</v>
      </c>
      <c r="Q128" s="254">
        <v>0</v>
      </c>
      <c r="R128" s="255">
        <v>0</v>
      </c>
      <c r="S128" s="256">
        <v>0</v>
      </c>
      <c r="T128" s="257">
        <v>0</v>
      </c>
      <c r="U128" s="255">
        <v>0</v>
      </c>
      <c r="V128" s="256">
        <v>0</v>
      </c>
      <c r="W128" s="257">
        <v>0</v>
      </c>
      <c r="X128" s="255">
        <v>0</v>
      </c>
      <c r="Y128" s="256">
        <v>0</v>
      </c>
      <c r="Z128" s="257">
        <v>0</v>
      </c>
      <c r="AA128" s="255">
        <v>0</v>
      </c>
      <c r="AB128" s="256">
        <v>0</v>
      </c>
      <c r="AC128" s="257">
        <v>0</v>
      </c>
      <c r="AD128" s="255">
        <v>0</v>
      </c>
      <c r="AE128" s="256">
        <v>0</v>
      </c>
      <c r="AF128" s="257">
        <v>0</v>
      </c>
      <c r="AG128" s="255">
        <v>0</v>
      </c>
      <c r="AH128" s="256">
        <v>0</v>
      </c>
      <c r="AI128" s="257">
        <v>0</v>
      </c>
      <c r="AJ128" s="255">
        <v>0</v>
      </c>
      <c r="AK128" s="256">
        <v>0</v>
      </c>
      <c r="AL128" s="257">
        <v>0</v>
      </c>
      <c r="AM128" s="255">
        <v>0</v>
      </c>
      <c r="AN128" s="256">
        <v>0</v>
      </c>
      <c r="AO128" s="257">
        <v>0</v>
      </c>
      <c r="AP128" s="255">
        <v>0</v>
      </c>
      <c r="AQ128" s="256">
        <v>0</v>
      </c>
      <c r="AR128" s="257">
        <v>0</v>
      </c>
      <c r="AS128" s="255">
        <v>0</v>
      </c>
      <c r="AT128" s="256">
        <v>0</v>
      </c>
      <c r="AU128" s="257">
        <v>0</v>
      </c>
      <c r="AV128" s="255">
        <v>0</v>
      </c>
      <c r="AW128" s="256">
        <v>0</v>
      </c>
      <c r="AX128" s="257">
        <v>0</v>
      </c>
      <c r="AY128" s="243">
        <v>0</v>
      </c>
      <c r="AZ128" s="244">
        <v>0</v>
      </c>
      <c r="BA128" s="244">
        <v>0</v>
      </c>
      <c r="BB128" s="244">
        <v>0</v>
      </c>
      <c r="BC128" s="244">
        <v>0</v>
      </c>
      <c r="BD128" s="244">
        <v>0</v>
      </c>
      <c r="BE128" s="244">
        <v>0</v>
      </c>
      <c r="BF128" s="244">
        <v>0</v>
      </c>
      <c r="BG128" s="244">
        <v>0</v>
      </c>
      <c r="BH128" s="245">
        <v>0</v>
      </c>
      <c r="BK128">
        <v>70</v>
      </c>
      <c r="BL128" s="281">
        <v>0.65326633165829118</v>
      </c>
      <c r="BM128" s="281">
        <v>11656.884422110548</v>
      </c>
      <c r="BN128" s="282">
        <v>7971.9949748743838</v>
      </c>
      <c r="BO128" s="282">
        <v>161.8492462311564</v>
      </c>
      <c r="BP128" s="282">
        <v>0</v>
      </c>
      <c r="BQ128" s="283">
        <v>0</v>
      </c>
      <c r="BR128" s="284"/>
      <c r="BS128" s="147"/>
      <c r="BT128" s="285">
        <v>1</v>
      </c>
      <c r="BU128" s="288">
        <v>3.4430039393564885E-2</v>
      </c>
      <c r="BV128" s="287">
        <v>0</v>
      </c>
      <c r="BW128" s="288">
        <v>0</v>
      </c>
      <c r="BX128" s="286">
        <v>100</v>
      </c>
      <c r="BY128" s="287">
        <v>0</v>
      </c>
      <c r="BZ128" s="288">
        <v>0</v>
      </c>
      <c r="CA128" s="286">
        <v>0.77402058759482106</v>
      </c>
      <c r="CB128" s="286">
        <v>0</v>
      </c>
      <c r="CC128" s="287">
        <v>1.2207057282182583</v>
      </c>
      <c r="CD128" s="286">
        <v>0</v>
      </c>
      <c r="CE128" s="286">
        <v>15.742329702936232</v>
      </c>
      <c r="CF128" s="286">
        <v>0</v>
      </c>
      <c r="CG128" s="287">
        <v>22.459190655972375</v>
      </c>
      <c r="CH128" s="288">
        <v>0</v>
      </c>
      <c r="CI128" s="286">
        <v>1.7910434506885708</v>
      </c>
      <c r="CJ128" s="286">
        <v>0</v>
      </c>
      <c r="CK128" s="287"/>
      <c r="CL128" s="288"/>
      <c r="CM128" s="286"/>
      <c r="CN128" s="287"/>
      <c r="CO128" s="289"/>
      <c r="CP128" s="290"/>
      <c r="CQ128" s="289"/>
      <c r="CR128" s="290"/>
      <c r="CS128" s="284"/>
      <c r="CT128" s="147"/>
      <c r="CU128" s="291"/>
      <c r="CV128" s="292"/>
    </row>
    <row r="129" spans="2:100">
      <c r="B129">
        <v>71</v>
      </c>
      <c r="C129" s="243">
        <v>0.99999999999999978</v>
      </c>
      <c r="D129" s="592">
        <v>0</v>
      </c>
      <c r="E129" s="245">
        <v>0</v>
      </c>
      <c r="F129" s="243">
        <v>0</v>
      </c>
      <c r="G129" s="245">
        <v>0</v>
      </c>
      <c r="H129" s="243">
        <v>0</v>
      </c>
      <c r="I129" s="245">
        <v>0</v>
      </c>
      <c r="J129" s="242">
        <v>0</v>
      </c>
      <c r="K129" s="242">
        <v>19.055196360324274</v>
      </c>
      <c r="L129" s="242">
        <v>5.0251256281407036E-3</v>
      </c>
      <c r="M129" s="243">
        <v>116.75477220235807</v>
      </c>
      <c r="N129" s="592">
        <v>32.415352754400736</v>
      </c>
      <c r="O129" s="245">
        <v>0.56774091637820445</v>
      </c>
      <c r="P129" s="245">
        <v>1.1994597255156878</v>
      </c>
      <c r="Q129" s="254">
        <v>0</v>
      </c>
      <c r="R129" s="255">
        <v>0</v>
      </c>
      <c r="S129" s="256">
        <v>0</v>
      </c>
      <c r="T129" s="257">
        <v>0</v>
      </c>
      <c r="U129" s="255">
        <v>0</v>
      </c>
      <c r="V129" s="256">
        <v>0</v>
      </c>
      <c r="W129" s="257">
        <v>0</v>
      </c>
      <c r="X129" s="255">
        <v>0</v>
      </c>
      <c r="Y129" s="256">
        <v>0</v>
      </c>
      <c r="Z129" s="257">
        <v>0</v>
      </c>
      <c r="AA129" s="255">
        <v>0</v>
      </c>
      <c r="AB129" s="256">
        <v>0</v>
      </c>
      <c r="AC129" s="257">
        <v>0</v>
      </c>
      <c r="AD129" s="255">
        <v>0</v>
      </c>
      <c r="AE129" s="256">
        <v>0</v>
      </c>
      <c r="AF129" s="257">
        <v>0</v>
      </c>
      <c r="AG129" s="255">
        <v>0</v>
      </c>
      <c r="AH129" s="256">
        <v>0</v>
      </c>
      <c r="AI129" s="257">
        <v>0</v>
      </c>
      <c r="AJ129" s="255">
        <v>0</v>
      </c>
      <c r="AK129" s="256">
        <v>0</v>
      </c>
      <c r="AL129" s="257">
        <v>0</v>
      </c>
      <c r="AM129" s="255">
        <v>0</v>
      </c>
      <c r="AN129" s="256">
        <v>0</v>
      </c>
      <c r="AO129" s="257">
        <v>0</v>
      </c>
      <c r="AP129" s="255">
        <v>0</v>
      </c>
      <c r="AQ129" s="256">
        <v>0</v>
      </c>
      <c r="AR129" s="257">
        <v>0</v>
      </c>
      <c r="AS129" s="255">
        <v>0</v>
      </c>
      <c r="AT129" s="256">
        <v>0</v>
      </c>
      <c r="AU129" s="257">
        <v>0</v>
      </c>
      <c r="AV129" s="255">
        <v>0</v>
      </c>
      <c r="AW129" s="256">
        <v>0</v>
      </c>
      <c r="AX129" s="257">
        <v>0</v>
      </c>
      <c r="AY129" s="243">
        <v>0</v>
      </c>
      <c r="AZ129" s="244">
        <v>0</v>
      </c>
      <c r="BA129" s="244">
        <v>0</v>
      </c>
      <c r="BB129" s="244">
        <v>0</v>
      </c>
      <c r="BC129" s="244">
        <v>0</v>
      </c>
      <c r="BD129" s="244">
        <v>0</v>
      </c>
      <c r="BE129" s="244">
        <v>0</v>
      </c>
      <c r="BF129" s="244">
        <v>0</v>
      </c>
      <c r="BG129" s="244">
        <v>0</v>
      </c>
      <c r="BH129" s="245">
        <v>0</v>
      </c>
      <c r="BK129">
        <v>71</v>
      </c>
      <c r="BL129" s="281">
        <v>0.64824120603015056</v>
      </c>
      <c r="BM129" s="281">
        <v>11567.216080402006</v>
      </c>
      <c r="BN129" s="282">
        <v>7939.6180904522735</v>
      </c>
      <c r="BO129" s="282">
        <v>161.54271356783983</v>
      </c>
      <c r="BP129" s="282">
        <v>0</v>
      </c>
      <c r="BQ129" s="283">
        <v>0</v>
      </c>
      <c r="BR129" s="284"/>
      <c r="BS129" s="147"/>
      <c r="BT129" s="285">
        <v>1</v>
      </c>
      <c r="BU129" s="288">
        <v>3.4430039393564885E-2</v>
      </c>
      <c r="BV129" s="287">
        <v>0</v>
      </c>
      <c r="BW129" s="288">
        <v>0</v>
      </c>
      <c r="BX129" s="286">
        <v>100</v>
      </c>
      <c r="BY129" s="287">
        <v>0</v>
      </c>
      <c r="BZ129" s="288">
        <v>0</v>
      </c>
      <c r="CA129" s="286">
        <v>0.77392743259033236</v>
      </c>
      <c r="CB129" s="286">
        <v>0</v>
      </c>
      <c r="CC129" s="287">
        <v>1.2206693796433639</v>
      </c>
      <c r="CD129" s="286">
        <v>0</v>
      </c>
      <c r="CE129" s="286">
        <v>15.742017259438057</v>
      </c>
      <c r="CF129" s="286">
        <v>0</v>
      </c>
      <c r="CG129" s="287">
        <v>22.460411574511085</v>
      </c>
      <c r="CH129" s="288">
        <v>0</v>
      </c>
      <c r="CI129" s="286">
        <v>1.792424591716492</v>
      </c>
      <c r="CJ129" s="286">
        <v>0</v>
      </c>
      <c r="CK129" s="287"/>
      <c r="CL129" s="288"/>
      <c r="CM129" s="286"/>
      <c r="CN129" s="287"/>
      <c r="CO129" s="289"/>
      <c r="CP129" s="290"/>
      <c r="CQ129" s="289"/>
      <c r="CR129" s="290"/>
      <c r="CS129" s="284"/>
      <c r="CT129" s="147"/>
      <c r="CU129" s="291"/>
      <c r="CV129" s="292"/>
    </row>
    <row r="130" spans="2:100">
      <c r="B130">
        <v>72</v>
      </c>
      <c r="C130" s="243">
        <v>0.99999999999999989</v>
      </c>
      <c r="D130" s="592">
        <v>0</v>
      </c>
      <c r="E130" s="245">
        <v>0</v>
      </c>
      <c r="F130" s="243">
        <v>0</v>
      </c>
      <c r="G130" s="245">
        <v>0</v>
      </c>
      <c r="H130" s="243">
        <v>0</v>
      </c>
      <c r="I130" s="245">
        <v>0</v>
      </c>
      <c r="J130" s="242">
        <v>0</v>
      </c>
      <c r="K130" s="242">
        <v>19.057495429817234</v>
      </c>
      <c r="L130" s="242">
        <v>5.0251256281407036E-3</v>
      </c>
      <c r="M130" s="243">
        <v>116.72958672124514</v>
      </c>
      <c r="N130" s="592">
        <v>32.370251955069847</v>
      </c>
      <c r="O130" s="245">
        <v>0.56778220307374516</v>
      </c>
      <c r="P130" s="245">
        <v>1.1996044441116456</v>
      </c>
      <c r="Q130" s="254">
        <v>0</v>
      </c>
      <c r="R130" s="255">
        <v>0</v>
      </c>
      <c r="S130" s="256">
        <v>0</v>
      </c>
      <c r="T130" s="257">
        <v>0</v>
      </c>
      <c r="U130" s="255">
        <v>0</v>
      </c>
      <c r="V130" s="256">
        <v>0</v>
      </c>
      <c r="W130" s="257">
        <v>0</v>
      </c>
      <c r="X130" s="255">
        <v>0</v>
      </c>
      <c r="Y130" s="256">
        <v>0</v>
      </c>
      <c r="Z130" s="257">
        <v>0</v>
      </c>
      <c r="AA130" s="255">
        <v>0</v>
      </c>
      <c r="AB130" s="256">
        <v>0</v>
      </c>
      <c r="AC130" s="257">
        <v>0</v>
      </c>
      <c r="AD130" s="255">
        <v>0</v>
      </c>
      <c r="AE130" s="256">
        <v>0</v>
      </c>
      <c r="AF130" s="257">
        <v>0</v>
      </c>
      <c r="AG130" s="255">
        <v>0</v>
      </c>
      <c r="AH130" s="256">
        <v>0</v>
      </c>
      <c r="AI130" s="257">
        <v>0</v>
      </c>
      <c r="AJ130" s="255">
        <v>0</v>
      </c>
      <c r="AK130" s="256">
        <v>0</v>
      </c>
      <c r="AL130" s="257">
        <v>0</v>
      </c>
      <c r="AM130" s="255">
        <v>0</v>
      </c>
      <c r="AN130" s="256">
        <v>0</v>
      </c>
      <c r="AO130" s="257">
        <v>0</v>
      </c>
      <c r="AP130" s="255">
        <v>0</v>
      </c>
      <c r="AQ130" s="256">
        <v>0</v>
      </c>
      <c r="AR130" s="257">
        <v>0</v>
      </c>
      <c r="AS130" s="255">
        <v>0</v>
      </c>
      <c r="AT130" s="256">
        <v>0</v>
      </c>
      <c r="AU130" s="257">
        <v>0</v>
      </c>
      <c r="AV130" s="255">
        <v>0</v>
      </c>
      <c r="AW130" s="256">
        <v>0</v>
      </c>
      <c r="AX130" s="257">
        <v>0</v>
      </c>
      <c r="AY130" s="243">
        <v>0</v>
      </c>
      <c r="AZ130" s="244">
        <v>0</v>
      </c>
      <c r="BA130" s="244">
        <v>0</v>
      </c>
      <c r="BB130" s="244">
        <v>0</v>
      </c>
      <c r="BC130" s="244">
        <v>0</v>
      </c>
      <c r="BD130" s="244">
        <v>0</v>
      </c>
      <c r="BE130" s="244">
        <v>0</v>
      </c>
      <c r="BF130" s="244">
        <v>0</v>
      </c>
      <c r="BG130" s="244">
        <v>0</v>
      </c>
      <c r="BH130" s="245">
        <v>0</v>
      </c>
      <c r="BK130">
        <v>72</v>
      </c>
      <c r="BL130" s="281">
        <v>0.64321608040200984</v>
      </c>
      <c r="BM130" s="281">
        <v>11477.547738693464</v>
      </c>
      <c r="BN130" s="282">
        <v>7907.2412060301631</v>
      </c>
      <c r="BO130" s="282">
        <v>161.23618090452325</v>
      </c>
      <c r="BP130" s="282">
        <v>0</v>
      </c>
      <c r="BQ130" s="283">
        <v>0</v>
      </c>
      <c r="BR130" s="284"/>
      <c r="BS130" s="147"/>
      <c r="BT130" s="285">
        <v>1</v>
      </c>
      <c r="BU130" s="288">
        <v>3.4430039393564885E-2</v>
      </c>
      <c r="BV130" s="287">
        <v>0</v>
      </c>
      <c r="BW130" s="288">
        <v>0</v>
      </c>
      <c r="BX130" s="286">
        <v>100</v>
      </c>
      <c r="BY130" s="287">
        <v>0</v>
      </c>
      <c r="BZ130" s="288">
        <v>0</v>
      </c>
      <c r="CA130" s="286">
        <v>0.77383406707141689</v>
      </c>
      <c r="CB130" s="286">
        <v>0</v>
      </c>
      <c r="CC130" s="287">
        <v>1.220633021544586</v>
      </c>
      <c r="CD130" s="286">
        <v>0</v>
      </c>
      <c r="CE130" s="286">
        <v>15.741701099163937</v>
      </c>
      <c r="CF130" s="286">
        <v>0</v>
      </c>
      <c r="CG130" s="287">
        <v>22.461632575307515</v>
      </c>
      <c r="CH130" s="288">
        <v>0</v>
      </c>
      <c r="CI130" s="286">
        <v>1.7938198191296324</v>
      </c>
      <c r="CJ130" s="286">
        <v>0</v>
      </c>
      <c r="CK130" s="287"/>
      <c r="CL130" s="288"/>
      <c r="CM130" s="286"/>
      <c r="CN130" s="287"/>
      <c r="CO130" s="289"/>
      <c r="CP130" s="290"/>
      <c r="CQ130" s="289"/>
      <c r="CR130" s="290"/>
      <c r="CS130" s="284"/>
      <c r="CT130" s="147"/>
      <c r="CU130" s="291"/>
      <c r="CV130" s="292"/>
    </row>
    <row r="131" spans="2:100">
      <c r="B131">
        <v>73</v>
      </c>
      <c r="C131" s="243">
        <v>0.99999999999999989</v>
      </c>
      <c r="D131" s="592">
        <v>0</v>
      </c>
      <c r="E131" s="245">
        <v>0</v>
      </c>
      <c r="F131" s="243">
        <v>0</v>
      </c>
      <c r="G131" s="245">
        <v>0</v>
      </c>
      <c r="H131" s="243">
        <v>0</v>
      </c>
      <c r="I131" s="245">
        <v>0</v>
      </c>
      <c r="J131" s="242">
        <v>0</v>
      </c>
      <c r="K131" s="242">
        <v>19.059800263801879</v>
      </c>
      <c r="L131" s="242">
        <v>5.0251256281407036E-3</v>
      </c>
      <c r="M131" s="243">
        <v>116.70461525635872</v>
      </c>
      <c r="N131" s="592">
        <v>32.324962466202265</v>
      </c>
      <c r="O131" s="245">
        <v>0.56782410648313408</v>
      </c>
      <c r="P131" s="245">
        <v>1.1997495255627262</v>
      </c>
      <c r="Q131" s="254">
        <v>0</v>
      </c>
      <c r="R131" s="255">
        <v>0</v>
      </c>
      <c r="S131" s="256">
        <v>0</v>
      </c>
      <c r="T131" s="257">
        <v>0</v>
      </c>
      <c r="U131" s="255">
        <v>0</v>
      </c>
      <c r="V131" s="256">
        <v>0</v>
      </c>
      <c r="W131" s="257">
        <v>0</v>
      </c>
      <c r="X131" s="255">
        <v>0</v>
      </c>
      <c r="Y131" s="256">
        <v>0</v>
      </c>
      <c r="Z131" s="257">
        <v>0</v>
      </c>
      <c r="AA131" s="255">
        <v>0</v>
      </c>
      <c r="AB131" s="256">
        <v>0</v>
      </c>
      <c r="AC131" s="257">
        <v>0</v>
      </c>
      <c r="AD131" s="255">
        <v>0</v>
      </c>
      <c r="AE131" s="256">
        <v>0</v>
      </c>
      <c r="AF131" s="257">
        <v>0</v>
      </c>
      <c r="AG131" s="255">
        <v>0</v>
      </c>
      <c r="AH131" s="256">
        <v>0</v>
      </c>
      <c r="AI131" s="257">
        <v>0</v>
      </c>
      <c r="AJ131" s="255">
        <v>0</v>
      </c>
      <c r="AK131" s="256">
        <v>0</v>
      </c>
      <c r="AL131" s="257">
        <v>0</v>
      </c>
      <c r="AM131" s="255">
        <v>0</v>
      </c>
      <c r="AN131" s="256">
        <v>0</v>
      </c>
      <c r="AO131" s="257">
        <v>0</v>
      </c>
      <c r="AP131" s="255">
        <v>0</v>
      </c>
      <c r="AQ131" s="256">
        <v>0</v>
      </c>
      <c r="AR131" s="257">
        <v>0</v>
      </c>
      <c r="AS131" s="255">
        <v>0</v>
      </c>
      <c r="AT131" s="256">
        <v>0</v>
      </c>
      <c r="AU131" s="257">
        <v>0</v>
      </c>
      <c r="AV131" s="255">
        <v>0</v>
      </c>
      <c r="AW131" s="256">
        <v>0</v>
      </c>
      <c r="AX131" s="257">
        <v>0</v>
      </c>
      <c r="AY131" s="243">
        <v>0</v>
      </c>
      <c r="AZ131" s="244">
        <v>0</v>
      </c>
      <c r="BA131" s="244">
        <v>0</v>
      </c>
      <c r="BB131" s="244">
        <v>0</v>
      </c>
      <c r="BC131" s="244">
        <v>0</v>
      </c>
      <c r="BD131" s="244">
        <v>0</v>
      </c>
      <c r="BE131" s="244">
        <v>0</v>
      </c>
      <c r="BF131" s="244">
        <v>0</v>
      </c>
      <c r="BG131" s="244">
        <v>0</v>
      </c>
      <c r="BH131" s="245">
        <v>0</v>
      </c>
      <c r="BK131">
        <v>73</v>
      </c>
      <c r="BL131" s="281">
        <v>0.63819095477386911</v>
      </c>
      <c r="BM131" s="281">
        <v>11387.879396984921</v>
      </c>
      <c r="BN131" s="282">
        <v>7874.8643216080527</v>
      </c>
      <c r="BO131" s="282">
        <v>160.92964824120668</v>
      </c>
      <c r="BP131" s="282">
        <v>0</v>
      </c>
      <c r="BQ131" s="283">
        <v>0</v>
      </c>
      <c r="BR131" s="284"/>
      <c r="BS131" s="147"/>
      <c r="BT131" s="285">
        <v>1</v>
      </c>
      <c r="BU131" s="288">
        <v>3.4430039393564885E-2</v>
      </c>
      <c r="BV131" s="287">
        <v>0</v>
      </c>
      <c r="BW131" s="288">
        <v>0</v>
      </c>
      <c r="BX131" s="286">
        <v>100</v>
      </c>
      <c r="BY131" s="287">
        <v>0</v>
      </c>
      <c r="BZ131" s="288">
        <v>0</v>
      </c>
      <c r="CA131" s="286">
        <v>0.77374049006475487</v>
      </c>
      <c r="CB131" s="286">
        <v>0</v>
      </c>
      <c r="CC131" s="287">
        <v>1.220596653897007</v>
      </c>
      <c r="CD131" s="286">
        <v>0</v>
      </c>
      <c r="CE131" s="286">
        <v>15.741381204281842</v>
      </c>
      <c r="CF131" s="286">
        <v>0</v>
      </c>
      <c r="CG131" s="287">
        <v>22.462853658195318</v>
      </c>
      <c r="CH131" s="288">
        <v>0</v>
      </c>
      <c r="CI131" s="286">
        <v>1.7952291423312055</v>
      </c>
      <c r="CJ131" s="286">
        <v>0</v>
      </c>
      <c r="CK131" s="287"/>
      <c r="CL131" s="288"/>
      <c r="CM131" s="286"/>
      <c r="CN131" s="287"/>
      <c r="CO131" s="289"/>
      <c r="CP131" s="290"/>
      <c r="CQ131" s="289"/>
      <c r="CR131" s="290"/>
      <c r="CS131" s="284"/>
      <c r="CT131" s="147"/>
      <c r="CU131" s="291"/>
      <c r="CV131" s="292"/>
    </row>
    <row r="132" spans="2:100">
      <c r="B132">
        <v>74</v>
      </c>
      <c r="C132" s="243">
        <v>1</v>
      </c>
      <c r="D132" s="592">
        <v>0</v>
      </c>
      <c r="E132" s="245">
        <v>0</v>
      </c>
      <c r="F132" s="243">
        <v>0</v>
      </c>
      <c r="G132" s="245">
        <v>0</v>
      </c>
      <c r="H132" s="243">
        <v>0</v>
      </c>
      <c r="I132" s="245">
        <v>0</v>
      </c>
      <c r="J132" s="242">
        <v>0</v>
      </c>
      <c r="K132" s="242">
        <v>19.062110890400991</v>
      </c>
      <c r="L132" s="242">
        <v>5.0251256281407036E-3</v>
      </c>
      <c r="M132" s="243">
        <v>116.6798588682943</v>
      </c>
      <c r="N132" s="592">
        <v>32.279485595396494</v>
      </c>
      <c r="O132" s="245">
        <v>0.56786661733976396</v>
      </c>
      <c r="P132" s="245">
        <v>1.1998949716391629</v>
      </c>
      <c r="Q132" s="254">
        <v>0</v>
      </c>
      <c r="R132" s="255">
        <v>0</v>
      </c>
      <c r="S132" s="256">
        <v>0</v>
      </c>
      <c r="T132" s="257">
        <v>0</v>
      </c>
      <c r="U132" s="255">
        <v>0</v>
      </c>
      <c r="V132" s="256">
        <v>0</v>
      </c>
      <c r="W132" s="257">
        <v>0</v>
      </c>
      <c r="X132" s="255">
        <v>0</v>
      </c>
      <c r="Y132" s="256">
        <v>0</v>
      </c>
      <c r="Z132" s="257">
        <v>0</v>
      </c>
      <c r="AA132" s="255">
        <v>0</v>
      </c>
      <c r="AB132" s="256">
        <v>0</v>
      </c>
      <c r="AC132" s="257">
        <v>0</v>
      </c>
      <c r="AD132" s="255">
        <v>0</v>
      </c>
      <c r="AE132" s="256">
        <v>0</v>
      </c>
      <c r="AF132" s="257">
        <v>0</v>
      </c>
      <c r="AG132" s="255">
        <v>0</v>
      </c>
      <c r="AH132" s="256">
        <v>0</v>
      </c>
      <c r="AI132" s="257">
        <v>0</v>
      </c>
      <c r="AJ132" s="255">
        <v>0</v>
      </c>
      <c r="AK132" s="256">
        <v>0</v>
      </c>
      <c r="AL132" s="257">
        <v>0</v>
      </c>
      <c r="AM132" s="255">
        <v>0</v>
      </c>
      <c r="AN132" s="256">
        <v>0</v>
      </c>
      <c r="AO132" s="257">
        <v>0</v>
      </c>
      <c r="AP132" s="255">
        <v>0</v>
      </c>
      <c r="AQ132" s="256">
        <v>0</v>
      </c>
      <c r="AR132" s="257">
        <v>0</v>
      </c>
      <c r="AS132" s="255">
        <v>0</v>
      </c>
      <c r="AT132" s="256">
        <v>0</v>
      </c>
      <c r="AU132" s="257">
        <v>0</v>
      </c>
      <c r="AV132" s="255">
        <v>0</v>
      </c>
      <c r="AW132" s="256">
        <v>0</v>
      </c>
      <c r="AX132" s="257">
        <v>0</v>
      </c>
      <c r="AY132" s="243">
        <v>0</v>
      </c>
      <c r="AZ132" s="244">
        <v>0</v>
      </c>
      <c r="BA132" s="244">
        <v>0</v>
      </c>
      <c r="BB132" s="244">
        <v>0</v>
      </c>
      <c r="BC132" s="244">
        <v>0</v>
      </c>
      <c r="BD132" s="244">
        <v>0</v>
      </c>
      <c r="BE132" s="244">
        <v>0</v>
      </c>
      <c r="BF132" s="244">
        <v>0</v>
      </c>
      <c r="BG132" s="244">
        <v>0</v>
      </c>
      <c r="BH132" s="245">
        <v>0</v>
      </c>
      <c r="BK132">
        <v>74</v>
      </c>
      <c r="BL132" s="281">
        <v>0.6331658291457285</v>
      </c>
      <c r="BM132" s="281">
        <v>11298.211055276379</v>
      </c>
      <c r="BN132" s="282">
        <v>7842.4874371859423</v>
      </c>
      <c r="BO132" s="282">
        <v>160.6231155778901</v>
      </c>
      <c r="BP132" s="282">
        <v>0</v>
      </c>
      <c r="BQ132" s="283">
        <v>0</v>
      </c>
      <c r="BR132" s="284"/>
      <c r="BS132" s="147"/>
      <c r="BT132" s="285">
        <v>1</v>
      </c>
      <c r="BU132" s="288">
        <v>3.4430039393564885E-2</v>
      </c>
      <c r="BV132" s="287">
        <v>0</v>
      </c>
      <c r="BW132" s="288">
        <v>0</v>
      </c>
      <c r="BX132" s="286">
        <v>100</v>
      </c>
      <c r="BY132" s="287">
        <v>0</v>
      </c>
      <c r="BZ132" s="288">
        <v>0</v>
      </c>
      <c r="CA132" s="286">
        <v>0.77364670059057583</v>
      </c>
      <c r="CB132" s="286">
        <v>0</v>
      </c>
      <c r="CC132" s="287">
        <v>1.2205602766756223</v>
      </c>
      <c r="CD132" s="286">
        <v>0</v>
      </c>
      <c r="CE132" s="286">
        <v>15.741057556840683</v>
      </c>
      <c r="CF132" s="286">
        <v>0</v>
      </c>
      <c r="CG132" s="287">
        <v>22.464074823007127</v>
      </c>
      <c r="CH132" s="288">
        <v>0</v>
      </c>
      <c r="CI132" s="286">
        <v>1.7966525710395691</v>
      </c>
      <c r="CJ132" s="286">
        <v>0</v>
      </c>
      <c r="CK132" s="287"/>
      <c r="CL132" s="288"/>
      <c r="CM132" s="286"/>
      <c r="CN132" s="287"/>
      <c r="CO132" s="289"/>
      <c r="CP132" s="290"/>
      <c r="CQ132" s="289"/>
      <c r="CR132" s="290"/>
      <c r="CS132" s="284"/>
      <c r="CT132" s="147"/>
      <c r="CU132" s="291"/>
      <c r="CV132" s="292"/>
    </row>
    <row r="133" spans="2:100">
      <c r="B133">
        <v>75</v>
      </c>
      <c r="C133" s="243">
        <v>1</v>
      </c>
      <c r="D133" s="592">
        <v>0</v>
      </c>
      <c r="E133" s="245">
        <v>0</v>
      </c>
      <c r="F133" s="243">
        <v>0</v>
      </c>
      <c r="G133" s="245">
        <v>0</v>
      </c>
      <c r="H133" s="243">
        <v>0</v>
      </c>
      <c r="I133" s="245">
        <v>0</v>
      </c>
      <c r="J133" s="242">
        <v>0</v>
      </c>
      <c r="K133" s="242">
        <v>19.064427337932514</v>
      </c>
      <c r="L133" s="242">
        <v>5.0251256281407036E-3</v>
      </c>
      <c r="M133" s="243">
        <v>116.65531862526925</v>
      </c>
      <c r="N133" s="592">
        <v>32.233822650119379</v>
      </c>
      <c r="O133" s="245">
        <v>0.56790972632222181</v>
      </c>
      <c r="P133" s="245">
        <v>1.2000407841234737</v>
      </c>
      <c r="Q133" s="254">
        <v>0</v>
      </c>
      <c r="R133" s="255">
        <v>0</v>
      </c>
      <c r="S133" s="256">
        <v>0</v>
      </c>
      <c r="T133" s="257">
        <v>0</v>
      </c>
      <c r="U133" s="255">
        <v>0</v>
      </c>
      <c r="V133" s="256">
        <v>0</v>
      </c>
      <c r="W133" s="257">
        <v>0</v>
      </c>
      <c r="X133" s="255">
        <v>0</v>
      </c>
      <c r="Y133" s="256">
        <v>0</v>
      </c>
      <c r="Z133" s="257">
        <v>0</v>
      </c>
      <c r="AA133" s="255">
        <v>0</v>
      </c>
      <c r="AB133" s="256">
        <v>0</v>
      </c>
      <c r="AC133" s="257">
        <v>0</v>
      </c>
      <c r="AD133" s="255">
        <v>0</v>
      </c>
      <c r="AE133" s="256">
        <v>0</v>
      </c>
      <c r="AF133" s="257">
        <v>0</v>
      </c>
      <c r="AG133" s="255">
        <v>0</v>
      </c>
      <c r="AH133" s="256">
        <v>0</v>
      </c>
      <c r="AI133" s="257">
        <v>0</v>
      </c>
      <c r="AJ133" s="255">
        <v>0</v>
      </c>
      <c r="AK133" s="256">
        <v>0</v>
      </c>
      <c r="AL133" s="257">
        <v>0</v>
      </c>
      <c r="AM133" s="255">
        <v>0</v>
      </c>
      <c r="AN133" s="256">
        <v>0</v>
      </c>
      <c r="AO133" s="257">
        <v>0</v>
      </c>
      <c r="AP133" s="255">
        <v>0</v>
      </c>
      <c r="AQ133" s="256">
        <v>0</v>
      </c>
      <c r="AR133" s="257">
        <v>0</v>
      </c>
      <c r="AS133" s="255">
        <v>0</v>
      </c>
      <c r="AT133" s="256">
        <v>0</v>
      </c>
      <c r="AU133" s="257">
        <v>0</v>
      </c>
      <c r="AV133" s="255">
        <v>0</v>
      </c>
      <c r="AW133" s="256">
        <v>0</v>
      </c>
      <c r="AX133" s="257">
        <v>0</v>
      </c>
      <c r="AY133" s="243">
        <v>0</v>
      </c>
      <c r="AZ133" s="244">
        <v>0</v>
      </c>
      <c r="BA133" s="244">
        <v>0</v>
      </c>
      <c r="BB133" s="244">
        <v>0</v>
      </c>
      <c r="BC133" s="244">
        <v>0</v>
      </c>
      <c r="BD133" s="244">
        <v>0</v>
      </c>
      <c r="BE133" s="244">
        <v>0</v>
      </c>
      <c r="BF133" s="244">
        <v>0</v>
      </c>
      <c r="BG133" s="244">
        <v>0</v>
      </c>
      <c r="BH133" s="245">
        <v>0</v>
      </c>
      <c r="BK133">
        <v>75</v>
      </c>
      <c r="BL133" s="281">
        <v>0.62814070351758777</v>
      </c>
      <c r="BM133" s="281">
        <v>11208.542713567836</v>
      </c>
      <c r="BN133" s="282">
        <v>7810.1105527638319</v>
      </c>
      <c r="BO133" s="282">
        <v>160.31658291457353</v>
      </c>
      <c r="BP133" s="282">
        <v>0</v>
      </c>
      <c r="BQ133" s="283">
        <v>0</v>
      </c>
      <c r="BR133" s="284"/>
      <c r="BS133" s="147"/>
      <c r="BT133" s="285">
        <v>1</v>
      </c>
      <c r="BU133" s="288">
        <v>3.4430039393564885E-2</v>
      </c>
      <c r="BV133" s="287">
        <v>0</v>
      </c>
      <c r="BW133" s="288">
        <v>0</v>
      </c>
      <c r="BX133" s="286">
        <v>100</v>
      </c>
      <c r="BY133" s="287">
        <v>0</v>
      </c>
      <c r="BZ133" s="288">
        <v>0</v>
      </c>
      <c r="CA133" s="286">
        <v>0.77355269766260515</v>
      </c>
      <c r="CB133" s="286">
        <v>0</v>
      </c>
      <c r="CC133" s="287">
        <v>1.2205238898553663</v>
      </c>
      <c r="CD133" s="286">
        <v>0</v>
      </c>
      <c r="CE133" s="286">
        <v>15.740730138769317</v>
      </c>
      <c r="CF133" s="286">
        <v>0</v>
      </c>
      <c r="CG133" s="287">
        <v>22.46529606957478</v>
      </c>
      <c r="CH133" s="288">
        <v>0</v>
      </c>
      <c r="CI133" s="286">
        <v>1.798090115286693</v>
      </c>
      <c r="CJ133" s="286">
        <v>0</v>
      </c>
      <c r="CK133" s="287"/>
      <c r="CL133" s="288"/>
      <c r="CM133" s="286"/>
      <c r="CN133" s="287"/>
      <c r="CO133" s="289"/>
      <c r="CP133" s="290"/>
      <c r="CQ133" s="289"/>
      <c r="CR133" s="290"/>
      <c r="CS133" s="284"/>
      <c r="CT133" s="147"/>
      <c r="CU133" s="291"/>
      <c r="CV133" s="292"/>
    </row>
    <row r="134" spans="2:100">
      <c r="B134">
        <v>76</v>
      </c>
      <c r="C134" s="243">
        <v>1</v>
      </c>
      <c r="D134" s="592">
        <v>0</v>
      </c>
      <c r="E134" s="245">
        <v>0</v>
      </c>
      <c r="F134" s="243">
        <v>0</v>
      </c>
      <c r="G134" s="245">
        <v>0</v>
      </c>
      <c r="H134" s="243">
        <v>0</v>
      </c>
      <c r="I134" s="245">
        <v>0</v>
      </c>
      <c r="J134" s="242">
        <v>0</v>
      </c>
      <c r="K134" s="242">
        <v>19.066749634911375</v>
      </c>
      <c r="L134" s="242">
        <v>5.0251256281407036E-3</v>
      </c>
      <c r="M134" s="243">
        <v>116.63099560317552</v>
      </c>
      <c r="N134" s="592">
        <v>32.187974937678732</v>
      </c>
      <c r="O134" s="245">
        <v>0.56795342405424676</v>
      </c>
      <c r="P134" s="245">
        <v>1.2001869648105765</v>
      </c>
      <c r="Q134" s="254">
        <v>0</v>
      </c>
      <c r="R134" s="255">
        <v>0</v>
      </c>
      <c r="S134" s="256">
        <v>0</v>
      </c>
      <c r="T134" s="257">
        <v>0</v>
      </c>
      <c r="U134" s="255">
        <v>0</v>
      </c>
      <c r="V134" s="256">
        <v>0</v>
      </c>
      <c r="W134" s="257">
        <v>0</v>
      </c>
      <c r="X134" s="255">
        <v>0</v>
      </c>
      <c r="Y134" s="256">
        <v>0</v>
      </c>
      <c r="Z134" s="257">
        <v>0</v>
      </c>
      <c r="AA134" s="255">
        <v>0</v>
      </c>
      <c r="AB134" s="256">
        <v>0</v>
      </c>
      <c r="AC134" s="257">
        <v>0</v>
      </c>
      <c r="AD134" s="255">
        <v>0</v>
      </c>
      <c r="AE134" s="256">
        <v>0</v>
      </c>
      <c r="AF134" s="257">
        <v>0</v>
      </c>
      <c r="AG134" s="255">
        <v>0</v>
      </c>
      <c r="AH134" s="256">
        <v>0</v>
      </c>
      <c r="AI134" s="257">
        <v>0</v>
      </c>
      <c r="AJ134" s="255">
        <v>0</v>
      </c>
      <c r="AK134" s="256">
        <v>0</v>
      </c>
      <c r="AL134" s="257">
        <v>0</v>
      </c>
      <c r="AM134" s="255">
        <v>0</v>
      </c>
      <c r="AN134" s="256">
        <v>0</v>
      </c>
      <c r="AO134" s="257">
        <v>0</v>
      </c>
      <c r="AP134" s="255">
        <v>0</v>
      </c>
      <c r="AQ134" s="256">
        <v>0</v>
      </c>
      <c r="AR134" s="257">
        <v>0</v>
      </c>
      <c r="AS134" s="255">
        <v>0</v>
      </c>
      <c r="AT134" s="256">
        <v>0</v>
      </c>
      <c r="AU134" s="257">
        <v>0</v>
      </c>
      <c r="AV134" s="255">
        <v>0</v>
      </c>
      <c r="AW134" s="256">
        <v>0</v>
      </c>
      <c r="AX134" s="257">
        <v>0</v>
      </c>
      <c r="AY134" s="243">
        <v>0</v>
      </c>
      <c r="AZ134" s="244">
        <v>0</v>
      </c>
      <c r="BA134" s="244">
        <v>0</v>
      </c>
      <c r="BB134" s="244">
        <v>0</v>
      </c>
      <c r="BC134" s="244">
        <v>0</v>
      </c>
      <c r="BD134" s="244">
        <v>0</v>
      </c>
      <c r="BE134" s="244">
        <v>0</v>
      </c>
      <c r="BF134" s="244">
        <v>0</v>
      </c>
      <c r="BG134" s="244">
        <v>0</v>
      </c>
      <c r="BH134" s="245">
        <v>0</v>
      </c>
      <c r="BK134">
        <v>76</v>
      </c>
      <c r="BL134" s="281">
        <v>0.62311557788944716</v>
      </c>
      <c r="BM134" s="281">
        <v>11118.874371859294</v>
      </c>
      <c r="BN134" s="282">
        <v>7777.7336683417216</v>
      </c>
      <c r="BO134" s="282">
        <v>160.01005025125696</v>
      </c>
      <c r="BP134" s="282">
        <v>0</v>
      </c>
      <c r="BQ134" s="283">
        <v>0</v>
      </c>
      <c r="BR134" s="284"/>
      <c r="BS134" s="147"/>
      <c r="BT134" s="285">
        <v>1</v>
      </c>
      <c r="BU134" s="288">
        <v>3.4430039393564885E-2</v>
      </c>
      <c r="BV134" s="287">
        <v>0</v>
      </c>
      <c r="BW134" s="288">
        <v>0</v>
      </c>
      <c r="BX134" s="286">
        <v>100</v>
      </c>
      <c r="BY134" s="287">
        <v>0</v>
      </c>
      <c r="BZ134" s="288">
        <v>0</v>
      </c>
      <c r="CA134" s="286">
        <v>0.77345848028800424</v>
      </c>
      <c r="CB134" s="286">
        <v>0</v>
      </c>
      <c r="CC134" s="287">
        <v>1.2204874934110863</v>
      </c>
      <c r="CD134" s="286">
        <v>0</v>
      </c>
      <c r="CE134" s="286">
        <v>15.740398931875449</v>
      </c>
      <c r="CF134" s="286">
        <v>0</v>
      </c>
      <c r="CG134" s="287">
        <v>22.466517397729078</v>
      </c>
      <c r="CH134" s="288">
        <v>0</v>
      </c>
      <c r="CI134" s="286">
        <v>1.7995417854167057</v>
      </c>
      <c r="CJ134" s="286">
        <v>0</v>
      </c>
      <c r="CK134" s="287"/>
      <c r="CL134" s="288"/>
      <c r="CM134" s="286"/>
      <c r="CN134" s="287"/>
      <c r="CO134" s="289"/>
      <c r="CP134" s="290"/>
      <c r="CQ134" s="289"/>
      <c r="CR134" s="290"/>
      <c r="CS134" s="284"/>
      <c r="CT134" s="147"/>
      <c r="CU134" s="291"/>
      <c r="CV134" s="292"/>
    </row>
    <row r="135" spans="2:100">
      <c r="B135">
        <v>77</v>
      </c>
      <c r="C135" s="243">
        <v>1</v>
      </c>
      <c r="D135" s="592">
        <v>0</v>
      </c>
      <c r="E135" s="245">
        <v>0</v>
      </c>
      <c r="F135" s="243">
        <v>0</v>
      </c>
      <c r="G135" s="245">
        <v>0</v>
      </c>
      <c r="H135" s="243">
        <v>0</v>
      </c>
      <c r="I135" s="245">
        <v>0</v>
      </c>
      <c r="J135" s="242">
        <v>0</v>
      </c>
      <c r="K135" s="242">
        <v>19.069077810051244</v>
      </c>
      <c r="L135" s="242">
        <v>5.0251256281407036E-3</v>
      </c>
      <c r="M135" s="243">
        <v>116.60689088565502</v>
      </c>
      <c r="N135" s="592">
        <v>32.141943765196743</v>
      </c>
      <c r="O135" s="245">
        <v>0.56799770110468473</v>
      </c>
      <c r="P135" s="245">
        <v>1.2003335155078989</v>
      </c>
      <c r="Q135" s="254">
        <v>0</v>
      </c>
      <c r="R135" s="255">
        <v>0</v>
      </c>
      <c r="S135" s="256">
        <v>0</v>
      </c>
      <c r="T135" s="257">
        <v>0</v>
      </c>
      <c r="U135" s="255">
        <v>0</v>
      </c>
      <c r="V135" s="256">
        <v>0</v>
      </c>
      <c r="W135" s="257">
        <v>0</v>
      </c>
      <c r="X135" s="255">
        <v>0</v>
      </c>
      <c r="Y135" s="256">
        <v>0</v>
      </c>
      <c r="Z135" s="257">
        <v>0</v>
      </c>
      <c r="AA135" s="255">
        <v>0</v>
      </c>
      <c r="AB135" s="256">
        <v>0</v>
      </c>
      <c r="AC135" s="257">
        <v>0</v>
      </c>
      <c r="AD135" s="255">
        <v>0</v>
      </c>
      <c r="AE135" s="256">
        <v>0</v>
      </c>
      <c r="AF135" s="257">
        <v>0</v>
      </c>
      <c r="AG135" s="255">
        <v>0</v>
      </c>
      <c r="AH135" s="256">
        <v>0</v>
      </c>
      <c r="AI135" s="257">
        <v>0</v>
      </c>
      <c r="AJ135" s="255">
        <v>0</v>
      </c>
      <c r="AK135" s="256">
        <v>0</v>
      </c>
      <c r="AL135" s="257">
        <v>0</v>
      </c>
      <c r="AM135" s="255">
        <v>0</v>
      </c>
      <c r="AN135" s="256">
        <v>0</v>
      </c>
      <c r="AO135" s="257">
        <v>0</v>
      </c>
      <c r="AP135" s="255">
        <v>0</v>
      </c>
      <c r="AQ135" s="256">
        <v>0</v>
      </c>
      <c r="AR135" s="257">
        <v>0</v>
      </c>
      <c r="AS135" s="255">
        <v>0</v>
      </c>
      <c r="AT135" s="256">
        <v>0</v>
      </c>
      <c r="AU135" s="257">
        <v>0</v>
      </c>
      <c r="AV135" s="255">
        <v>0</v>
      </c>
      <c r="AW135" s="256">
        <v>0</v>
      </c>
      <c r="AX135" s="257">
        <v>0</v>
      </c>
      <c r="AY135" s="243">
        <v>0</v>
      </c>
      <c r="AZ135" s="244">
        <v>0</v>
      </c>
      <c r="BA135" s="244">
        <v>0</v>
      </c>
      <c r="BB135" s="244">
        <v>0</v>
      </c>
      <c r="BC135" s="244">
        <v>0</v>
      </c>
      <c r="BD135" s="244">
        <v>0</v>
      </c>
      <c r="BE135" s="244">
        <v>0</v>
      </c>
      <c r="BF135" s="244">
        <v>0</v>
      </c>
      <c r="BG135" s="244">
        <v>0</v>
      </c>
      <c r="BH135" s="245">
        <v>0</v>
      </c>
      <c r="BK135">
        <v>77</v>
      </c>
      <c r="BL135" s="281">
        <v>0.61809045226130643</v>
      </c>
      <c r="BM135" s="281">
        <v>11029.206030150752</v>
      </c>
      <c r="BN135" s="282">
        <v>7745.3567839196112</v>
      </c>
      <c r="BO135" s="282">
        <v>159.70351758794038</v>
      </c>
      <c r="BP135" s="282">
        <v>0</v>
      </c>
      <c r="BQ135" s="283">
        <v>0</v>
      </c>
      <c r="BR135" s="284"/>
      <c r="BS135" s="147"/>
      <c r="BT135" s="285">
        <v>1</v>
      </c>
      <c r="BU135" s="288">
        <v>3.4430039393564885E-2</v>
      </c>
      <c r="BV135" s="287">
        <v>0</v>
      </c>
      <c r="BW135" s="288">
        <v>0</v>
      </c>
      <c r="BX135" s="286">
        <v>100</v>
      </c>
      <c r="BY135" s="287">
        <v>0</v>
      </c>
      <c r="BZ135" s="288">
        <v>0</v>
      </c>
      <c r="CA135" s="286">
        <v>0.77336404746731602</v>
      </c>
      <c r="CB135" s="286">
        <v>0</v>
      </c>
      <c r="CC135" s="287">
        <v>1.2204510873175503</v>
      </c>
      <c r="CD135" s="286">
        <v>0</v>
      </c>
      <c r="CE135" s="286">
        <v>15.740063917844616</v>
      </c>
      <c r="CF135" s="286">
        <v>0</v>
      </c>
      <c r="CG135" s="287">
        <v>22.467738807299856</v>
      </c>
      <c r="CH135" s="288">
        <v>0</v>
      </c>
      <c r="CI135" s="286">
        <v>1.8010075920843782</v>
      </c>
      <c r="CJ135" s="286">
        <v>0</v>
      </c>
      <c r="CK135" s="287"/>
      <c r="CL135" s="288"/>
      <c r="CM135" s="286"/>
      <c r="CN135" s="287"/>
      <c r="CO135" s="289"/>
      <c r="CP135" s="290"/>
      <c r="CQ135" s="289"/>
      <c r="CR135" s="290"/>
      <c r="CS135" s="284"/>
      <c r="CT135" s="147"/>
      <c r="CU135" s="291"/>
      <c r="CV135" s="292"/>
    </row>
    <row r="136" spans="2:100">
      <c r="B136">
        <v>78</v>
      </c>
      <c r="C136" s="243">
        <v>1</v>
      </c>
      <c r="D136" s="592">
        <v>0</v>
      </c>
      <c r="E136" s="245">
        <v>0</v>
      </c>
      <c r="F136" s="243">
        <v>0</v>
      </c>
      <c r="G136" s="245">
        <v>0</v>
      </c>
      <c r="H136" s="243">
        <v>0</v>
      </c>
      <c r="I136" s="245">
        <v>0</v>
      </c>
      <c r="J136" s="242">
        <v>0</v>
      </c>
      <c r="K136" s="242">
        <v>19.071411892266383</v>
      </c>
      <c r="L136" s="242">
        <v>5.0251256281407036E-3</v>
      </c>
      <c r="M136" s="243">
        <v>116.58300556418126</v>
      </c>
      <c r="N136" s="592">
        <v>32.095730439583043</v>
      </c>
      <c r="O136" s="245">
        <v>0.56804254798744558</v>
      </c>
      <c r="P136" s="245">
        <v>1.2004804380354952</v>
      </c>
      <c r="Q136" s="254">
        <v>0</v>
      </c>
      <c r="R136" s="255">
        <v>0</v>
      </c>
      <c r="S136" s="256">
        <v>0</v>
      </c>
      <c r="T136" s="257">
        <v>0</v>
      </c>
      <c r="U136" s="255">
        <v>0</v>
      </c>
      <c r="V136" s="256">
        <v>0</v>
      </c>
      <c r="W136" s="257">
        <v>0</v>
      </c>
      <c r="X136" s="255">
        <v>0</v>
      </c>
      <c r="Y136" s="256">
        <v>0</v>
      </c>
      <c r="Z136" s="257">
        <v>0</v>
      </c>
      <c r="AA136" s="255">
        <v>0</v>
      </c>
      <c r="AB136" s="256">
        <v>0</v>
      </c>
      <c r="AC136" s="257">
        <v>0</v>
      </c>
      <c r="AD136" s="255">
        <v>0</v>
      </c>
      <c r="AE136" s="256">
        <v>0</v>
      </c>
      <c r="AF136" s="257">
        <v>0</v>
      </c>
      <c r="AG136" s="255">
        <v>0</v>
      </c>
      <c r="AH136" s="256">
        <v>0</v>
      </c>
      <c r="AI136" s="257">
        <v>0</v>
      </c>
      <c r="AJ136" s="255">
        <v>0</v>
      </c>
      <c r="AK136" s="256">
        <v>0</v>
      </c>
      <c r="AL136" s="257">
        <v>0</v>
      </c>
      <c r="AM136" s="255">
        <v>0</v>
      </c>
      <c r="AN136" s="256">
        <v>0</v>
      </c>
      <c r="AO136" s="257">
        <v>0</v>
      </c>
      <c r="AP136" s="255">
        <v>0</v>
      </c>
      <c r="AQ136" s="256">
        <v>0</v>
      </c>
      <c r="AR136" s="257">
        <v>0</v>
      </c>
      <c r="AS136" s="255">
        <v>0</v>
      </c>
      <c r="AT136" s="256">
        <v>0</v>
      </c>
      <c r="AU136" s="257">
        <v>0</v>
      </c>
      <c r="AV136" s="255">
        <v>0</v>
      </c>
      <c r="AW136" s="256">
        <v>0</v>
      </c>
      <c r="AX136" s="257">
        <v>0</v>
      </c>
      <c r="AY136" s="243">
        <v>0</v>
      </c>
      <c r="AZ136" s="244">
        <v>0</v>
      </c>
      <c r="BA136" s="244">
        <v>0</v>
      </c>
      <c r="BB136" s="244">
        <v>0</v>
      </c>
      <c r="BC136" s="244">
        <v>0</v>
      </c>
      <c r="BD136" s="244">
        <v>0</v>
      </c>
      <c r="BE136" s="244">
        <v>0</v>
      </c>
      <c r="BF136" s="244">
        <v>0</v>
      </c>
      <c r="BG136" s="244">
        <v>0</v>
      </c>
      <c r="BH136" s="245">
        <v>0</v>
      </c>
      <c r="BK136">
        <v>78</v>
      </c>
      <c r="BL136" s="281">
        <v>0.61306532663316571</v>
      </c>
      <c r="BM136" s="281">
        <v>10939.537688442209</v>
      </c>
      <c r="BN136" s="282">
        <v>7712.9798994975008</v>
      </c>
      <c r="BO136" s="282">
        <v>159.39698492462381</v>
      </c>
      <c r="BP136" s="282">
        <v>0</v>
      </c>
      <c r="BQ136" s="283">
        <v>0</v>
      </c>
      <c r="BR136" s="284"/>
      <c r="BS136" s="147"/>
      <c r="BT136" s="285">
        <v>1</v>
      </c>
      <c r="BU136" s="288">
        <v>3.4430039393564885E-2</v>
      </c>
      <c r="BV136" s="287">
        <v>0</v>
      </c>
      <c r="BW136" s="288">
        <v>0</v>
      </c>
      <c r="BX136" s="286">
        <v>100</v>
      </c>
      <c r="BY136" s="287">
        <v>0</v>
      </c>
      <c r="BZ136" s="288">
        <v>0</v>
      </c>
      <c r="CA136" s="286">
        <v>0.77326939819440321</v>
      </c>
      <c r="CB136" s="286">
        <v>0</v>
      </c>
      <c r="CC136" s="287">
        <v>1.2204146715494513</v>
      </c>
      <c r="CD136" s="286">
        <v>0</v>
      </c>
      <c r="CE136" s="286">
        <v>15.739725078239042</v>
      </c>
      <c r="CF136" s="286">
        <v>0</v>
      </c>
      <c r="CG136" s="287">
        <v>22.468960298116023</v>
      </c>
      <c r="CH136" s="288">
        <v>0</v>
      </c>
      <c r="CI136" s="286">
        <v>1.8024875462536678</v>
      </c>
      <c r="CJ136" s="286">
        <v>0</v>
      </c>
      <c r="CK136" s="287"/>
      <c r="CL136" s="288"/>
      <c r="CM136" s="286"/>
      <c r="CN136" s="287"/>
      <c r="CO136" s="289"/>
      <c r="CP136" s="290"/>
      <c r="CQ136" s="289"/>
      <c r="CR136" s="290"/>
      <c r="CS136" s="284"/>
      <c r="CT136" s="147"/>
      <c r="CU136" s="291"/>
      <c r="CV136" s="292"/>
    </row>
    <row r="137" spans="2:100">
      <c r="B137">
        <v>79</v>
      </c>
      <c r="C137" s="243">
        <v>0.99999999999999978</v>
      </c>
      <c r="D137" s="592">
        <v>0</v>
      </c>
      <c r="E137" s="245">
        <v>0</v>
      </c>
      <c r="F137" s="243">
        <v>0</v>
      </c>
      <c r="G137" s="245">
        <v>0</v>
      </c>
      <c r="H137" s="243">
        <v>0</v>
      </c>
      <c r="I137" s="245">
        <v>0</v>
      </c>
      <c r="J137" s="242">
        <v>0</v>
      </c>
      <c r="K137" s="242">
        <v>19.073751910673465</v>
      </c>
      <c r="L137" s="242">
        <v>5.0251256281407036E-3</v>
      </c>
      <c r="M137" s="243">
        <v>116.55934073812433</v>
      </c>
      <c r="N137" s="592">
        <v>32.049336267508046</v>
      </c>
      <c r="O137" s="245">
        <v>0.56808795516145849</v>
      </c>
      <c r="P137" s="245">
        <v>1.2006277342261609</v>
      </c>
      <c r="Q137" s="254">
        <v>0</v>
      </c>
      <c r="R137" s="255">
        <v>0</v>
      </c>
      <c r="S137" s="256">
        <v>0</v>
      </c>
      <c r="T137" s="257">
        <v>0</v>
      </c>
      <c r="U137" s="255">
        <v>0</v>
      </c>
      <c r="V137" s="256">
        <v>0</v>
      </c>
      <c r="W137" s="257">
        <v>0</v>
      </c>
      <c r="X137" s="255">
        <v>0</v>
      </c>
      <c r="Y137" s="256">
        <v>0</v>
      </c>
      <c r="Z137" s="257">
        <v>0</v>
      </c>
      <c r="AA137" s="255">
        <v>0</v>
      </c>
      <c r="AB137" s="256">
        <v>0</v>
      </c>
      <c r="AC137" s="257">
        <v>0</v>
      </c>
      <c r="AD137" s="255">
        <v>0</v>
      </c>
      <c r="AE137" s="256">
        <v>0</v>
      </c>
      <c r="AF137" s="257">
        <v>0</v>
      </c>
      <c r="AG137" s="255">
        <v>0</v>
      </c>
      <c r="AH137" s="256">
        <v>0</v>
      </c>
      <c r="AI137" s="257">
        <v>0</v>
      </c>
      <c r="AJ137" s="255">
        <v>0</v>
      </c>
      <c r="AK137" s="256">
        <v>0</v>
      </c>
      <c r="AL137" s="257">
        <v>0</v>
      </c>
      <c r="AM137" s="255">
        <v>0</v>
      </c>
      <c r="AN137" s="256">
        <v>0</v>
      </c>
      <c r="AO137" s="257">
        <v>0</v>
      </c>
      <c r="AP137" s="255">
        <v>0</v>
      </c>
      <c r="AQ137" s="256">
        <v>0</v>
      </c>
      <c r="AR137" s="257">
        <v>0</v>
      </c>
      <c r="AS137" s="255">
        <v>0</v>
      </c>
      <c r="AT137" s="256">
        <v>0</v>
      </c>
      <c r="AU137" s="257">
        <v>0</v>
      </c>
      <c r="AV137" s="255">
        <v>0</v>
      </c>
      <c r="AW137" s="256">
        <v>0</v>
      </c>
      <c r="AX137" s="257">
        <v>0</v>
      </c>
      <c r="AY137" s="243">
        <v>0</v>
      </c>
      <c r="AZ137" s="244">
        <v>0</v>
      </c>
      <c r="BA137" s="244">
        <v>0</v>
      </c>
      <c r="BB137" s="244">
        <v>0</v>
      </c>
      <c r="BC137" s="244">
        <v>0</v>
      </c>
      <c r="BD137" s="244">
        <v>0</v>
      </c>
      <c r="BE137" s="244">
        <v>0</v>
      </c>
      <c r="BF137" s="244">
        <v>0</v>
      </c>
      <c r="BG137" s="244">
        <v>0</v>
      </c>
      <c r="BH137" s="245">
        <v>0</v>
      </c>
      <c r="BK137">
        <v>79</v>
      </c>
      <c r="BL137" s="281">
        <v>0.60804020100502509</v>
      </c>
      <c r="BM137" s="281">
        <v>10849.869346733667</v>
      </c>
      <c r="BN137" s="282">
        <v>7680.6030150753904</v>
      </c>
      <c r="BO137" s="282">
        <v>159.09045226130723</v>
      </c>
      <c r="BP137" s="282">
        <v>0</v>
      </c>
      <c r="BQ137" s="283">
        <v>0</v>
      </c>
      <c r="BR137" s="284"/>
      <c r="BS137" s="147"/>
      <c r="BT137" s="285">
        <v>1</v>
      </c>
      <c r="BU137" s="288">
        <v>3.4430039393564885E-2</v>
      </c>
      <c r="BV137" s="287">
        <v>0</v>
      </c>
      <c r="BW137" s="288">
        <v>0</v>
      </c>
      <c r="BX137" s="286">
        <v>100</v>
      </c>
      <c r="BY137" s="287">
        <v>0</v>
      </c>
      <c r="BZ137" s="288">
        <v>0</v>
      </c>
      <c r="CA137" s="286">
        <v>0.77317453145639159</v>
      </c>
      <c r="CB137" s="286">
        <v>0</v>
      </c>
      <c r="CC137" s="287">
        <v>1.220378246081401</v>
      </c>
      <c r="CD137" s="286">
        <v>0</v>
      </c>
      <c r="CE137" s="286">
        <v>15.739382394496609</v>
      </c>
      <c r="CF137" s="286">
        <v>0</v>
      </c>
      <c r="CG137" s="287">
        <v>22.470181870005511</v>
      </c>
      <c r="CH137" s="288">
        <v>0</v>
      </c>
      <c r="CI137" s="286">
        <v>1.8039816591962359</v>
      </c>
      <c r="CJ137" s="286">
        <v>0</v>
      </c>
      <c r="CK137" s="287"/>
      <c r="CL137" s="288"/>
      <c r="CM137" s="286"/>
      <c r="CN137" s="287"/>
      <c r="CO137" s="289"/>
      <c r="CP137" s="290"/>
      <c r="CQ137" s="289"/>
      <c r="CR137" s="290"/>
      <c r="CS137" s="284"/>
      <c r="CT137" s="147"/>
      <c r="CU137" s="291"/>
      <c r="CV137" s="292"/>
    </row>
    <row r="138" spans="2:100">
      <c r="B138">
        <v>80</v>
      </c>
      <c r="C138" s="243">
        <v>1</v>
      </c>
      <c r="D138" s="592">
        <v>0</v>
      </c>
      <c r="E138" s="245">
        <v>0</v>
      </c>
      <c r="F138" s="243">
        <v>0</v>
      </c>
      <c r="G138" s="245">
        <v>0</v>
      </c>
      <c r="H138" s="243">
        <v>0</v>
      </c>
      <c r="I138" s="245">
        <v>0</v>
      </c>
      <c r="J138" s="242">
        <v>0</v>
      </c>
      <c r="K138" s="242">
        <v>19.076097894593477</v>
      </c>
      <c r="L138" s="242">
        <v>5.0251256281407036E-3</v>
      </c>
      <c r="M138" s="243">
        <v>116.53589751483494</v>
      </c>
      <c r="N138" s="592">
        <v>32.002762555376627</v>
      </c>
      <c r="O138" s="245">
        <v>0.56813391303062621</v>
      </c>
      <c r="P138" s="245">
        <v>1.200775405925552</v>
      </c>
      <c r="Q138" s="254">
        <v>0</v>
      </c>
      <c r="R138" s="255">
        <v>0</v>
      </c>
      <c r="S138" s="256">
        <v>0</v>
      </c>
      <c r="T138" s="257">
        <v>0</v>
      </c>
      <c r="U138" s="255">
        <v>0</v>
      </c>
      <c r="V138" s="256">
        <v>0</v>
      </c>
      <c r="W138" s="257">
        <v>0</v>
      </c>
      <c r="X138" s="255">
        <v>0</v>
      </c>
      <c r="Y138" s="256">
        <v>0</v>
      </c>
      <c r="Z138" s="257">
        <v>0</v>
      </c>
      <c r="AA138" s="255">
        <v>0</v>
      </c>
      <c r="AB138" s="256">
        <v>0</v>
      </c>
      <c r="AC138" s="257">
        <v>0</v>
      </c>
      <c r="AD138" s="255">
        <v>0</v>
      </c>
      <c r="AE138" s="256">
        <v>0</v>
      </c>
      <c r="AF138" s="257">
        <v>0</v>
      </c>
      <c r="AG138" s="255">
        <v>0</v>
      </c>
      <c r="AH138" s="256">
        <v>0</v>
      </c>
      <c r="AI138" s="257">
        <v>0</v>
      </c>
      <c r="AJ138" s="255">
        <v>0</v>
      </c>
      <c r="AK138" s="256">
        <v>0</v>
      </c>
      <c r="AL138" s="257">
        <v>0</v>
      </c>
      <c r="AM138" s="255">
        <v>0</v>
      </c>
      <c r="AN138" s="256">
        <v>0</v>
      </c>
      <c r="AO138" s="257">
        <v>0</v>
      </c>
      <c r="AP138" s="255">
        <v>0</v>
      </c>
      <c r="AQ138" s="256">
        <v>0</v>
      </c>
      <c r="AR138" s="257">
        <v>0</v>
      </c>
      <c r="AS138" s="255">
        <v>0</v>
      </c>
      <c r="AT138" s="256">
        <v>0</v>
      </c>
      <c r="AU138" s="257">
        <v>0</v>
      </c>
      <c r="AV138" s="255">
        <v>0</v>
      </c>
      <c r="AW138" s="256">
        <v>0</v>
      </c>
      <c r="AX138" s="257">
        <v>0</v>
      </c>
      <c r="AY138" s="243">
        <v>0</v>
      </c>
      <c r="AZ138" s="244">
        <v>0</v>
      </c>
      <c r="BA138" s="244">
        <v>0</v>
      </c>
      <c r="BB138" s="244">
        <v>0</v>
      </c>
      <c r="BC138" s="244">
        <v>0</v>
      </c>
      <c r="BD138" s="244">
        <v>0</v>
      </c>
      <c r="BE138" s="244">
        <v>0</v>
      </c>
      <c r="BF138" s="244">
        <v>0</v>
      </c>
      <c r="BG138" s="244">
        <v>0</v>
      </c>
      <c r="BH138" s="245">
        <v>0</v>
      </c>
      <c r="BK138">
        <v>80</v>
      </c>
      <c r="BL138" s="281">
        <v>0.60301507537688437</v>
      </c>
      <c r="BM138" s="281">
        <v>10760.201005025125</v>
      </c>
      <c r="BN138" s="282">
        <v>7648.2261306532801</v>
      </c>
      <c r="BO138" s="282">
        <v>158.78391959799066</v>
      </c>
      <c r="BP138" s="282">
        <v>0</v>
      </c>
      <c r="BQ138" s="283">
        <v>0</v>
      </c>
      <c r="BR138" s="284"/>
      <c r="BS138" s="147"/>
      <c r="BT138" s="285">
        <v>1</v>
      </c>
      <c r="BU138" s="288">
        <v>3.4430039393564885E-2</v>
      </c>
      <c r="BV138" s="287">
        <v>0</v>
      </c>
      <c r="BW138" s="288">
        <v>0</v>
      </c>
      <c r="BX138" s="286">
        <v>100</v>
      </c>
      <c r="BY138" s="287">
        <v>0</v>
      </c>
      <c r="BZ138" s="288">
        <v>0</v>
      </c>
      <c r="CA138" s="286">
        <v>0.77307944623360758</v>
      </c>
      <c r="CB138" s="286">
        <v>0</v>
      </c>
      <c r="CC138" s="287">
        <v>1.2203418108879374</v>
      </c>
      <c r="CD138" s="286">
        <v>0</v>
      </c>
      <c r="CE138" s="286">
        <v>15.739035847929697</v>
      </c>
      <c r="CF138" s="286">
        <v>0</v>
      </c>
      <c r="CG138" s="287">
        <v>22.471403522795327</v>
      </c>
      <c r="CH138" s="288">
        <v>0</v>
      </c>
      <c r="CI138" s="286">
        <v>1.8054899424899775</v>
      </c>
      <c r="CJ138" s="286">
        <v>0</v>
      </c>
      <c r="CK138" s="287"/>
      <c r="CL138" s="288"/>
      <c r="CM138" s="286"/>
      <c r="CN138" s="287"/>
      <c r="CO138" s="289"/>
      <c r="CP138" s="290"/>
      <c r="CQ138" s="289"/>
      <c r="CR138" s="290"/>
      <c r="CS138" s="284"/>
      <c r="CT138" s="147"/>
      <c r="CU138" s="291"/>
      <c r="CV138" s="292"/>
    </row>
    <row r="139" spans="2:100">
      <c r="B139">
        <v>81</v>
      </c>
      <c r="C139" s="243">
        <v>1</v>
      </c>
      <c r="D139" s="592">
        <v>0</v>
      </c>
      <c r="E139" s="245">
        <v>0</v>
      </c>
      <c r="F139" s="243">
        <v>0</v>
      </c>
      <c r="G139" s="245">
        <v>0</v>
      </c>
      <c r="H139" s="243">
        <v>0</v>
      </c>
      <c r="I139" s="245">
        <v>0</v>
      </c>
      <c r="J139" s="242">
        <v>0</v>
      </c>
      <c r="K139" s="242">
        <v>19.078449873553517</v>
      </c>
      <c r="L139" s="242">
        <v>5.0251256281407036E-3</v>
      </c>
      <c r="M139" s="243">
        <v>116.51267700970683</v>
      </c>
      <c r="N139" s="592">
        <v>31.956010609302162</v>
      </c>
      <c r="O139" s="245">
        <v>0.56818041194378255</v>
      </c>
      <c r="P139" s="245">
        <v>1.2009234549922991</v>
      </c>
      <c r="Q139" s="254">
        <v>0</v>
      </c>
      <c r="R139" s="255">
        <v>0</v>
      </c>
      <c r="S139" s="256">
        <v>0</v>
      </c>
      <c r="T139" s="257">
        <v>0</v>
      </c>
      <c r="U139" s="255">
        <v>0</v>
      </c>
      <c r="V139" s="256">
        <v>0</v>
      </c>
      <c r="W139" s="257">
        <v>0</v>
      </c>
      <c r="X139" s="255">
        <v>0</v>
      </c>
      <c r="Y139" s="256">
        <v>0</v>
      </c>
      <c r="Z139" s="257">
        <v>0</v>
      </c>
      <c r="AA139" s="255">
        <v>0</v>
      </c>
      <c r="AB139" s="256">
        <v>0</v>
      </c>
      <c r="AC139" s="257">
        <v>0</v>
      </c>
      <c r="AD139" s="255">
        <v>0</v>
      </c>
      <c r="AE139" s="256">
        <v>0</v>
      </c>
      <c r="AF139" s="257">
        <v>0</v>
      </c>
      <c r="AG139" s="255">
        <v>0</v>
      </c>
      <c r="AH139" s="256">
        <v>0</v>
      </c>
      <c r="AI139" s="257">
        <v>0</v>
      </c>
      <c r="AJ139" s="255">
        <v>0</v>
      </c>
      <c r="AK139" s="256">
        <v>0</v>
      </c>
      <c r="AL139" s="257">
        <v>0</v>
      </c>
      <c r="AM139" s="255">
        <v>0</v>
      </c>
      <c r="AN139" s="256">
        <v>0</v>
      </c>
      <c r="AO139" s="257">
        <v>0</v>
      </c>
      <c r="AP139" s="255">
        <v>0</v>
      </c>
      <c r="AQ139" s="256">
        <v>0</v>
      </c>
      <c r="AR139" s="257">
        <v>0</v>
      </c>
      <c r="AS139" s="255">
        <v>0</v>
      </c>
      <c r="AT139" s="256">
        <v>0</v>
      </c>
      <c r="AU139" s="257">
        <v>0</v>
      </c>
      <c r="AV139" s="255">
        <v>0</v>
      </c>
      <c r="AW139" s="256">
        <v>0</v>
      </c>
      <c r="AX139" s="257">
        <v>0</v>
      </c>
      <c r="AY139" s="243">
        <v>0</v>
      </c>
      <c r="AZ139" s="244">
        <v>0</v>
      </c>
      <c r="BA139" s="244">
        <v>0</v>
      </c>
      <c r="BB139" s="244">
        <v>0</v>
      </c>
      <c r="BC139" s="244">
        <v>0</v>
      </c>
      <c r="BD139" s="244">
        <v>0</v>
      </c>
      <c r="BE139" s="244">
        <v>0</v>
      </c>
      <c r="BF139" s="244">
        <v>0</v>
      </c>
      <c r="BG139" s="244">
        <v>0</v>
      </c>
      <c r="BH139" s="245">
        <v>0</v>
      </c>
      <c r="BK139">
        <v>81</v>
      </c>
      <c r="BL139" s="281">
        <v>0.59798994974874364</v>
      </c>
      <c r="BM139" s="281">
        <v>10670.532663316582</v>
      </c>
      <c r="BN139" s="282">
        <v>7615.8492462311697</v>
      </c>
      <c r="BO139" s="282">
        <v>158.47738693467409</v>
      </c>
      <c r="BP139" s="282">
        <v>0</v>
      </c>
      <c r="BQ139" s="283">
        <v>0</v>
      </c>
      <c r="BR139" s="284"/>
      <c r="BS139" s="147"/>
      <c r="BT139" s="285">
        <v>1</v>
      </c>
      <c r="BU139" s="288">
        <v>3.4430039393564885E-2</v>
      </c>
      <c r="BV139" s="287">
        <v>0</v>
      </c>
      <c r="BW139" s="288">
        <v>0</v>
      </c>
      <c r="BX139" s="286">
        <v>100</v>
      </c>
      <c r="BY139" s="287">
        <v>0</v>
      </c>
      <c r="BZ139" s="288">
        <v>0</v>
      </c>
      <c r="CA139" s="286">
        <v>0.77298414149952099</v>
      </c>
      <c r="CB139" s="286">
        <v>0</v>
      </c>
      <c r="CC139" s="287">
        <v>1.220305365943513</v>
      </c>
      <c r="CD139" s="286">
        <v>0</v>
      </c>
      <c r="CE139" s="286">
        <v>15.738685419724114</v>
      </c>
      <c r="CF139" s="286">
        <v>0</v>
      </c>
      <c r="CG139" s="287">
        <v>22.472625256311442</v>
      </c>
      <c r="CH139" s="288">
        <v>0</v>
      </c>
      <c r="CI139" s="286">
        <v>1.8070124080175287</v>
      </c>
      <c r="CJ139" s="286">
        <v>0</v>
      </c>
      <c r="CK139" s="287"/>
      <c r="CL139" s="288"/>
      <c r="CM139" s="286"/>
      <c r="CN139" s="287"/>
      <c r="CO139" s="289"/>
      <c r="CP139" s="290"/>
      <c r="CQ139" s="289"/>
      <c r="CR139" s="290"/>
      <c r="CS139" s="284"/>
      <c r="CT139" s="147"/>
      <c r="CU139" s="291"/>
      <c r="CV139" s="292"/>
    </row>
    <row r="140" spans="2:100">
      <c r="B140">
        <v>82</v>
      </c>
      <c r="C140" s="243">
        <v>1</v>
      </c>
      <c r="D140" s="592">
        <v>0</v>
      </c>
      <c r="E140" s="245">
        <v>0</v>
      </c>
      <c r="F140" s="243">
        <v>0</v>
      </c>
      <c r="G140" s="245">
        <v>0</v>
      </c>
      <c r="H140" s="243">
        <v>0</v>
      </c>
      <c r="I140" s="245">
        <v>0</v>
      </c>
      <c r="J140" s="242">
        <v>0</v>
      </c>
      <c r="K140" s="242">
        <v>19.080807877288802</v>
      </c>
      <c r="L140" s="242">
        <v>5.0251256281407036E-3</v>
      </c>
      <c r="M140" s="243">
        <v>116.48968034626073</v>
      </c>
      <c r="N140" s="592">
        <v>31.909081735079383</v>
      </c>
      <c r="O140" s="245">
        <v>0.56822744219464871</v>
      </c>
      <c r="P140" s="245">
        <v>1.2010718832981326</v>
      </c>
      <c r="Q140" s="254">
        <v>0</v>
      </c>
      <c r="R140" s="255">
        <v>0</v>
      </c>
      <c r="S140" s="256">
        <v>0</v>
      </c>
      <c r="T140" s="257">
        <v>0</v>
      </c>
      <c r="U140" s="255">
        <v>0</v>
      </c>
      <c r="V140" s="256">
        <v>0</v>
      </c>
      <c r="W140" s="257">
        <v>0</v>
      </c>
      <c r="X140" s="255">
        <v>0</v>
      </c>
      <c r="Y140" s="256">
        <v>0</v>
      </c>
      <c r="Z140" s="257">
        <v>0</v>
      </c>
      <c r="AA140" s="255">
        <v>0</v>
      </c>
      <c r="AB140" s="256">
        <v>0</v>
      </c>
      <c r="AC140" s="257">
        <v>0</v>
      </c>
      <c r="AD140" s="255">
        <v>0</v>
      </c>
      <c r="AE140" s="256">
        <v>0</v>
      </c>
      <c r="AF140" s="257">
        <v>0</v>
      </c>
      <c r="AG140" s="255">
        <v>0</v>
      </c>
      <c r="AH140" s="256">
        <v>0</v>
      </c>
      <c r="AI140" s="257">
        <v>0</v>
      </c>
      <c r="AJ140" s="255">
        <v>0</v>
      </c>
      <c r="AK140" s="256">
        <v>0</v>
      </c>
      <c r="AL140" s="257">
        <v>0</v>
      </c>
      <c r="AM140" s="255">
        <v>0</v>
      </c>
      <c r="AN140" s="256">
        <v>0</v>
      </c>
      <c r="AO140" s="257">
        <v>0</v>
      </c>
      <c r="AP140" s="255">
        <v>0</v>
      </c>
      <c r="AQ140" s="256">
        <v>0</v>
      </c>
      <c r="AR140" s="257">
        <v>0</v>
      </c>
      <c r="AS140" s="255">
        <v>0</v>
      </c>
      <c r="AT140" s="256">
        <v>0</v>
      </c>
      <c r="AU140" s="257">
        <v>0</v>
      </c>
      <c r="AV140" s="255">
        <v>0</v>
      </c>
      <c r="AW140" s="256">
        <v>0</v>
      </c>
      <c r="AX140" s="257">
        <v>0</v>
      </c>
      <c r="AY140" s="243">
        <v>0</v>
      </c>
      <c r="AZ140" s="244">
        <v>0</v>
      </c>
      <c r="BA140" s="244">
        <v>0</v>
      </c>
      <c r="BB140" s="244">
        <v>0</v>
      </c>
      <c r="BC140" s="244">
        <v>0</v>
      </c>
      <c r="BD140" s="244">
        <v>0</v>
      </c>
      <c r="BE140" s="244">
        <v>0</v>
      </c>
      <c r="BF140" s="244">
        <v>0</v>
      </c>
      <c r="BG140" s="244">
        <v>0</v>
      </c>
      <c r="BH140" s="245">
        <v>0</v>
      </c>
      <c r="BK140">
        <v>82</v>
      </c>
      <c r="BL140" s="281">
        <v>0.59296482412060303</v>
      </c>
      <c r="BM140" s="281">
        <v>10580.86432160804</v>
      </c>
      <c r="BN140" s="282">
        <v>7583.4723618090593</v>
      </c>
      <c r="BO140" s="282">
        <v>158.17085427135751</v>
      </c>
      <c r="BP140" s="282">
        <v>0</v>
      </c>
      <c r="BQ140" s="283">
        <v>0</v>
      </c>
      <c r="BR140" s="284"/>
      <c r="BS140" s="147"/>
      <c r="BT140" s="285">
        <v>1</v>
      </c>
      <c r="BU140" s="288">
        <v>3.4430039393564885E-2</v>
      </c>
      <c r="BV140" s="287">
        <v>0</v>
      </c>
      <c r="BW140" s="288">
        <v>0</v>
      </c>
      <c r="BX140" s="286">
        <v>100</v>
      </c>
      <c r="BY140" s="287">
        <v>0</v>
      </c>
      <c r="BZ140" s="288">
        <v>0</v>
      </c>
      <c r="CA140" s="286">
        <v>0.77288861622068117</v>
      </c>
      <c r="CB140" s="286">
        <v>0</v>
      </c>
      <c r="CC140" s="287">
        <v>1.2202689112224965</v>
      </c>
      <c r="CD140" s="286">
        <v>0</v>
      </c>
      <c r="CE140" s="286">
        <v>15.738331090937917</v>
      </c>
      <c r="CF140" s="286">
        <v>0</v>
      </c>
      <c r="CG140" s="287">
        <v>22.473847070378831</v>
      </c>
      <c r="CH140" s="288">
        <v>0</v>
      </c>
      <c r="CI140" s="286">
        <v>1.8085490679648604</v>
      </c>
      <c r="CJ140" s="286">
        <v>0</v>
      </c>
      <c r="CK140" s="287"/>
      <c r="CL140" s="288"/>
      <c r="CM140" s="286"/>
      <c r="CN140" s="287"/>
      <c r="CO140" s="289"/>
      <c r="CP140" s="290"/>
      <c r="CQ140" s="289"/>
      <c r="CR140" s="290"/>
      <c r="CS140" s="284"/>
      <c r="CT140" s="147"/>
      <c r="CU140" s="291"/>
      <c r="CV140" s="292"/>
    </row>
    <row r="141" spans="2:100">
      <c r="B141">
        <v>83</v>
      </c>
      <c r="C141" s="243">
        <v>1</v>
      </c>
      <c r="D141" s="592">
        <v>0</v>
      </c>
      <c r="E141" s="245">
        <v>0</v>
      </c>
      <c r="F141" s="243">
        <v>0</v>
      </c>
      <c r="G141" s="245">
        <v>0</v>
      </c>
      <c r="H141" s="243">
        <v>0</v>
      </c>
      <c r="I141" s="245">
        <v>0</v>
      </c>
      <c r="J141" s="242">
        <v>0</v>
      </c>
      <c r="K141" s="242">
        <v>19.08317193574446</v>
      </c>
      <c r="L141" s="242">
        <v>5.0251256281407036E-3</v>
      </c>
      <c r="M141" s="243">
        <v>116.46690865622877</v>
      </c>
      <c r="N141" s="592">
        <v>31.861977238159913</v>
      </c>
      <c r="O141" s="245">
        <v>0.56827499402178816</v>
      </c>
      <c r="P141" s="245">
        <v>1.2012206927279967</v>
      </c>
      <c r="Q141" s="254">
        <v>0</v>
      </c>
      <c r="R141" s="255">
        <v>0</v>
      </c>
      <c r="S141" s="256">
        <v>0</v>
      </c>
      <c r="T141" s="257">
        <v>0</v>
      </c>
      <c r="U141" s="255">
        <v>0</v>
      </c>
      <c r="V141" s="256">
        <v>0</v>
      </c>
      <c r="W141" s="257">
        <v>0</v>
      </c>
      <c r="X141" s="255">
        <v>0</v>
      </c>
      <c r="Y141" s="256">
        <v>0</v>
      </c>
      <c r="Z141" s="257">
        <v>0</v>
      </c>
      <c r="AA141" s="255">
        <v>0</v>
      </c>
      <c r="AB141" s="256">
        <v>0</v>
      </c>
      <c r="AC141" s="257">
        <v>0</v>
      </c>
      <c r="AD141" s="255">
        <v>0</v>
      </c>
      <c r="AE141" s="256">
        <v>0</v>
      </c>
      <c r="AF141" s="257">
        <v>0</v>
      </c>
      <c r="AG141" s="255">
        <v>0</v>
      </c>
      <c r="AH141" s="256">
        <v>0</v>
      </c>
      <c r="AI141" s="257">
        <v>0</v>
      </c>
      <c r="AJ141" s="255">
        <v>0</v>
      </c>
      <c r="AK141" s="256">
        <v>0</v>
      </c>
      <c r="AL141" s="257">
        <v>0</v>
      </c>
      <c r="AM141" s="255">
        <v>0</v>
      </c>
      <c r="AN141" s="256">
        <v>0</v>
      </c>
      <c r="AO141" s="257">
        <v>0</v>
      </c>
      <c r="AP141" s="255">
        <v>0</v>
      </c>
      <c r="AQ141" s="256">
        <v>0</v>
      </c>
      <c r="AR141" s="257">
        <v>0</v>
      </c>
      <c r="AS141" s="255">
        <v>0</v>
      </c>
      <c r="AT141" s="256">
        <v>0</v>
      </c>
      <c r="AU141" s="257">
        <v>0</v>
      </c>
      <c r="AV141" s="255">
        <v>0</v>
      </c>
      <c r="AW141" s="256">
        <v>0</v>
      </c>
      <c r="AX141" s="257">
        <v>0</v>
      </c>
      <c r="AY141" s="243">
        <v>0</v>
      </c>
      <c r="AZ141" s="244">
        <v>0</v>
      </c>
      <c r="BA141" s="244">
        <v>0</v>
      </c>
      <c r="BB141" s="244">
        <v>0</v>
      </c>
      <c r="BC141" s="244">
        <v>0</v>
      </c>
      <c r="BD141" s="244">
        <v>0</v>
      </c>
      <c r="BE141" s="244">
        <v>0</v>
      </c>
      <c r="BF141" s="244">
        <v>0</v>
      </c>
      <c r="BG141" s="244">
        <v>0</v>
      </c>
      <c r="BH141" s="245">
        <v>0</v>
      </c>
      <c r="BK141">
        <v>83</v>
      </c>
      <c r="BL141" s="281">
        <v>0.5879396984924623</v>
      </c>
      <c r="BM141" s="281">
        <v>10491.195979899498</v>
      </c>
      <c r="BN141" s="282">
        <v>7551.0954773869489</v>
      </c>
      <c r="BO141" s="282">
        <v>157.86432160804094</v>
      </c>
      <c r="BP141" s="282">
        <v>0</v>
      </c>
      <c r="BQ141" s="283">
        <v>0</v>
      </c>
      <c r="BR141" s="284"/>
      <c r="BS141" s="147"/>
      <c r="BT141" s="285">
        <v>1</v>
      </c>
      <c r="BU141" s="288">
        <v>3.4430039393564885E-2</v>
      </c>
      <c r="BV141" s="287">
        <v>0</v>
      </c>
      <c r="BW141" s="288">
        <v>0</v>
      </c>
      <c r="BX141" s="286">
        <v>100</v>
      </c>
      <c r="BY141" s="287">
        <v>0</v>
      </c>
      <c r="BZ141" s="288">
        <v>0</v>
      </c>
      <c r="CA141" s="286">
        <v>0.77279286935665814</v>
      </c>
      <c r="CB141" s="286">
        <v>0</v>
      </c>
      <c r="CC141" s="287">
        <v>1.2202324466991894</v>
      </c>
      <c r="CD141" s="286">
        <v>0</v>
      </c>
      <c r="CE141" s="286">
        <v>15.737972842500334</v>
      </c>
      <c r="CF141" s="286">
        <v>0</v>
      </c>
      <c r="CG141" s="287">
        <v>22.475068964821595</v>
      </c>
      <c r="CH141" s="288">
        <v>0</v>
      </c>
      <c r="CI141" s="286">
        <v>1.8100999348197384</v>
      </c>
      <c r="CJ141" s="286">
        <v>0</v>
      </c>
      <c r="CK141" s="287"/>
      <c r="CL141" s="288"/>
      <c r="CM141" s="286"/>
      <c r="CN141" s="287"/>
      <c r="CO141" s="289"/>
      <c r="CP141" s="290"/>
      <c r="CQ141" s="289"/>
      <c r="CR141" s="290"/>
      <c r="CS141" s="284"/>
      <c r="CT141" s="147"/>
      <c r="CU141" s="291"/>
      <c r="CV141" s="292"/>
    </row>
    <row r="142" spans="2:100">
      <c r="B142">
        <v>84</v>
      </c>
      <c r="C142" s="243">
        <v>1</v>
      </c>
      <c r="D142" s="592">
        <v>0</v>
      </c>
      <c r="E142" s="245">
        <v>0</v>
      </c>
      <c r="F142" s="243">
        <v>0</v>
      </c>
      <c r="G142" s="245">
        <v>0</v>
      </c>
      <c r="H142" s="243">
        <v>0</v>
      </c>
      <c r="I142" s="245">
        <v>0</v>
      </c>
      <c r="J142" s="242">
        <v>0</v>
      </c>
      <c r="K142" s="242">
        <v>19.085542079077623</v>
      </c>
      <c r="L142" s="242">
        <v>5.0251256281407036E-3</v>
      </c>
      <c r="M142" s="243">
        <v>116.44436307962167</v>
      </c>
      <c r="N142" s="592">
        <v>31.814698423625018</v>
      </c>
      <c r="O142" s="245">
        <v>0.56832305760856439</v>
      </c>
      <c r="P142" s="245">
        <v>1.20136988518018</v>
      </c>
      <c r="Q142" s="254">
        <v>0</v>
      </c>
      <c r="R142" s="255">
        <v>0</v>
      </c>
      <c r="S142" s="256">
        <v>0</v>
      </c>
      <c r="T142" s="257">
        <v>0</v>
      </c>
      <c r="U142" s="255">
        <v>0</v>
      </c>
      <c r="V142" s="256">
        <v>0</v>
      </c>
      <c r="W142" s="257">
        <v>0</v>
      </c>
      <c r="X142" s="255">
        <v>0</v>
      </c>
      <c r="Y142" s="256">
        <v>0</v>
      </c>
      <c r="Z142" s="257">
        <v>0</v>
      </c>
      <c r="AA142" s="255">
        <v>0</v>
      </c>
      <c r="AB142" s="256">
        <v>0</v>
      </c>
      <c r="AC142" s="257">
        <v>0</v>
      </c>
      <c r="AD142" s="255">
        <v>0</v>
      </c>
      <c r="AE142" s="256">
        <v>0</v>
      </c>
      <c r="AF142" s="257">
        <v>0</v>
      </c>
      <c r="AG142" s="255">
        <v>0</v>
      </c>
      <c r="AH142" s="256">
        <v>0</v>
      </c>
      <c r="AI142" s="257">
        <v>0</v>
      </c>
      <c r="AJ142" s="255">
        <v>0</v>
      </c>
      <c r="AK142" s="256">
        <v>0</v>
      </c>
      <c r="AL142" s="257">
        <v>0</v>
      </c>
      <c r="AM142" s="255">
        <v>0</v>
      </c>
      <c r="AN142" s="256">
        <v>0</v>
      </c>
      <c r="AO142" s="257">
        <v>0</v>
      </c>
      <c r="AP142" s="255">
        <v>0</v>
      </c>
      <c r="AQ142" s="256">
        <v>0</v>
      </c>
      <c r="AR142" s="257">
        <v>0</v>
      </c>
      <c r="AS142" s="255">
        <v>0</v>
      </c>
      <c r="AT142" s="256">
        <v>0</v>
      </c>
      <c r="AU142" s="257">
        <v>0</v>
      </c>
      <c r="AV142" s="255">
        <v>0</v>
      </c>
      <c r="AW142" s="256">
        <v>0</v>
      </c>
      <c r="AX142" s="257">
        <v>0</v>
      </c>
      <c r="AY142" s="243">
        <v>0</v>
      </c>
      <c r="AZ142" s="244">
        <v>0</v>
      </c>
      <c r="BA142" s="244">
        <v>0</v>
      </c>
      <c r="BB142" s="244">
        <v>0</v>
      </c>
      <c r="BC142" s="244">
        <v>0</v>
      </c>
      <c r="BD142" s="244">
        <v>0</v>
      </c>
      <c r="BE142" s="244">
        <v>0</v>
      </c>
      <c r="BF142" s="244">
        <v>0</v>
      </c>
      <c r="BG142" s="244">
        <v>0</v>
      </c>
      <c r="BH142" s="245">
        <v>0</v>
      </c>
      <c r="BK142">
        <v>84</v>
      </c>
      <c r="BL142" s="281">
        <v>0.58291457286432169</v>
      </c>
      <c r="BM142" s="281">
        <v>10401.527638190955</v>
      </c>
      <c r="BN142" s="282">
        <v>7518.7185929648385</v>
      </c>
      <c r="BO142" s="282">
        <v>157.55778894472436</v>
      </c>
      <c r="BP142" s="282">
        <v>0</v>
      </c>
      <c r="BQ142" s="283">
        <v>0</v>
      </c>
      <c r="BR142" s="284"/>
      <c r="BS142" s="147"/>
      <c r="BT142" s="285">
        <v>1</v>
      </c>
      <c r="BU142" s="288">
        <v>3.4430039393564885E-2</v>
      </c>
      <c r="BV142" s="287">
        <v>0</v>
      </c>
      <c r="BW142" s="288">
        <v>0</v>
      </c>
      <c r="BX142" s="286">
        <v>100</v>
      </c>
      <c r="BY142" s="287">
        <v>0</v>
      </c>
      <c r="BZ142" s="288">
        <v>0</v>
      </c>
      <c r="CA142" s="286">
        <v>0.77269689985997647</v>
      </c>
      <c r="CB142" s="286">
        <v>0</v>
      </c>
      <c r="CC142" s="287">
        <v>1.2201959723478062</v>
      </c>
      <c r="CD142" s="286">
        <v>0</v>
      </c>
      <c r="CE142" s="286">
        <v>15.737610655210553</v>
      </c>
      <c r="CF142" s="286">
        <v>0</v>
      </c>
      <c r="CG142" s="287">
        <v>22.476290939462796</v>
      </c>
      <c r="CH142" s="288">
        <v>0</v>
      </c>
      <c r="CI142" s="286">
        <v>1.8116650213703285</v>
      </c>
      <c r="CJ142" s="286">
        <v>0</v>
      </c>
      <c r="CK142" s="287"/>
      <c r="CL142" s="288"/>
      <c r="CM142" s="286"/>
      <c r="CN142" s="287"/>
      <c r="CO142" s="289"/>
      <c r="CP142" s="290"/>
      <c r="CQ142" s="289"/>
      <c r="CR142" s="290"/>
      <c r="CS142" s="284"/>
      <c r="CT142" s="147"/>
      <c r="CU142" s="291"/>
      <c r="CV142" s="292"/>
    </row>
    <row r="143" spans="2:100">
      <c r="B143">
        <v>85</v>
      </c>
      <c r="C143" s="243">
        <v>1</v>
      </c>
      <c r="D143" s="592">
        <v>0</v>
      </c>
      <c r="E143" s="245">
        <v>0</v>
      </c>
      <c r="F143" s="243">
        <v>0</v>
      </c>
      <c r="G143" s="245">
        <v>0</v>
      </c>
      <c r="H143" s="243">
        <v>0</v>
      </c>
      <c r="I143" s="245">
        <v>0</v>
      </c>
      <c r="J143" s="242">
        <v>0</v>
      </c>
      <c r="K143" s="242">
        <v>19.087918337659318</v>
      </c>
      <c r="L143" s="242">
        <v>5.0251256281407036E-3</v>
      </c>
      <c r="M143" s="243">
        <v>116.42204476480728</v>
      </c>
      <c r="N143" s="592">
        <v>31.767246596160184</v>
      </c>
      <c r="O143" s="245">
        <v>0.56837162308309797</v>
      </c>
      <c r="P143" s="245">
        <v>1.2015194625664347</v>
      </c>
      <c r="Q143" s="254">
        <v>0</v>
      </c>
      <c r="R143" s="255">
        <v>0</v>
      </c>
      <c r="S143" s="256">
        <v>0</v>
      </c>
      <c r="T143" s="257">
        <v>0</v>
      </c>
      <c r="U143" s="255">
        <v>0</v>
      </c>
      <c r="V143" s="256">
        <v>0</v>
      </c>
      <c r="W143" s="257">
        <v>0</v>
      </c>
      <c r="X143" s="255">
        <v>0</v>
      </c>
      <c r="Y143" s="256">
        <v>0</v>
      </c>
      <c r="Z143" s="257">
        <v>0</v>
      </c>
      <c r="AA143" s="255">
        <v>0</v>
      </c>
      <c r="AB143" s="256">
        <v>0</v>
      </c>
      <c r="AC143" s="257">
        <v>0</v>
      </c>
      <c r="AD143" s="255">
        <v>0</v>
      </c>
      <c r="AE143" s="256">
        <v>0</v>
      </c>
      <c r="AF143" s="257">
        <v>0</v>
      </c>
      <c r="AG143" s="255">
        <v>0</v>
      </c>
      <c r="AH143" s="256">
        <v>0</v>
      </c>
      <c r="AI143" s="257">
        <v>0</v>
      </c>
      <c r="AJ143" s="255">
        <v>0</v>
      </c>
      <c r="AK143" s="256">
        <v>0</v>
      </c>
      <c r="AL143" s="257">
        <v>0</v>
      </c>
      <c r="AM143" s="255">
        <v>0</v>
      </c>
      <c r="AN143" s="256">
        <v>0</v>
      </c>
      <c r="AO143" s="257">
        <v>0</v>
      </c>
      <c r="AP143" s="255">
        <v>0</v>
      </c>
      <c r="AQ143" s="256">
        <v>0</v>
      </c>
      <c r="AR143" s="257">
        <v>0</v>
      </c>
      <c r="AS143" s="255">
        <v>0</v>
      </c>
      <c r="AT143" s="256">
        <v>0</v>
      </c>
      <c r="AU143" s="257">
        <v>0</v>
      </c>
      <c r="AV143" s="255">
        <v>0</v>
      </c>
      <c r="AW143" s="256">
        <v>0</v>
      </c>
      <c r="AX143" s="257">
        <v>0</v>
      </c>
      <c r="AY143" s="243">
        <v>0</v>
      </c>
      <c r="AZ143" s="244">
        <v>0</v>
      </c>
      <c r="BA143" s="244">
        <v>0</v>
      </c>
      <c r="BB143" s="244">
        <v>0</v>
      </c>
      <c r="BC143" s="244">
        <v>0</v>
      </c>
      <c r="BD143" s="244">
        <v>0</v>
      </c>
      <c r="BE143" s="244">
        <v>0</v>
      </c>
      <c r="BF143" s="244">
        <v>0</v>
      </c>
      <c r="BG143" s="244">
        <v>0</v>
      </c>
      <c r="BH143" s="245">
        <v>0</v>
      </c>
      <c r="BK143">
        <v>85</v>
      </c>
      <c r="BL143" s="281">
        <v>0.57788944723618096</v>
      </c>
      <c r="BM143" s="281">
        <v>10311.859296482413</v>
      </c>
      <c r="BN143" s="282">
        <v>7486.3417085427282</v>
      </c>
      <c r="BO143" s="282">
        <v>157.25125628140779</v>
      </c>
      <c r="BP143" s="282">
        <v>0</v>
      </c>
      <c r="BQ143" s="283">
        <v>0</v>
      </c>
      <c r="BR143" s="284"/>
      <c r="BS143" s="147"/>
      <c r="BT143" s="285">
        <v>1</v>
      </c>
      <c r="BU143" s="288">
        <v>3.4430039393564885E-2</v>
      </c>
      <c r="BV143" s="287">
        <v>0</v>
      </c>
      <c r="BW143" s="288">
        <v>0</v>
      </c>
      <c r="BX143" s="286">
        <v>100</v>
      </c>
      <c r="BY143" s="287">
        <v>0</v>
      </c>
      <c r="BZ143" s="288">
        <v>0</v>
      </c>
      <c r="CA143" s="286">
        <v>0.77260070667605474</v>
      </c>
      <c r="CB143" s="286">
        <v>0</v>
      </c>
      <c r="CC143" s="287">
        <v>1.2201594881424758</v>
      </c>
      <c r="CD143" s="286">
        <v>0</v>
      </c>
      <c r="CE143" s="286">
        <v>15.737244509736573</v>
      </c>
      <c r="CF143" s="286">
        <v>0</v>
      </c>
      <c r="CG143" s="287">
        <v>22.477512994124453</v>
      </c>
      <c r="CH143" s="288">
        <v>0</v>
      </c>
      <c r="CI143" s="286">
        <v>1.8132443407037231</v>
      </c>
      <c r="CJ143" s="286">
        <v>0</v>
      </c>
      <c r="CK143" s="287"/>
      <c r="CL143" s="288"/>
      <c r="CM143" s="286"/>
      <c r="CN143" s="287"/>
      <c r="CO143" s="289"/>
      <c r="CP143" s="290"/>
      <c r="CQ143" s="289"/>
      <c r="CR143" s="290"/>
      <c r="CS143" s="284"/>
      <c r="CT143" s="147"/>
      <c r="CU143" s="291"/>
      <c r="CV143" s="292"/>
    </row>
    <row r="144" spans="2:100">
      <c r="B144">
        <v>86</v>
      </c>
      <c r="C144" s="243">
        <v>1</v>
      </c>
      <c r="D144" s="592">
        <v>0</v>
      </c>
      <c r="E144" s="245">
        <v>0</v>
      </c>
      <c r="F144" s="243">
        <v>0</v>
      </c>
      <c r="G144" s="245">
        <v>0</v>
      </c>
      <c r="H144" s="243">
        <v>0</v>
      </c>
      <c r="I144" s="245">
        <v>0</v>
      </c>
      <c r="J144" s="242">
        <v>0</v>
      </c>
      <c r="K144" s="242">
        <v>19.090300742076398</v>
      </c>
      <c r="L144" s="242">
        <v>5.0251256281407036E-3</v>
      </c>
      <c r="M144" s="243">
        <v>116.39995486859941</v>
      </c>
      <c r="N144" s="592">
        <v>31.719623060030507</v>
      </c>
      <c r="O144" s="245">
        <v>0.56842068051822403</v>
      </c>
      <c r="P144" s="245">
        <v>1.2016694268121002</v>
      </c>
      <c r="Q144" s="254">
        <v>0</v>
      </c>
      <c r="R144" s="255">
        <v>0</v>
      </c>
      <c r="S144" s="256">
        <v>0</v>
      </c>
      <c r="T144" s="257">
        <v>0</v>
      </c>
      <c r="U144" s="255">
        <v>0</v>
      </c>
      <c r="V144" s="256">
        <v>0</v>
      </c>
      <c r="W144" s="257">
        <v>0</v>
      </c>
      <c r="X144" s="255">
        <v>0</v>
      </c>
      <c r="Y144" s="256">
        <v>0</v>
      </c>
      <c r="Z144" s="257">
        <v>0</v>
      </c>
      <c r="AA144" s="255">
        <v>0</v>
      </c>
      <c r="AB144" s="256">
        <v>0</v>
      </c>
      <c r="AC144" s="257">
        <v>0</v>
      </c>
      <c r="AD144" s="255">
        <v>0</v>
      </c>
      <c r="AE144" s="256">
        <v>0</v>
      </c>
      <c r="AF144" s="257">
        <v>0</v>
      </c>
      <c r="AG144" s="255">
        <v>0</v>
      </c>
      <c r="AH144" s="256">
        <v>0</v>
      </c>
      <c r="AI144" s="257">
        <v>0</v>
      </c>
      <c r="AJ144" s="255">
        <v>0</v>
      </c>
      <c r="AK144" s="256">
        <v>0</v>
      </c>
      <c r="AL144" s="257">
        <v>0</v>
      </c>
      <c r="AM144" s="255">
        <v>0</v>
      </c>
      <c r="AN144" s="256">
        <v>0</v>
      </c>
      <c r="AO144" s="257">
        <v>0</v>
      </c>
      <c r="AP144" s="255">
        <v>0</v>
      </c>
      <c r="AQ144" s="256">
        <v>0</v>
      </c>
      <c r="AR144" s="257">
        <v>0</v>
      </c>
      <c r="AS144" s="255">
        <v>0</v>
      </c>
      <c r="AT144" s="256">
        <v>0</v>
      </c>
      <c r="AU144" s="257">
        <v>0</v>
      </c>
      <c r="AV144" s="255">
        <v>0</v>
      </c>
      <c r="AW144" s="256">
        <v>0</v>
      </c>
      <c r="AX144" s="257">
        <v>0</v>
      </c>
      <c r="AY144" s="243">
        <v>0</v>
      </c>
      <c r="AZ144" s="244">
        <v>0</v>
      </c>
      <c r="BA144" s="244">
        <v>0</v>
      </c>
      <c r="BB144" s="244">
        <v>0</v>
      </c>
      <c r="BC144" s="244">
        <v>0</v>
      </c>
      <c r="BD144" s="244">
        <v>0</v>
      </c>
      <c r="BE144" s="244">
        <v>0</v>
      </c>
      <c r="BF144" s="244">
        <v>0</v>
      </c>
      <c r="BG144" s="244">
        <v>0</v>
      </c>
      <c r="BH144" s="245">
        <v>0</v>
      </c>
      <c r="BK144">
        <v>86</v>
      </c>
      <c r="BL144" s="281">
        <v>0.57286432160804024</v>
      </c>
      <c r="BM144" s="281">
        <v>10222.190954773871</v>
      </c>
      <c r="BN144" s="282">
        <v>7453.9648241206178</v>
      </c>
      <c r="BO144" s="282">
        <v>156.94472361809122</v>
      </c>
      <c r="BP144" s="282">
        <v>0</v>
      </c>
      <c r="BQ144" s="283">
        <v>0</v>
      </c>
      <c r="BR144" s="284"/>
      <c r="BS144" s="147"/>
      <c r="BT144" s="285">
        <v>1</v>
      </c>
      <c r="BU144" s="288">
        <v>3.4430039393564885E-2</v>
      </c>
      <c r="BV144" s="287">
        <v>0</v>
      </c>
      <c r="BW144" s="288">
        <v>0</v>
      </c>
      <c r="BX144" s="286">
        <v>100</v>
      </c>
      <c r="BY144" s="287">
        <v>0</v>
      </c>
      <c r="BZ144" s="288">
        <v>0</v>
      </c>
      <c r="CA144" s="286">
        <v>0.77250428874314225</v>
      </c>
      <c r="CB144" s="286">
        <v>0</v>
      </c>
      <c r="CC144" s="287">
        <v>1.2201229940572516</v>
      </c>
      <c r="CD144" s="286">
        <v>0</v>
      </c>
      <c r="CE144" s="286">
        <v>15.736874386614048</v>
      </c>
      <c r="CF144" s="286">
        <v>0</v>
      </c>
      <c r="CG144" s="287">
        <v>22.478735128627655</v>
      </c>
      <c r="CH144" s="288">
        <v>0</v>
      </c>
      <c r="CI144" s="286">
        <v>1.8148379062044551</v>
      </c>
      <c r="CJ144" s="286">
        <v>0</v>
      </c>
      <c r="CK144" s="287"/>
      <c r="CL144" s="288"/>
      <c r="CM144" s="286"/>
      <c r="CN144" s="287"/>
      <c r="CO144" s="289"/>
      <c r="CP144" s="290"/>
      <c r="CQ144" s="289"/>
      <c r="CR144" s="290"/>
      <c r="CS144" s="284"/>
      <c r="CT144" s="147"/>
      <c r="CU144" s="291"/>
      <c r="CV144" s="292"/>
    </row>
    <row r="145" spans="2:100">
      <c r="B145">
        <v>87</v>
      </c>
      <c r="C145" s="243">
        <v>1</v>
      </c>
      <c r="D145" s="592">
        <v>0</v>
      </c>
      <c r="E145" s="245">
        <v>0</v>
      </c>
      <c r="F145" s="243">
        <v>0</v>
      </c>
      <c r="G145" s="245">
        <v>0</v>
      </c>
      <c r="H145" s="243">
        <v>0</v>
      </c>
      <c r="I145" s="245">
        <v>0</v>
      </c>
      <c r="J145" s="242">
        <v>0</v>
      </c>
      <c r="K145" s="242">
        <v>19.092689323133708</v>
      </c>
      <c r="L145" s="242">
        <v>5.0251256281407036E-3</v>
      </c>
      <c r="M145" s="243">
        <v>116.37809455633413</v>
      </c>
      <c r="N145" s="592">
        <v>31.671829119053804</v>
      </c>
      <c r="O145" s="245">
        <v>0.56847021993145075</v>
      </c>
      <c r="P145" s="245">
        <v>1.2018197798562356</v>
      </c>
      <c r="Q145" s="254">
        <v>0</v>
      </c>
      <c r="R145" s="255">
        <v>0</v>
      </c>
      <c r="S145" s="256">
        <v>0</v>
      </c>
      <c r="T145" s="257">
        <v>0</v>
      </c>
      <c r="U145" s="255">
        <v>0</v>
      </c>
      <c r="V145" s="256">
        <v>0</v>
      </c>
      <c r="W145" s="257">
        <v>0</v>
      </c>
      <c r="X145" s="255">
        <v>0</v>
      </c>
      <c r="Y145" s="256">
        <v>0</v>
      </c>
      <c r="Z145" s="257">
        <v>0</v>
      </c>
      <c r="AA145" s="255">
        <v>0</v>
      </c>
      <c r="AB145" s="256">
        <v>0</v>
      </c>
      <c r="AC145" s="257">
        <v>0</v>
      </c>
      <c r="AD145" s="255">
        <v>0</v>
      </c>
      <c r="AE145" s="256">
        <v>0</v>
      </c>
      <c r="AF145" s="257">
        <v>0</v>
      </c>
      <c r="AG145" s="255">
        <v>0</v>
      </c>
      <c r="AH145" s="256">
        <v>0</v>
      </c>
      <c r="AI145" s="257">
        <v>0</v>
      </c>
      <c r="AJ145" s="255">
        <v>0</v>
      </c>
      <c r="AK145" s="256">
        <v>0</v>
      </c>
      <c r="AL145" s="257">
        <v>0</v>
      </c>
      <c r="AM145" s="255">
        <v>0</v>
      </c>
      <c r="AN145" s="256">
        <v>0</v>
      </c>
      <c r="AO145" s="257">
        <v>0</v>
      </c>
      <c r="AP145" s="255">
        <v>0</v>
      </c>
      <c r="AQ145" s="256">
        <v>0</v>
      </c>
      <c r="AR145" s="257">
        <v>0</v>
      </c>
      <c r="AS145" s="255">
        <v>0</v>
      </c>
      <c r="AT145" s="256">
        <v>0</v>
      </c>
      <c r="AU145" s="257">
        <v>0</v>
      </c>
      <c r="AV145" s="255">
        <v>0</v>
      </c>
      <c r="AW145" s="256">
        <v>0</v>
      </c>
      <c r="AX145" s="257">
        <v>0</v>
      </c>
      <c r="AY145" s="243">
        <v>0</v>
      </c>
      <c r="AZ145" s="244">
        <v>0</v>
      </c>
      <c r="BA145" s="244">
        <v>0</v>
      </c>
      <c r="BB145" s="244">
        <v>0</v>
      </c>
      <c r="BC145" s="244">
        <v>0</v>
      </c>
      <c r="BD145" s="244">
        <v>0</v>
      </c>
      <c r="BE145" s="244">
        <v>0</v>
      </c>
      <c r="BF145" s="244">
        <v>0</v>
      </c>
      <c r="BG145" s="244">
        <v>0</v>
      </c>
      <c r="BH145" s="245">
        <v>0</v>
      </c>
      <c r="BK145">
        <v>87</v>
      </c>
      <c r="BL145" s="281">
        <v>0.56783919597989962</v>
      </c>
      <c r="BM145" s="281">
        <v>10132.522613065328</v>
      </c>
      <c r="BN145" s="282">
        <v>7421.5879396985074</v>
      </c>
      <c r="BO145" s="282">
        <v>156.63819095477464</v>
      </c>
      <c r="BP145" s="282">
        <v>0</v>
      </c>
      <c r="BQ145" s="283">
        <v>0</v>
      </c>
      <c r="BR145" s="284"/>
      <c r="BS145" s="147"/>
      <c r="BT145" s="285">
        <v>1</v>
      </c>
      <c r="BU145" s="288">
        <v>3.4430039393564885E-2</v>
      </c>
      <c r="BV145" s="287">
        <v>0</v>
      </c>
      <c r="BW145" s="288">
        <v>0</v>
      </c>
      <c r="BX145" s="286">
        <v>100</v>
      </c>
      <c r="BY145" s="287">
        <v>0</v>
      </c>
      <c r="BZ145" s="288">
        <v>0</v>
      </c>
      <c r="CA145" s="286">
        <v>0.77240764499225145</v>
      </c>
      <c r="CB145" s="286">
        <v>0</v>
      </c>
      <c r="CC145" s="287">
        <v>1.220086490066105</v>
      </c>
      <c r="CD145" s="286">
        <v>0</v>
      </c>
      <c r="CE145" s="286">
        <v>15.736500266245043</v>
      </c>
      <c r="CF145" s="286">
        <v>0</v>
      </c>
      <c r="CG145" s="287">
        <v>22.479957342792471</v>
      </c>
      <c r="CH145" s="288">
        <v>0</v>
      </c>
      <c r="CI145" s="286">
        <v>1.816445731553092</v>
      </c>
      <c r="CJ145" s="286">
        <v>0</v>
      </c>
      <c r="CK145" s="287"/>
      <c r="CL145" s="288"/>
      <c r="CM145" s="286"/>
      <c r="CN145" s="287"/>
      <c r="CO145" s="289"/>
      <c r="CP145" s="290"/>
      <c r="CQ145" s="289"/>
      <c r="CR145" s="290"/>
      <c r="CS145" s="284"/>
      <c r="CT145" s="147"/>
      <c r="CU145" s="291"/>
      <c r="CV145" s="292"/>
    </row>
    <row r="146" spans="2:100">
      <c r="B146">
        <v>88</v>
      </c>
      <c r="C146" s="243">
        <v>1</v>
      </c>
      <c r="D146" s="592">
        <v>0</v>
      </c>
      <c r="E146" s="245">
        <v>0</v>
      </c>
      <c r="F146" s="243">
        <v>0</v>
      </c>
      <c r="G146" s="245">
        <v>0</v>
      </c>
      <c r="H146" s="243">
        <v>0</v>
      </c>
      <c r="I146" s="245">
        <v>0</v>
      </c>
      <c r="J146" s="242">
        <v>0</v>
      </c>
      <c r="K146" s="242">
        <v>19.095084111855975</v>
      </c>
      <c r="L146" s="242">
        <v>5.0251256281407036E-3</v>
      </c>
      <c r="M146" s="243">
        <v>116.35646500195242</v>
      </c>
      <c r="N146" s="592">
        <v>31.623866076576878</v>
      </c>
      <c r="O146" s="245">
        <v>0.56852023128491758</v>
      </c>
      <c r="P146" s="245">
        <v>1.2019705236517422</v>
      </c>
      <c r="Q146" s="254">
        <v>0</v>
      </c>
      <c r="R146" s="255">
        <v>0</v>
      </c>
      <c r="S146" s="256">
        <v>0</v>
      </c>
      <c r="T146" s="257">
        <v>0</v>
      </c>
      <c r="U146" s="255">
        <v>0</v>
      </c>
      <c r="V146" s="256">
        <v>0</v>
      </c>
      <c r="W146" s="257">
        <v>0</v>
      </c>
      <c r="X146" s="255">
        <v>0</v>
      </c>
      <c r="Y146" s="256">
        <v>0</v>
      </c>
      <c r="Z146" s="257">
        <v>0</v>
      </c>
      <c r="AA146" s="255">
        <v>0</v>
      </c>
      <c r="AB146" s="256">
        <v>0</v>
      </c>
      <c r="AC146" s="257">
        <v>0</v>
      </c>
      <c r="AD146" s="255">
        <v>0</v>
      </c>
      <c r="AE146" s="256">
        <v>0</v>
      </c>
      <c r="AF146" s="257">
        <v>0</v>
      </c>
      <c r="AG146" s="255">
        <v>0</v>
      </c>
      <c r="AH146" s="256">
        <v>0</v>
      </c>
      <c r="AI146" s="257">
        <v>0</v>
      </c>
      <c r="AJ146" s="255">
        <v>0</v>
      </c>
      <c r="AK146" s="256">
        <v>0</v>
      </c>
      <c r="AL146" s="257">
        <v>0</v>
      </c>
      <c r="AM146" s="255">
        <v>0</v>
      </c>
      <c r="AN146" s="256">
        <v>0</v>
      </c>
      <c r="AO146" s="257">
        <v>0</v>
      </c>
      <c r="AP146" s="255">
        <v>0</v>
      </c>
      <c r="AQ146" s="256">
        <v>0</v>
      </c>
      <c r="AR146" s="257">
        <v>0</v>
      </c>
      <c r="AS146" s="255">
        <v>0</v>
      </c>
      <c r="AT146" s="256">
        <v>0</v>
      </c>
      <c r="AU146" s="257">
        <v>0</v>
      </c>
      <c r="AV146" s="255">
        <v>0</v>
      </c>
      <c r="AW146" s="256">
        <v>0</v>
      </c>
      <c r="AX146" s="257">
        <v>0</v>
      </c>
      <c r="AY146" s="243">
        <v>0</v>
      </c>
      <c r="AZ146" s="244">
        <v>0</v>
      </c>
      <c r="BA146" s="244">
        <v>0</v>
      </c>
      <c r="BB146" s="244">
        <v>0</v>
      </c>
      <c r="BC146" s="244">
        <v>0</v>
      </c>
      <c r="BD146" s="244">
        <v>0</v>
      </c>
      <c r="BE146" s="244">
        <v>0</v>
      </c>
      <c r="BF146" s="244">
        <v>0</v>
      </c>
      <c r="BG146" s="244">
        <v>0</v>
      </c>
      <c r="BH146" s="245">
        <v>0</v>
      </c>
      <c r="BK146">
        <v>88</v>
      </c>
      <c r="BL146" s="281">
        <v>0.5628140703517589</v>
      </c>
      <c r="BM146" s="281">
        <v>10042.854271356786</v>
      </c>
      <c r="BN146" s="282">
        <v>7389.211055276397</v>
      </c>
      <c r="BO146" s="282">
        <v>156.33165829145807</v>
      </c>
      <c r="BP146" s="282">
        <v>0</v>
      </c>
      <c r="BQ146" s="283">
        <v>0</v>
      </c>
      <c r="BR146" s="284"/>
      <c r="BS146" s="147"/>
      <c r="BT146" s="285">
        <v>1</v>
      </c>
      <c r="BU146" s="288">
        <v>3.4430039393564885E-2</v>
      </c>
      <c r="BV146" s="287">
        <v>0</v>
      </c>
      <c r="BW146" s="288">
        <v>0</v>
      </c>
      <c r="BX146" s="286">
        <v>100</v>
      </c>
      <c r="BY146" s="287">
        <v>0</v>
      </c>
      <c r="BZ146" s="288">
        <v>0</v>
      </c>
      <c r="CA146" s="286">
        <v>0.77231077434709572</v>
      </c>
      <c r="CB146" s="286">
        <v>0</v>
      </c>
      <c r="CC146" s="287">
        <v>1.22004997614293</v>
      </c>
      <c r="CD146" s="286">
        <v>0</v>
      </c>
      <c r="CE146" s="286">
        <v>15.73612212889689</v>
      </c>
      <c r="CF146" s="286">
        <v>0</v>
      </c>
      <c r="CG146" s="287">
        <v>22.481179636437997</v>
      </c>
      <c r="CH146" s="288">
        <v>0</v>
      </c>
      <c r="CI146" s="286">
        <v>1.818067830724728</v>
      </c>
      <c r="CJ146" s="286">
        <v>0</v>
      </c>
      <c r="CK146" s="287"/>
      <c r="CL146" s="288"/>
      <c r="CM146" s="286"/>
      <c r="CN146" s="287"/>
      <c r="CO146" s="289"/>
      <c r="CP146" s="290"/>
      <c r="CQ146" s="289"/>
      <c r="CR146" s="290"/>
      <c r="CS146" s="284"/>
      <c r="CT146" s="147"/>
      <c r="CU146" s="291"/>
      <c r="CV146" s="292"/>
    </row>
    <row r="147" spans="2:100">
      <c r="B147">
        <v>89</v>
      </c>
      <c r="C147" s="243">
        <v>1</v>
      </c>
      <c r="D147" s="592">
        <v>0</v>
      </c>
      <c r="E147" s="245">
        <v>0</v>
      </c>
      <c r="F147" s="243">
        <v>0</v>
      </c>
      <c r="G147" s="245">
        <v>0</v>
      </c>
      <c r="H147" s="243">
        <v>0</v>
      </c>
      <c r="I147" s="245">
        <v>0</v>
      </c>
      <c r="J147" s="242">
        <v>0</v>
      </c>
      <c r="K147" s="242">
        <v>19.097485139489951</v>
      </c>
      <c r="L147" s="242">
        <v>5.0251256281407036E-3</v>
      </c>
      <c r="M147" s="243">
        <v>116.33506739047262</v>
      </c>
      <c r="N147" s="592">
        <v>31.575735235448857</v>
      </c>
      <c r="O147" s="245">
        <v>0.5685707044853574</v>
      </c>
      <c r="P147" s="245">
        <v>1.2021216601654965</v>
      </c>
      <c r="Q147" s="254">
        <v>0</v>
      </c>
      <c r="R147" s="255">
        <v>0</v>
      </c>
      <c r="S147" s="256">
        <v>0</v>
      </c>
      <c r="T147" s="257">
        <v>0</v>
      </c>
      <c r="U147" s="255">
        <v>0</v>
      </c>
      <c r="V147" s="256">
        <v>0</v>
      </c>
      <c r="W147" s="257">
        <v>0</v>
      </c>
      <c r="X147" s="255">
        <v>0</v>
      </c>
      <c r="Y147" s="256">
        <v>0</v>
      </c>
      <c r="Z147" s="257">
        <v>0</v>
      </c>
      <c r="AA147" s="255">
        <v>0</v>
      </c>
      <c r="AB147" s="256">
        <v>0</v>
      </c>
      <c r="AC147" s="257">
        <v>0</v>
      </c>
      <c r="AD147" s="255">
        <v>0</v>
      </c>
      <c r="AE147" s="256">
        <v>0</v>
      </c>
      <c r="AF147" s="257">
        <v>0</v>
      </c>
      <c r="AG147" s="255">
        <v>0</v>
      </c>
      <c r="AH147" s="256">
        <v>0</v>
      </c>
      <c r="AI147" s="257">
        <v>0</v>
      </c>
      <c r="AJ147" s="255">
        <v>0</v>
      </c>
      <c r="AK147" s="256">
        <v>0</v>
      </c>
      <c r="AL147" s="257">
        <v>0</v>
      </c>
      <c r="AM147" s="255">
        <v>0</v>
      </c>
      <c r="AN147" s="256">
        <v>0</v>
      </c>
      <c r="AO147" s="257">
        <v>0</v>
      </c>
      <c r="AP147" s="255">
        <v>0</v>
      </c>
      <c r="AQ147" s="256">
        <v>0</v>
      </c>
      <c r="AR147" s="257">
        <v>0</v>
      </c>
      <c r="AS147" s="255">
        <v>0</v>
      </c>
      <c r="AT147" s="256">
        <v>0</v>
      </c>
      <c r="AU147" s="257">
        <v>0</v>
      </c>
      <c r="AV147" s="255">
        <v>0</v>
      </c>
      <c r="AW147" s="256">
        <v>0</v>
      </c>
      <c r="AX147" s="257">
        <v>0</v>
      </c>
      <c r="AY147" s="243">
        <v>0</v>
      </c>
      <c r="AZ147" s="244">
        <v>0</v>
      </c>
      <c r="BA147" s="244">
        <v>0</v>
      </c>
      <c r="BB147" s="244">
        <v>0</v>
      </c>
      <c r="BC147" s="244">
        <v>0</v>
      </c>
      <c r="BD147" s="244">
        <v>0</v>
      </c>
      <c r="BE147" s="244">
        <v>0</v>
      </c>
      <c r="BF147" s="244">
        <v>0</v>
      </c>
      <c r="BG147" s="244">
        <v>0</v>
      </c>
      <c r="BH147" s="245">
        <v>0</v>
      </c>
      <c r="BK147">
        <v>89</v>
      </c>
      <c r="BL147" s="281">
        <v>0.55778894472361817</v>
      </c>
      <c r="BM147" s="281">
        <v>9953.1859296482435</v>
      </c>
      <c r="BN147" s="282">
        <v>7356.8341708542866</v>
      </c>
      <c r="BO147" s="282">
        <v>156.0251256281415</v>
      </c>
      <c r="BP147" s="282">
        <v>0</v>
      </c>
      <c r="BQ147" s="283">
        <v>0</v>
      </c>
      <c r="BR147" s="284"/>
      <c r="BS147" s="147"/>
      <c r="BT147" s="285">
        <v>1</v>
      </c>
      <c r="BU147" s="288">
        <v>3.4430039393564885E-2</v>
      </c>
      <c r="BV147" s="287">
        <v>0</v>
      </c>
      <c r="BW147" s="288">
        <v>0</v>
      </c>
      <c r="BX147" s="286">
        <v>100</v>
      </c>
      <c r="BY147" s="287">
        <v>0</v>
      </c>
      <c r="BZ147" s="288">
        <v>0</v>
      </c>
      <c r="CA147" s="286">
        <v>0.77221367572402155</v>
      </c>
      <c r="CB147" s="286">
        <v>0</v>
      </c>
      <c r="CC147" s="287">
        <v>1.2200134522634278</v>
      </c>
      <c r="CD147" s="286">
        <v>0</v>
      </c>
      <c r="CE147" s="286">
        <v>15.735739954700898</v>
      </c>
      <c r="CF147" s="286">
        <v>0</v>
      </c>
      <c r="CG147" s="287">
        <v>22.482402009408531</v>
      </c>
      <c r="CH147" s="288">
        <v>0</v>
      </c>
      <c r="CI147" s="286">
        <v>1.8197042179875895</v>
      </c>
      <c r="CJ147" s="286">
        <v>0</v>
      </c>
      <c r="CK147" s="287"/>
      <c r="CL147" s="288"/>
      <c r="CM147" s="286"/>
      <c r="CN147" s="287"/>
      <c r="CO147" s="289"/>
      <c r="CP147" s="290"/>
      <c r="CQ147" s="289"/>
      <c r="CR147" s="290"/>
      <c r="CS147" s="284"/>
      <c r="CT147" s="147"/>
      <c r="CU147" s="291"/>
      <c r="CV147" s="292"/>
    </row>
    <row r="148" spans="2:100">
      <c r="B148">
        <v>90</v>
      </c>
      <c r="C148" s="243">
        <v>1.0000000000000002</v>
      </c>
      <c r="D148" s="592">
        <v>1.6288702634931736E-10</v>
      </c>
      <c r="E148" s="245">
        <v>0</v>
      </c>
      <c r="F148" s="243">
        <v>0</v>
      </c>
      <c r="G148" s="245">
        <v>0</v>
      </c>
      <c r="H148" s="243">
        <v>0</v>
      </c>
      <c r="I148" s="245">
        <v>0</v>
      </c>
      <c r="J148" s="242">
        <v>1.4088300853643789E-10</v>
      </c>
      <c r="K148" s="242">
        <v>19.099892437506504</v>
      </c>
      <c r="L148" s="242">
        <v>5.0251256281407036E-3</v>
      </c>
      <c r="M148" s="243">
        <v>116.31390290839005</v>
      </c>
      <c r="N148" s="592">
        <v>31.527437897997128</v>
      </c>
      <c r="O148" s="245">
        <v>0.56862162938405458</v>
      </c>
      <c r="P148" s="245">
        <v>1.2022731913784828</v>
      </c>
      <c r="Q148" s="254">
        <v>0</v>
      </c>
      <c r="R148" s="255">
        <v>0</v>
      </c>
      <c r="S148" s="256">
        <v>0</v>
      </c>
      <c r="T148" s="257">
        <v>0</v>
      </c>
      <c r="U148" s="255">
        <v>0</v>
      </c>
      <c r="V148" s="256">
        <v>0</v>
      </c>
      <c r="W148" s="257">
        <v>1.409549757985774E-10</v>
      </c>
      <c r="X148" s="255">
        <v>0</v>
      </c>
      <c r="Y148" s="256">
        <v>0</v>
      </c>
      <c r="Z148" s="257">
        <v>1.4093489451187174E-10</v>
      </c>
      <c r="AA148" s="255">
        <v>0</v>
      </c>
      <c r="AB148" s="256">
        <v>0</v>
      </c>
      <c r="AC148" s="257">
        <v>1.4092840571615594E-10</v>
      </c>
      <c r="AD148" s="255">
        <v>0</v>
      </c>
      <c r="AE148" s="256">
        <v>0</v>
      </c>
      <c r="AF148" s="257">
        <v>1.4092191949369341E-10</v>
      </c>
      <c r="AG148" s="255">
        <v>0</v>
      </c>
      <c r="AH148" s="256">
        <v>0</v>
      </c>
      <c r="AI148" s="257">
        <v>1.4091543357467785E-10</v>
      </c>
      <c r="AJ148" s="255">
        <v>0</v>
      </c>
      <c r="AK148" s="256">
        <v>0</v>
      </c>
      <c r="AL148" s="257">
        <v>1.4090894792613866E-10</v>
      </c>
      <c r="AM148" s="255">
        <v>0</v>
      </c>
      <c r="AN148" s="256">
        <v>0</v>
      </c>
      <c r="AO148" s="257">
        <v>1.4090246262354204E-10</v>
      </c>
      <c r="AP148" s="255">
        <v>0</v>
      </c>
      <c r="AQ148" s="256">
        <v>0</v>
      </c>
      <c r="AR148" s="257">
        <v>1.4089597764698167E-10</v>
      </c>
      <c r="AS148" s="255">
        <v>0</v>
      </c>
      <c r="AT148" s="256">
        <v>0</v>
      </c>
      <c r="AU148" s="257">
        <v>1.4088949293801062E-10</v>
      </c>
      <c r="AV148" s="255">
        <v>0</v>
      </c>
      <c r="AW148" s="256">
        <v>0</v>
      </c>
      <c r="AX148" s="257">
        <v>1.4088300853643789E-10</v>
      </c>
      <c r="AY148" s="243">
        <v>0</v>
      </c>
      <c r="AZ148" s="244">
        <v>0</v>
      </c>
      <c r="BA148" s="244">
        <v>0</v>
      </c>
      <c r="BB148" s="244">
        <v>0</v>
      </c>
      <c r="BC148" s="244">
        <v>0</v>
      </c>
      <c r="BD148" s="244">
        <v>0</v>
      </c>
      <c r="BE148" s="244">
        <v>0</v>
      </c>
      <c r="BF148" s="244">
        <v>0</v>
      </c>
      <c r="BG148" s="244">
        <v>0</v>
      </c>
      <c r="BH148" s="245">
        <v>0</v>
      </c>
      <c r="BK148">
        <v>90</v>
      </c>
      <c r="BL148" s="281">
        <v>0.55276381909547756</v>
      </c>
      <c r="BM148" s="281">
        <v>9863.5175879397011</v>
      </c>
      <c r="BN148" s="282">
        <v>7324.4572864321763</v>
      </c>
      <c r="BO148" s="282">
        <v>155.71859296482492</v>
      </c>
      <c r="BP148" s="282">
        <v>0</v>
      </c>
      <c r="BQ148" s="283">
        <v>0</v>
      </c>
      <c r="BR148" s="284"/>
      <c r="BS148" s="147"/>
      <c r="BT148" s="285">
        <v>1</v>
      </c>
      <c r="BU148" s="288">
        <v>3.4430039393564885E-2</v>
      </c>
      <c r="BV148" s="287">
        <v>0</v>
      </c>
      <c r="BW148" s="288">
        <v>0</v>
      </c>
      <c r="BX148" s="286">
        <v>100</v>
      </c>
      <c r="BY148" s="287">
        <v>0</v>
      </c>
      <c r="BZ148" s="288">
        <v>0</v>
      </c>
      <c r="CA148" s="286">
        <v>0.77211634803194107</v>
      </c>
      <c r="CB148" s="286">
        <v>0</v>
      </c>
      <c r="CC148" s="287">
        <v>1.2199769183974314</v>
      </c>
      <c r="CD148" s="286">
        <v>0</v>
      </c>
      <c r="CE148" s="286">
        <v>15.735353723651167</v>
      </c>
      <c r="CF148" s="286">
        <v>0</v>
      </c>
      <c r="CG148" s="287">
        <v>22.483624461467304</v>
      </c>
      <c r="CH148" s="288">
        <v>0</v>
      </c>
      <c r="CI148" s="286">
        <v>1.821354907901551</v>
      </c>
      <c r="CJ148" s="286">
        <v>0</v>
      </c>
      <c r="CK148" s="287"/>
      <c r="CL148" s="288"/>
      <c r="CM148" s="286"/>
      <c r="CN148" s="287"/>
      <c r="CO148" s="289"/>
      <c r="CP148" s="290"/>
      <c r="CQ148" s="289"/>
      <c r="CR148" s="290"/>
      <c r="CS148" s="284"/>
      <c r="CT148" s="147"/>
      <c r="CU148" s="291"/>
      <c r="CV148" s="292"/>
    </row>
    <row r="149" spans="2:100">
      <c r="B149">
        <v>91</v>
      </c>
      <c r="C149" s="243">
        <v>1</v>
      </c>
      <c r="D149" s="592">
        <v>1.8812108194080942E-7</v>
      </c>
      <c r="E149" s="245">
        <v>0</v>
      </c>
      <c r="F149" s="243">
        <v>0</v>
      </c>
      <c r="G149" s="245">
        <v>0</v>
      </c>
      <c r="H149" s="243">
        <v>0</v>
      </c>
      <c r="I149" s="245">
        <v>0</v>
      </c>
      <c r="J149" s="242">
        <v>1.6274351714904594E-7</v>
      </c>
      <c r="K149" s="242">
        <v>19.102306037602663</v>
      </c>
      <c r="L149" s="242">
        <v>5.0251256281407036E-3</v>
      </c>
      <c r="M149" s="243">
        <v>116.29297275847732</v>
      </c>
      <c r="N149" s="592">
        <v>31.478975366002572</v>
      </c>
      <c r="O149" s="245">
        <v>0.56867299577680819</v>
      </c>
      <c r="P149" s="245">
        <v>1.2024251192859206</v>
      </c>
      <c r="Q149" s="254">
        <v>0</v>
      </c>
      <c r="R149" s="255">
        <v>0</v>
      </c>
      <c r="S149" s="256">
        <v>0</v>
      </c>
      <c r="T149" s="257">
        <v>0</v>
      </c>
      <c r="U149" s="255">
        <v>0</v>
      </c>
      <c r="V149" s="256">
        <v>0</v>
      </c>
      <c r="W149" s="257">
        <v>1.6282684053432711E-7</v>
      </c>
      <c r="X149" s="255">
        <v>0</v>
      </c>
      <c r="Y149" s="256">
        <v>0</v>
      </c>
      <c r="Z149" s="257">
        <v>1.6280352548637294E-7</v>
      </c>
      <c r="AA149" s="255">
        <v>0</v>
      </c>
      <c r="AB149" s="256">
        <v>0</v>
      </c>
      <c r="AC149" s="257">
        <v>1.6279602091896867E-7</v>
      </c>
      <c r="AD149" s="255">
        <v>0</v>
      </c>
      <c r="AE149" s="256">
        <v>0</v>
      </c>
      <c r="AF149" s="257">
        <v>1.6278851932764274E-7</v>
      </c>
      <c r="AG149" s="255">
        <v>0</v>
      </c>
      <c r="AH149" s="256">
        <v>0</v>
      </c>
      <c r="AI149" s="257">
        <v>1.6278101808726535E-7</v>
      </c>
      <c r="AJ149" s="255">
        <v>0</v>
      </c>
      <c r="AK149" s="256">
        <v>0</v>
      </c>
      <c r="AL149" s="257">
        <v>1.6277351719778258E-7</v>
      </c>
      <c r="AM149" s="255">
        <v>0</v>
      </c>
      <c r="AN149" s="256">
        <v>0</v>
      </c>
      <c r="AO149" s="257">
        <v>1.6276601665901084E-7</v>
      </c>
      <c r="AP149" s="255">
        <v>0</v>
      </c>
      <c r="AQ149" s="256">
        <v>0</v>
      </c>
      <c r="AR149" s="257">
        <v>1.6275851647129964E-7</v>
      </c>
      <c r="AS149" s="255">
        <v>0</v>
      </c>
      <c r="AT149" s="256">
        <v>0</v>
      </c>
      <c r="AU149" s="257">
        <v>1.6275101663462123E-7</v>
      </c>
      <c r="AV149" s="255">
        <v>0</v>
      </c>
      <c r="AW149" s="256">
        <v>0</v>
      </c>
      <c r="AX149" s="257">
        <v>1.6274351714904594E-7</v>
      </c>
      <c r="AY149" s="243">
        <v>0</v>
      </c>
      <c r="AZ149" s="244">
        <v>0</v>
      </c>
      <c r="BA149" s="244">
        <v>0</v>
      </c>
      <c r="BB149" s="244">
        <v>0</v>
      </c>
      <c r="BC149" s="244">
        <v>0</v>
      </c>
      <c r="BD149" s="244">
        <v>0</v>
      </c>
      <c r="BE149" s="244">
        <v>0</v>
      </c>
      <c r="BF149" s="244">
        <v>0</v>
      </c>
      <c r="BG149" s="244">
        <v>0</v>
      </c>
      <c r="BH149" s="245">
        <v>0</v>
      </c>
      <c r="BK149">
        <v>91</v>
      </c>
      <c r="BL149" s="281">
        <v>0.54773869346733683</v>
      </c>
      <c r="BM149" s="281">
        <v>9773.8492462311588</v>
      </c>
      <c r="BN149" s="282">
        <v>7292.0804020100659</v>
      </c>
      <c r="BO149" s="282">
        <v>155.41206030150835</v>
      </c>
      <c r="BP149" s="282">
        <v>0</v>
      </c>
      <c r="BQ149" s="283">
        <v>0</v>
      </c>
      <c r="BR149" s="284"/>
      <c r="BS149" s="147"/>
      <c r="BT149" s="285">
        <v>1</v>
      </c>
      <c r="BU149" s="288">
        <v>3.4430039393564885E-2</v>
      </c>
      <c r="BV149" s="287">
        <v>0</v>
      </c>
      <c r="BW149" s="288">
        <v>0</v>
      </c>
      <c r="BX149" s="286">
        <v>100</v>
      </c>
      <c r="BY149" s="287">
        <v>0</v>
      </c>
      <c r="BZ149" s="288">
        <v>0</v>
      </c>
      <c r="CA149" s="286">
        <v>0.77201879017226771</v>
      </c>
      <c r="CB149" s="286">
        <v>0</v>
      </c>
      <c r="CC149" s="287">
        <v>1.2199403745205861</v>
      </c>
      <c r="CD149" s="286">
        <v>0</v>
      </c>
      <c r="CE149" s="286">
        <v>15.734963415603337</v>
      </c>
      <c r="CF149" s="286">
        <v>0</v>
      </c>
      <c r="CG149" s="287">
        <v>22.484846992457992</v>
      </c>
      <c r="CH149" s="288">
        <v>0</v>
      </c>
      <c r="CI149" s="286">
        <v>1.8230199153166684</v>
      </c>
      <c r="CJ149" s="286">
        <v>0</v>
      </c>
      <c r="CK149" s="287"/>
      <c r="CL149" s="288"/>
      <c r="CM149" s="286"/>
      <c r="CN149" s="287"/>
      <c r="CO149" s="289"/>
      <c r="CP149" s="290"/>
      <c r="CQ149" s="289"/>
      <c r="CR149" s="290"/>
      <c r="CS149" s="284"/>
      <c r="CT149" s="147"/>
      <c r="CU149" s="291"/>
      <c r="CV149" s="292"/>
    </row>
    <row r="150" spans="2:100">
      <c r="B150">
        <v>92</v>
      </c>
      <c r="C150" s="243">
        <v>0.99978300471132298</v>
      </c>
      <c r="D150" s="592">
        <v>2.1752270752980088E-4</v>
      </c>
      <c r="E150" s="245">
        <v>3.7158481818733158E-4</v>
      </c>
      <c r="F150" s="243">
        <v>1.5429173477729839E-5</v>
      </c>
      <c r="G150" s="245">
        <v>2.0968242874798218E-5</v>
      </c>
      <c r="H150" s="243">
        <v>2.601484196223658E-4</v>
      </c>
      <c r="I150" s="245">
        <v>3.5354163682261517E-4</v>
      </c>
      <c r="J150" s="242">
        <v>1.8817292424602272E-4</v>
      </c>
      <c r="K150" s="242">
        <v>19.116564278913465</v>
      </c>
      <c r="L150" s="242">
        <v>5.0251256281407036E-3</v>
      </c>
      <c r="M150" s="243">
        <v>116.21051191106886</v>
      </c>
      <c r="N150" s="592">
        <v>31.434518796080106</v>
      </c>
      <c r="O150" s="245">
        <v>0.56836400317535618</v>
      </c>
      <c r="P150" s="245">
        <v>1.2033226270253106</v>
      </c>
      <c r="Q150" s="254">
        <v>0.19166640876036828</v>
      </c>
      <c r="R150" s="255">
        <v>0</v>
      </c>
      <c r="S150" s="256">
        <v>0</v>
      </c>
      <c r="T150" s="257">
        <v>0</v>
      </c>
      <c r="U150" s="255">
        <v>2.6023519203557519E-5</v>
      </c>
      <c r="V150" s="256">
        <v>3.5365956051033782E-5</v>
      </c>
      <c r="W150" s="257">
        <v>1.8828385781629364E-4</v>
      </c>
      <c r="X150" s="255">
        <v>5.2043088423916562E-5</v>
      </c>
      <c r="Y150" s="256">
        <v>7.0726544075894513E-5</v>
      </c>
      <c r="Z150" s="257">
        <v>1.8825527912679738E-4</v>
      </c>
      <c r="AA150" s="255">
        <v>7.8061234507875572E-5</v>
      </c>
      <c r="AB150" s="256">
        <v>1.0608519805874562E-4</v>
      </c>
      <c r="AC150" s="257">
        <v>1.8824498253280103E-4</v>
      </c>
      <c r="AD150" s="255">
        <v>1.0407795785827306E-4</v>
      </c>
      <c r="AE150" s="256">
        <v>1.4144191854704454E-4</v>
      </c>
      <c r="AF150" s="257">
        <v>1.8823468885339844E-4</v>
      </c>
      <c r="AG150" s="255">
        <v>1.3009325845841465E-4</v>
      </c>
      <c r="AH150" s="256">
        <v>1.7679670551810361E-4</v>
      </c>
      <c r="AI150" s="257">
        <v>1.8822439505320978E-4</v>
      </c>
      <c r="AJ150" s="255">
        <v>1.5610713629162718E-4</v>
      </c>
      <c r="AK150" s="256">
        <v>2.1214955894926398E-4</v>
      </c>
      <c r="AL150" s="257">
        <v>1.8821410113238811E-4</v>
      </c>
      <c r="AM150" s="255">
        <v>1.8211959134122044E-4</v>
      </c>
      <c r="AN150" s="256">
        <v>2.4750047881784372E-4</v>
      </c>
      <c r="AO150" s="257">
        <v>1.8820380709081078E-4</v>
      </c>
      <c r="AP150" s="255">
        <v>2.0813062359058791E-4</v>
      </c>
      <c r="AQ150" s="256">
        <v>2.8284946510127444E-4</v>
      </c>
      <c r="AR150" s="257">
        <v>1.8819351292908253E-4</v>
      </c>
      <c r="AS150" s="255">
        <v>2.3414023302315229E-4</v>
      </c>
      <c r="AT150" s="256">
        <v>3.1819651777702777E-4</v>
      </c>
      <c r="AU150" s="257">
        <v>1.8818321864741565E-4</v>
      </c>
      <c r="AV150" s="255">
        <v>2.601484196223658E-4</v>
      </c>
      <c r="AW150" s="256">
        <v>3.5354163682261517E-4</v>
      </c>
      <c r="AX150" s="257">
        <v>1.8817292424602272E-4</v>
      </c>
      <c r="AY150" s="243">
        <v>0</v>
      </c>
      <c r="AZ150" s="244">
        <v>0</v>
      </c>
      <c r="BA150" s="244">
        <v>0</v>
      </c>
      <c r="BB150" s="244">
        <v>0</v>
      </c>
      <c r="BC150" s="244">
        <v>0</v>
      </c>
      <c r="BD150" s="244">
        <v>0</v>
      </c>
      <c r="BE150" s="244">
        <v>0</v>
      </c>
      <c r="BF150" s="244">
        <v>0</v>
      </c>
      <c r="BG150" s="244">
        <v>0</v>
      </c>
      <c r="BH150" s="245">
        <v>0</v>
      </c>
      <c r="BK150">
        <v>92</v>
      </c>
      <c r="BL150" s="281">
        <v>0.54271356783919622</v>
      </c>
      <c r="BM150" s="281">
        <v>9684.1809045226164</v>
      </c>
      <c r="BN150" s="282">
        <v>7259.7035175879555</v>
      </c>
      <c r="BO150" s="282">
        <v>155.10552763819177</v>
      </c>
      <c r="BP150" s="282">
        <v>0</v>
      </c>
      <c r="BQ150" s="283">
        <v>0</v>
      </c>
      <c r="BR150" s="284"/>
      <c r="BS150" s="147"/>
      <c r="BT150" s="285">
        <v>0.99941141989313609</v>
      </c>
      <c r="BU150" s="288">
        <v>3.4410651253618293E-2</v>
      </c>
      <c r="BV150" s="287">
        <v>0.79540223715216984</v>
      </c>
      <c r="BW150" s="288">
        <v>0</v>
      </c>
      <c r="BX150" s="286">
        <v>99.997452253046433</v>
      </c>
      <c r="BY150" s="287">
        <v>2.547746953562312E-3</v>
      </c>
      <c r="BZ150" s="288">
        <v>0</v>
      </c>
      <c r="CA150" s="286">
        <v>0.77191448225555093</v>
      </c>
      <c r="CB150" s="286">
        <v>1.1142455518859342</v>
      </c>
      <c r="CC150" s="287">
        <v>1.219903820606441</v>
      </c>
      <c r="CD150" s="286">
        <v>0</v>
      </c>
      <c r="CE150" s="286">
        <v>15.73445641968179</v>
      </c>
      <c r="CF150" s="286">
        <v>21.196930442621191</v>
      </c>
      <c r="CG150" s="287">
        <v>22.48606960219551</v>
      </c>
      <c r="CH150" s="288">
        <v>0</v>
      </c>
      <c r="CI150" s="286">
        <v>1.8233273742633493</v>
      </c>
      <c r="CJ150" s="286">
        <v>187.81268891608272</v>
      </c>
      <c r="CK150" s="287"/>
      <c r="CL150" s="288"/>
      <c r="CM150" s="286"/>
      <c r="CN150" s="287"/>
      <c r="CO150" s="289"/>
      <c r="CP150" s="290"/>
      <c r="CQ150" s="289"/>
      <c r="CR150" s="290"/>
      <c r="CS150" s="284"/>
      <c r="CT150" s="147"/>
      <c r="CU150" s="291"/>
      <c r="CV150" s="292"/>
    </row>
    <row r="151" spans="2:100">
      <c r="B151">
        <v>93</v>
      </c>
      <c r="C151" s="243">
        <v>0.99844594099917883</v>
      </c>
      <c r="D151" s="592">
        <v>1.5503930695720534E-3</v>
      </c>
      <c r="E151" s="245">
        <v>2.2976249351345235E-3</v>
      </c>
      <c r="F151" s="243">
        <v>1.0998121925260185E-4</v>
      </c>
      <c r="G151" s="245">
        <v>1.4945996942335854E-4</v>
      </c>
      <c r="H151" s="243">
        <v>1.8543728488115364E-3</v>
      </c>
      <c r="I151" s="245">
        <v>2.5200167007270362E-3</v>
      </c>
      <c r="J151" s="242">
        <v>1.3395497331533028E-3</v>
      </c>
      <c r="K151" s="242">
        <v>19.191995729707195</v>
      </c>
      <c r="L151" s="242">
        <v>5.0251256281407036E-3</v>
      </c>
      <c r="M151" s="243">
        <v>115.80465206067727</v>
      </c>
      <c r="N151" s="592">
        <v>31.397334020175673</v>
      </c>
      <c r="O151" s="245">
        <v>0.56624528640001759</v>
      </c>
      <c r="P151" s="245">
        <v>1.208070779999094</v>
      </c>
      <c r="Q151" s="254">
        <v>1.3650937922413753</v>
      </c>
      <c r="R151" s="255">
        <v>0</v>
      </c>
      <c r="S151" s="256">
        <v>0</v>
      </c>
      <c r="T151" s="257">
        <v>0</v>
      </c>
      <c r="U151" s="255">
        <v>1.8574162082656896E-4</v>
      </c>
      <c r="V151" s="256">
        <v>2.5241525014942312E-4</v>
      </c>
      <c r="W151" s="257">
        <v>1.3438267298985956E-3</v>
      </c>
      <c r="X151" s="255">
        <v>3.7139794576040335E-4</v>
      </c>
      <c r="Y151" s="256">
        <v>5.0471458667644166E-4</v>
      </c>
      <c r="Z151" s="257">
        <v>1.3432096204963131E-3</v>
      </c>
      <c r="AA151" s="255">
        <v>5.5699109324736291E-4</v>
      </c>
      <c r="AB151" s="256">
        <v>7.569280676424623E-4</v>
      </c>
      <c r="AC151" s="257">
        <v>1.3427525363949714E-3</v>
      </c>
      <c r="AD151" s="255">
        <v>7.4252105022952735E-4</v>
      </c>
      <c r="AE151" s="256">
        <v>1.0090556753023067E-3</v>
      </c>
      <c r="AF151" s="257">
        <v>1.3422953578205552E-3</v>
      </c>
      <c r="AG151" s="255">
        <v>9.2798779978527101E-4</v>
      </c>
      <c r="AH151" s="256">
        <v>1.261097386660179E-3</v>
      </c>
      <c r="AI151" s="257">
        <v>1.3418380568194421E-3</v>
      </c>
      <c r="AJ151" s="255">
        <v>1.1133913250626559E-3</v>
      </c>
      <c r="AK151" s="256">
        <v>1.5130531788149861E-3</v>
      </c>
      <c r="AL151" s="257">
        <v>1.3413806338958187E-3</v>
      </c>
      <c r="AM151" s="255">
        <v>1.2987316092800572E-3</v>
      </c>
      <c r="AN151" s="256">
        <v>1.7649230289611879E-3</v>
      </c>
      <c r="AO151" s="257">
        <v>1.3409230895583945E-3</v>
      </c>
      <c r="AP151" s="255">
        <v>1.4840086357262668E-3</v>
      </c>
      <c r="AQ151" s="256">
        <v>2.016706914388937E-3</v>
      </c>
      <c r="AR151" s="257">
        <v>1.340465424316631E-3</v>
      </c>
      <c r="AS151" s="255">
        <v>1.6692223877603058E-3</v>
      </c>
      <c r="AT151" s="256">
        <v>2.2684048124838262E-3</v>
      </c>
      <c r="AU151" s="257">
        <v>1.3400076386786309E-3</v>
      </c>
      <c r="AV151" s="255">
        <v>1.8543728488115364E-3</v>
      </c>
      <c r="AW151" s="256">
        <v>2.5200167007270362E-3</v>
      </c>
      <c r="AX151" s="257">
        <v>1.3395497331533028E-3</v>
      </c>
      <c r="AY151" s="243">
        <v>0</v>
      </c>
      <c r="AZ151" s="244">
        <v>0</v>
      </c>
      <c r="BA151" s="244">
        <v>0</v>
      </c>
      <c r="BB151" s="244">
        <v>0</v>
      </c>
      <c r="BC151" s="244">
        <v>0</v>
      </c>
      <c r="BD151" s="244">
        <v>0</v>
      </c>
      <c r="BE151" s="244">
        <v>0</v>
      </c>
      <c r="BF151" s="244">
        <v>0</v>
      </c>
      <c r="BG151" s="244">
        <v>0</v>
      </c>
      <c r="BH151" s="245">
        <v>0</v>
      </c>
      <c r="BK151">
        <v>93</v>
      </c>
      <c r="BL151" s="281">
        <v>0.5376884422110555</v>
      </c>
      <c r="BM151" s="281">
        <v>9594.512562814074</v>
      </c>
      <c r="BN151" s="282">
        <v>7227.3266331658451</v>
      </c>
      <c r="BO151" s="282">
        <v>154.7989949748752</v>
      </c>
      <c r="BP151" s="282">
        <v>0</v>
      </c>
      <c r="BQ151" s="283">
        <v>0</v>
      </c>
      <c r="BR151" s="284"/>
      <c r="BS151" s="147"/>
      <c r="BT151" s="285">
        <v>0.99614831606404475</v>
      </c>
      <c r="BU151" s="288">
        <v>3.4303143037576686E-2</v>
      </c>
      <c r="BV151" s="287">
        <v>0.79567020547941603</v>
      </c>
      <c r="BW151" s="288">
        <v>0</v>
      </c>
      <c r="BX151" s="286">
        <v>99.983333090929719</v>
      </c>
      <c r="BY151" s="287">
        <v>1.6666909070273267E-2</v>
      </c>
      <c r="BZ151" s="288">
        <v>0</v>
      </c>
      <c r="CA151" s="286">
        <v>0.7717803039225003</v>
      </c>
      <c r="CB151" s="286">
        <v>1.1143568666333641</v>
      </c>
      <c r="CC151" s="287">
        <v>1.2198672566284776</v>
      </c>
      <c r="CD151" s="286">
        <v>0</v>
      </c>
      <c r="CE151" s="286">
        <v>15.733433320885609</v>
      </c>
      <c r="CF151" s="286">
        <v>21.200128768066822</v>
      </c>
      <c r="CG151" s="287">
        <v>22.48729229049389</v>
      </c>
      <c r="CH151" s="288">
        <v>0</v>
      </c>
      <c r="CI151" s="286">
        <v>1.8174053469080043</v>
      </c>
      <c r="CJ151" s="286">
        <v>188.36021387114189</v>
      </c>
      <c r="CK151" s="287"/>
      <c r="CL151" s="288"/>
      <c r="CM151" s="286"/>
      <c r="CN151" s="287"/>
      <c r="CO151" s="289"/>
      <c r="CP151" s="290"/>
      <c r="CQ151" s="289"/>
      <c r="CR151" s="290"/>
      <c r="CS151" s="284"/>
      <c r="CT151" s="147"/>
      <c r="CU151" s="291"/>
      <c r="CV151" s="292"/>
    </row>
    <row r="152" spans="2:100">
      <c r="B152">
        <v>94</v>
      </c>
      <c r="C152" s="243">
        <v>0.99641133367283374</v>
      </c>
      <c r="D152" s="592">
        <v>3.5732424227656817E-3</v>
      </c>
      <c r="E152" s="245">
        <v>3.5156942465374152E-3</v>
      </c>
      <c r="F152" s="243">
        <v>2.534412839719347E-4</v>
      </c>
      <c r="G152" s="245">
        <v>3.4440599142511816E-4</v>
      </c>
      <c r="H152" s="243">
        <v>4.2732262740792617E-3</v>
      </c>
      <c r="I152" s="245">
        <v>5.8069652601314388E-3</v>
      </c>
      <c r="J152" s="242">
        <v>3.0825492245568817E-3</v>
      </c>
      <c r="K152" s="242">
        <v>19.307006642652574</v>
      </c>
      <c r="L152" s="242">
        <v>5.0251256281407036E-3</v>
      </c>
      <c r="M152" s="243">
        <v>115.16552283009372</v>
      </c>
      <c r="N152" s="592">
        <v>31.296337636246559</v>
      </c>
      <c r="O152" s="245">
        <v>0.56323389839972271</v>
      </c>
      <c r="P152" s="245">
        <v>1.2153103253422219</v>
      </c>
      <c r="Q152" s="254">
        <v>3.1418268537681437</v>
      </c>
      <c r="R152" s="255">
        <v>0</v>
      </c>
      <c r="S152" s="256">
        <v>0</v>
      </c>
      <c r="T152" s="257">
        <v>0</v>
      </c>
      <c r="U152" s="255">
        <v>4.2862438116147126E-4</v>
      </c>
      <c r="V152" s="256">
        <v>5.8246550297323045E-4</v>
      </c>
      <c r="W152" s="257">
        <v>3.1009723528031682E-3</v>
      </c>
      <c r="X152" s="255">
        <v>8.5689949009734015E-4</v>
      </c>
      <c r="Y152" s="256">
        <v>1.1644563735375231E-3</v>
      </c>
      <c r="Z152" s="257">
        <v>3.0984454701460033E-3</v>
      </c>
      <c r="AA152" s="255">
        <v>1.2849010601746335E-3</v>
      </c>
      <c r="AB152" s="256">
        <v>1.7460755271490581E-3</v>
      </c>
      <c r="AC152" s="257">
        <v>3.0964664963051731E-3</v>
      </c>
      <c r="AD152" s="255">
        <v>1.7126287813388548E-3</v>
      </c>
      <c r="AE152" s="256">
        <v>2.3273225424691154E-3</v>
      </c>
      <c r="AF152" s="257">
        <v>3.0944852793105171E-3</v>
      </c>
      <c r="AG152" s="255">
        <v>2.1400823300497295E-3</v>
      </c>
      <c r="AH152" s="256">
        <v>2.908196979832905E-3</v>
      </c>
      <c r="AI152" s="257">
        <v>3.0925017215963622E-3</v>
      </c>
      <c r="AJ152" s="255">
        <v>2.5672613843526725E-3</v>
      </c>
      <c r="AK152" s="256">
        <v>3.4886984017304568E-3</v>
      </c>
      <c r="AL152" s="257">
        <v>3.0905158346347036E-3</v>
      </c>
      <c r="AM152" s="255">
        <v>2.9941656238832146E-3</v>
      </c>
      <c r="AN152" s="256">
        <v>4.0688263728126421E-3</v>
      </c>
      <c r="AO152" s="257">
        <v>3.0885276299295835E-3</v>
      </c>
      <c r="AP152" s="255">
        <v>3.4207947298685844E-3</v>
      </c>
      <c r="AQ152" s="256">
        <v>4.6485804598933173E-3</v>
      </c>
      <c r="AR152" s="257">
        <v>3.0865371189964528E-3</v>
      </c>
      <c r="AS152" s="255">
        <v>3.8471483851290106E-3</v>
      </c>
      <c r="AT152" s="256">
        <v>5.2279602319510957E-3</v>
      </c>
      <c r="AU152" s="257">
        <v>3.0845443133602091E-3</v>
      </c>
      <c r="AV152" s="255">
        <v>4.2732262740792617E-3</v>
      </c>
      <c r="AW152" s="256">
        <v>5.8069652601314388E-3</v>
      </c>
      <c r="AX152" s="257">
        <v>3.0825492245568817E-3</v>
      </c>
      <c r="AY152" s="243">
        <v>0</v>
      </c>
      <c r="AZ152" s="244">
        <v>0</v>
      </c>
      <c r="BA152" s="244">
        <v>0</v>
      </c>
      <c r="BB152" s="244">
        <v>0</v>
      </c>
      <c r="BC152" s="244">
        <v>0</v>
      </c>
      <c r="BD152" s="244">
        <v>0</v>
      </c>
      <c r="BE152" s="244">
        <v>0</v>
      </c>
      <c r="BF152" s="244">
        <v>0</v>
      </c>
      <c r="BG152" s="244">
        <v>0</v>
      </c>
      <c r="BH152" s="245">
        <v>0</v>
      </c>
      <c r="BK152">
        <v>94</v>
      </c>
      <c r="BL152" s="281">
        <v>0.53266331658291477</v>
      </c>
      <c r="BM152" s="281">
        <v>9504.8442211055317</v>
      </c>
      <c r="BN152" s="282">
        <v>7194.9497487437347</v>
      </c>
      <c r="BO152" s="282">
        <v>154.49246231155863</v>
      </c>
      <c r="BP152" s="282">
        <v>0</v>
      </c>
      <c r="BQ152" s="283">
        <v>0</v>
      </c>
      <c r="BR152" s="284"/>
      <c r="BS152" s="147"/>
      <c r="BT152" s="285">
        <v>0.99289563942629677</v>
      </c>
      <c r="BU152" s="288">
        <v>3.4195944897588579E-2</v>
      </c>
      <c r="BV152" s="287">
        <v>0.79593774821666319</v>
      </c>
      <c r="BW152" s="288">
        <v>0</v>
      </c>
      <c r="BX152" s="286">
        <v>99.969268524458499</v>
      </c>
      <c r="BY152" s="287">
        <v>3.0731475541490454E-2</v>
      </c>
      <c r="BZ152" s="288">
        <v>0</v>
      </c>
      <c r="CA152" s="286">
        <v>0.77164597961590586</v>
      </c>
      <c r="CB152" s="286">
        <v>1.1144679498424661</v>
      </c>
      <c r="CC152" s="287">
        <v>1.2198306825600893</v>
      </c>
      <c r="CD152" s="286">
        <v>0</v>
      </c>
      <c r="CE152" s="286">
        <v>15.732407451202489</v>
      </c>
      <c r="CF152" s="286">
        <v>21.203323353350157</v>
      </c>
      <c r="CG152" s="287">
        <v>22.48851505716609</v>
      </c>
      <c r="CH152" s="288">
        <v>0</v>
      </c>
      <c r="CI152" s="286">
        <v>1.8115050259073529</v>
      </c>
      <c r="CJ152" s="286">
        <v>188.91098105175359</v>
      </c>
      <c r="CK152" s="287"/>
      <c r="CL152" s="288"/>
      <c r="CM152" s="286"/>
      <c r="CN152" s="287"/>
      <c r="CO152" s="289"/>
      <c r="CP152" s="290"/>
      <c r="CQ152" s="289"/>
      <c r="CR152" s="290"/>
      <c r="CS152" s="284"/>
      <c r="CT152" s="147"/>
      <c r="CU152" s="291"/>
      <c r="CV152" s="292"/>
    </row>
    <row r="153" spans="2:100">
      <c r="B153">
        <v>95</v>
      </c>
      <c r="C153" s="243">
        <v>0.99394466959459704</v>
      </c>
      <c r="D153" s="592">
        <v>6.0175299557700766E-3</v>
      </c>
      <c r="E153" s="245">
        <v>4.2913117584796323E-3</v>
      </c>
      <c r="F153" s="243">
        <v>4.2666212805835446E-4</v>
      </c>
      <c r="G153" s="245">
        <v>5.7978157251260896E-4</v>
      </c>
      <c r="H153" s="243">
        <v>7.1938706559560714E-3</v>
      </c>
      <c r="I153" s="245">
        <v>9.7755890834353015E-3</v>
      </c>
      <c r="J153" s="242">
        <v>5.1819393916863231E-3</v>
      </c>
      <c r="K153" s="242">
        <v>19.447164638043802</v>
      </c>
      <c r="L153" s="242">
        <v>5.0251256281407036E-3</v>
      </c>
      <c r="M153" s="243">
        <v>114.3859880107764</v>
      </c>
      <c r="N153" s="592">
        <v>31.156383428037852</v>
      </c>
      <c r="O153" s="245">
        <v>0.5596574425025066</v>
      </c>
      <c r="P153" s="245">
        <v>1.2241327938963025</v>
      </c>
      <c r="Q153" s="254">
        <v>5.281288884206389</v>
      </c>
      <c r="R153" s="255">
        <v>0</v>
      </c>
      <c r="S153" s="256">
        <v>0</v>
      </c>
      <c r="T153" s="257">
        <v>0</v>
      </c>
      <c r="U153" s="255">
        <v>7.2261417717615147E-4</v>
      </c>
      <c r="V153" s="256">
        <v>9.8194415771018085E-4</v>
      </c>
      <c r="W153" s="257">
        <v>5.2277459686669364E-3</v>
      </c>
      <c r="X153" s="255">
        <v>1.4443719999705704E-3</v>
      </c>
      <c r="Y153" s="256">
        <v>1.9627246347057679E-3</v>
      </c>
      <c r="Z153" s="257">
        <v>5.2215506803536798E-3</v>
      </c>
      <c r="AA153" s="255">
        <v>2.1654516789232259E-3</v>
      </c>
      <c r="AB153" s="256">
        <v>2.9425835972825419E-3</v>
      </c>
      <c r="AC153" s="257">
        <v>5.2166446546390872E-3</v>
      </c>
      <c r="AD153" s="255">
        <v>2.8858514292324365E-3</v>
      </c>
      <c r="AE153" s="256">
        <v>3.9215186201136277E-3</v>
      </c>
      <c r="AF153" s="257">
        <v>5.211725716792283E-3</v>
      </c>
      <c r="AG153" s="255">
        <v>3.6055694377015511E-3</v>
      </c>
      <c r="AH153" s="256">
        <v>4.8995272392868662E-3</v>
      </c>
      <c r="AI153" s="257">
        <v>5.2067936613901019E-3</v>
      </c>
      <c r="AJ153" s="255">
        <v>4.3246039020340887E-3</v>
      </c>
      <c r="AK153" s="256">
        <v>5.8766070057020923E-3</v>
      </c>
      <c r="AL153" s="257">
        <v>5.2018485672897354E-3</v>
      </c>
      <c r="AM153" s="255">
        <v>5.0429530308797408E-3</v>
      </c>
      <c r="AN153" s="256">
        <v>6.852755485133648E-3</v>
      </c>
      <c r="AO153" s="257">
        <v>5.1968905136811601E-3</v>
      </c>
      <c r="AP153" s="255">
        <v>5.7606150438713494E-3</v>
      </c>
      <c r="AQ153" s="256">
        <v>7.8279702582806348E-3</v>
      </c>
      <c r="AR153" s="257">
        <v>5.1919195800219061E-3</v>
      </c>
      <c r="AS153" s="255">
        <v>6.4775881716610372E-3</v>
      </c>
      <c r="AT153" s="256">
        <v>8.8022489208160089E-3</v>
      </c>
      <c r="AU153" s="257">
        <v>5.1869358460308523E-3</v>
      </c>
      <c r="AV153" s="255">
        <v>7.1938706559560714E-3</v>
      </c>
      <c r="AW153" s="256">
        <v>9.7755890834353015E-3</v>
      </c>
      <c r="AX153" s="257">
        <v>5.1819393916863231E-3</v>
      </c>
      <c r="AY153" s="243">
        <v>0</v>
      </c>
      <c r="AZ153" s="244">
        <v>0</v>
      </c>
      <c r="BA153" s="244">
        <v>0</v>
      </c>
      <c r="BB153" s="244">
        <v>0</v>
      </c>
      <c r="BC153" s="244">
        <v>0</v>
      </c>
      <c r="BD153" s="244">
        <v>0</v>
      </c>
      <c r="BE153" s="244">
        <v>0</v>
      </c>
      <c r="BF153" s="244">
        <v>0</v>
      </c>
      <c r="BG153" s="244">
        <v>0</v>
      </c>
      <c r="BH153" s="245">
        <v>0</v>
      </c>
      <c r="BK153">
        <v>95</v>
      </c>
      <c r="BL153" s="281">
        <v>0.52763819095477416</v>
      </c>
      <c r="BM153" s="281">
        <v>9415.1758793969893</v>
      </c>
      <c r="BN153" s="282">
        <v>7162.5728643216244</v>
      </c>
      <c r="BO153" s="282">
        <v>154.18592964824205</v>
      </c>
      <c r="BP153" s="282">
        <v>0</v>
      </c>
      <c r="BQ153" s="283">
        <v>0</v>
      </c>
      <c r="BR153" s="284"/>
      <c r="BS153" s="147"/>
      <c r="BT153" s="285">
        <v>0.98965335783611796</v>
      </c>
      <c r="BU153" s="288">
        <v>3.4089056107095311E-2</v>
      </c>
      <c r="BV153" s="287">
        <v>0.79620485304490762</v>
      </c>
      <c r="BW153" s="288">
        <v>0</v>
      </c>
      <c r="BX153" s="286">
        <v>99.9552583363526</v>
      </c>
      <c r="BY153" s="287">
        <v>4.4741663647394334E-2</v>
      </c>
      <c r="BZ153" s="288">
        <v>0</v>
      </c>
      <c r="CA153" s="286">
        <v>0.77151150787801648</v>
      </c>
      <c r="CB153" s="286">
        <v>1.1145787945654158</v>
      </c>
      <c r="CC153" s="287">
        <v>1.2197940983745814</v>
      </c>
      <c r="CD153" s="286">
        <v>0</v>
      </c>
      <c r="CE153" s="286">
        <v>15.731378784743281</v>
      </c>
      <c r="CF153" s="286">
        <v>21.206514086902541</v>
      </c>
      <c r="CG153" s="287">
        <v>22.489737902023993</v>
      </c>
      <c r="CH153" s="288">
        <v>0</v>
      </c>
      <c r="CI153" s="286">
        <v>1.8056262653229358</v>
      </c>
      <c r="CJ153" s="286">
        <v>189.46499824686146</v>
      </c>
      <c r="CK153" s="287"/>
      <c r="CL153" s="288"/>
      <c r="CM153" s="286"/>
      <c r="CN153" s="287"/>
      <c r="CO153" s="289"/>
      <c r="CP153" s="290"/>
      <c r="CQ153" s="289"/>
      <c r="CR153" s="290"/>
      <c r="CS153" s="284"/>
      <c r="CT153" s="147"/>
      <c r="CU153" s="291"/>
      <c r="CV153" s="292"/>
    </row>
    <row r="154" spans="2:100">
      <c r="B154">
        <v>96</v>
      </c>
      <c r="C154" s="243">
        <v>0.99121184991717015</v>
      </c>
      <c r="D154" s="592">
        <v>8.714310270111332E-3</v>
      </c>
      <c r="E154" s="245">
        <v>4.7904103426000821E-3</v>
      </c>
      <c r="F154" s="243">
        <v>6.1752433943867893E-4</v>
      </c>
      <c r="G154" s="245">
        <v>8.3911476555981494E-4</v>
      </c>
      <c r="H154" s="243">
        <v>1.041196284526801E-2</v>
      </c>
      <c r="I154" s="245">
        <v>1.4148157738796546E-2</v>
      </c>
      <c r="J154" s="242">
        <v>7.4894387329922955E-3</v>
      </c>
      <c r="K154" s="242">
        <v>19.603345495924472</v>
      </c>
      <c r="L154" s="242">
        <v>5.0251256281407036E-3</v>
      </c>
      <c r="M154" s="243">
        <v>113.52487308328477</v>
      </c>
      <c r="N154" s="592">
        <v>30.993265057199899</v>
      </c>
      <c r="O154" s="245">
        <v>0.55572468913624629</v>
      </c>
      <c r="P154" s="245">
        <v>1.2339638470842091</v>
      </c>
      <c r="Q154" s="254">
        <v>7.6312378520768531</v>
      </c>
      <c r="R154" s="255">
        <v>0</v>
      </c>
      <c r="S154" s="256">
        <v>0</v>
      </c>
      <c r="T154" s="257">
        <v>0</v>
      </c>
      <c r="U154" s="255">
        <v>1.0473273306597906E-3</v>
      </c>
      <c r="V154" s="256">
        <v>1.4231468646722803E-3</v>
      </c>
      <c r="W154" s="257">
        <v>7.5766531387697943E-3</v>
      </c>
      <c r="X154" s="255">
        <v>2.0930307086297877E-3</v>
      </c>
      <c r="Y154" s="256">
        <v>2.8440870427517456E-3</v>
      </c>
      <c r="Z154" s="257">
        <v>7.564905019643956E-3</v>
      </c>
      <c r="AA154" s="255">
        <v>3.1374508897128741E-3</v>
      </c>
      <c r="AB154" s="256">
        <v>4.2632835657456384E-3</v>
      </c>
      <c r="AC154" s="257">
        <v>7.5556220214482066E-3</v>
      </c>
      <c r="AD154" s="255">
        <v>4.1805819151810005E-3</v>
      </c>
      <c r="AE154" s="256">
        <v>5.6807283367153096E-3</v>
      </c>
      <c r="AF154" s="257">
        <v>7.5462959161795738E-3</v>
      </c>
      <c r="AG154" s="255">
        <v>5.2224177862823908E-3</v>
      </c>
      <c r="AH154" s="256">
        <v>7.0964132043364022E-3</v>
      </c>
      <c r="AI154" s="257">
        <v>7.5369264142954393E-3</v>
      </c>
      <c r="AJ154" s="255">
        <v>6.2629525465214032E-3</v>
      </c>
      <c r="AK154" s="256">
        <v>8.5103300747037432E-3</v>
      </c>
      <c r="AL154" s="257">
        <v>7.5275138214882719E-3</v>
      </c>
      <c r="AM154" s="255">
        <v>7.3021802819782577E-3</v>
      </c>
      <c r="AN154" s="256">
        <v>9.9224709117658114E-3</v>
      </c>
      <c r="AO154" s="257">
        <v>7.5180584457635209E-3</v>
      </c>
      <c r="AP154" s="255">
        <v>8.3400951216047702E-3</v>
      </c>
      <c r="AQ154" s="256">
        <v>1.1332827737726574E-2</v>
      </c>
      <c r="AR154" s="257">
        <v>7.50856059726607E-3</v>
      </c>
      <c r="AS154" s="255">
        <v>9.3766912375145041E-3</v>
      </c>
      <c r="AT154" s="256">
        <v>1.2741392633439784E-2</v>
      </c>
      <c r="AU154" s="257">
        <v>7.4990205882398582E-3</v>
      </c>
      <c r="AV154" s="255">
        <v>1.041196284526801E-2</v>
      </c>
      <c r="AW154" s="256">
        <v>1.4148157738796546E-2</v>
      </c>
      <c r="AX154" s="257">
        <v>7.4894387329922955E-3</v>
      </c>
      <c r="AY154" s="243">
        <v>0</v>
      </c>
      <c r="AZ154" s="244">
        <v>0</v>
      </c>
      <c r="BA154" s="244">
        <v>0</v>
      </c>
      <c r="BB154" s="244">
        <v>0</v>
      </c>
      <c r="BC154" s="244">
        <v>0</v>
      </c>
      <c r="BD154" s="244">
        <v>0</v>
      </c>
      <c r="BE154" s="244">
        <v>0</v>
      </c>
      <c r="BF154" s="244">
        <v>0</v>
      </c>
      <c r="BG154" s="244">
        <v>0</v>
      </c>
      <c r="BH154" s="245">
        <v>0</v>
      </c>
      <c r="BK154">
        <v>96</v>
      </c>
      <c r="BL154" s="281">
        <v>0.52261306532663343</v>
      </c>
      <c r="BM154" s="281">
        <v>9325.507537688447</v>
      </c>
      <c r="BN154" s="282">
        <v>7130.195979899514</v>
      </c>
      <c r="BO154" s="282">
        <v>153.87939698492548</v>
      </c>
      <c r="BP154" s="282">
        <v>0</v>
      </c>
      <c r="BQ154" s="283">
        <v>0</v>
      </c>
      <c r="BR154" s="284"/>
      <c r="BS154" s="147"/>
      <c r="BT154" s="285">
        <v>0.98642143957457051</v>
      </c>
      <c r="BU154" s="288">
        <v>3.398247595102652E-2</v>
      </c>
      <c r="BV154" s="287">
        <v>0.79647151998307997</v>
      </c>
      <c r="BW154" s="288">
        <v>0</v>
      </c>
      <c r="BX154" s="286">
        <v>99.941302311680218</v>
      </c>
      <c r="BY154" s="287">
        <v>5.8697688319774941E-2</v>
      </c>
      <c r="BZ154" s="288">
        <v>0</v>
      </c>
      <c r="CA154" s="286">
        <v>0.7713768872465776</v>
      </c>
      <c r="CB154" s="286">
        <v>1.114689400485297</v>
      </c>
      <c r="CC154" s="287">
        <v>1.2197575040451774</v>
      </c>
      <c r="CD154" s="286">
        <v>0</v>
      </c>
      <c r="CE154" s="286">
        <v>15.730347295529276</v>
      </c>
      <c r="CF154" s="286">
        <v>21.209700959355686</v>
      </c>
      <c r="CG154" s="287">
        <v>22.490960824878456</v>
      </c>
      <c r="CH154" s="288">
        <v>0</v>
      </c>
      <c r="CI154" s="286">
        <v>1.7997689211479906</v>
      </c>
      <c r="CJ154" s="286">
        <v>190.02228176094604</v>
      </c>
      <c r="CK154" s="287"/>
      <c r="CL154" s="288"/>
      <c r="CM154" s="286"/>
      <c r="CN154" s="287"/>
      <c r="CO154" s="289"/>
      <c r="CP154" s="290"/>
      <c r="CQ154" s="289"/>
      <c r="CR154" s="290"/>
      <c r="CS154" s="284"/>
      <c r="CT154" s="147"/>
      <c r="CU154" s="291"/>
      <c r="CV154" s="292"/>
    </row>
    <row r="155" spans="2:100">
      <c r="B155">
        <v>97</v>
      </c>
      <c r="C155" s="243">
        <v>0.98831630829640749</v>
      </c>
      <c r="D155" s="592">
        <v>1.1557198592002894E-2</v>
      </c>
      <c r="E155" s="245">
        <v>5.1164553105943478E-3</v>
      </c>
      <c r="F155" s="243">
        <v>8.1834159732911238E-4</v>
      </c>
      <c r="G155" s="245">
        <v>1.1119592648127041E-3</v>
      </c>
      <c r="H155" s="243">
        <v>1.3797905219206499E-2</v>
      </c>
      <c r="I155" s="245">
        <v>1.8748538010996227E-2</v>
      </c>
      <c r="J155" s="242">
        <v>9.9115207319991228E-3</v>
      </c>
      <c r="K155" s="242">
        <v>19.769718634551928</v>
      </c>
      <c r="L155" s="242">
        <v>5.0251256281407036E-3</v>
      </c>
      <c r="M155" s="243">
        <v>112.61941060849061</v>
      </c>
      <c r="N155" s="592">
        <v>30.817015109007357</v>
      </c>
      <c r="O155" s="245">
        <v>0.55156987910045696</v>
      </c>
      <c r="P155" s="245">
        <v>1.2444364696391139</v>
      </c>
      <c r="Q155" s="254">
        <v>10.095382514404626</v>
      </c>
      <c r="R155" s="255">
        <v>0</v>
      </c>
      <c r="S155" s="256">
        <v>0</v>
      </c>
      <c r="T155" s="257">
        <v>0</v>
      </c>
      <c r="U155" s="255">
        <v>1.389755830988988E-3</v>
      </c>
      <c r="V155" s="256">
        <v>1.8883946229048773E-3</v>
      </c>
      <c r="W155" s="257">
        <v>1.0053573107623713E-2</v>
      </c>
      <c r="X155" s="255">
        <v>2.7768677301651654E-3</v>
      </c>
      <c r="Y155" s="256">
        <v>3.7731966819166524E-3</v>
      </c>
      <c r="Z155" s="257">
        <v>1.0034446753785895E-2</v>
      </c>
      <c r="AA155" s="255">
        <v>4.1619066529274213E-3</v>
      </c>
      <c r="AB155" s="256">
        <v>5.6551819889305802E-3</v>
      </c>
      <c r="AC155" s="257">
        <v>1.0019450723934439E-2</v>
      </c>
      <c r="AD155" s="255">
        <v>5.5448578727425851E-3</v>
      </c>
      <c r="AE155" s="256">
        <v>7.5343305335927322E-3</v>
      </c>
      <c r="AF155" s="257">
        <v>1.0004348161500401E-2</v>
      </c>
      <c r="AG155" s="255">
        <v>6.925706630732339E-3</v>
      </c>
      <c r="AH155" s="256">
        <v>9.4106222615987205E-3</v>
      </c>
      <c r="AI155" s="257">
        <v>9.9891388324971058E-3</v>
      </c>
      <c r="AJ155" s="255">
        <v>8.304438285274808E-3</v>
      </c>
      <c r="AK155" s="256">
        <v>1.1284037277971747E-2</v>
      </c>
      <c r="AL155" s="257">
        <v>9.9738235851643993E-3</v>
      </c>
      <c r="AM155" s="255">
        <v>9.6810383134363388E-3</v>
      </c>
      <c r="AN155" s="256">
        <v>1.3154555849008083E-2</v>
      </c>
      <c r="AO155" s="257">
        <v>9.958403278099626E-3</v>
      </c>
      <c r="AP155" s="255">
        <v>1.1055492312341368E-2</v>
      </c>
      <c r="AQ155" s="256">
        <v>1.5022158404138451E-2</v>
      </c>
      <c r="AR155" s="257">
        <v>9.9428787798098908E-3</v>
      </c>
      <c r="AS155" s="255">
        <v>1.242778600051612E-2</v>
      </c>
      <c r="AT155" s="256">
        <v>1.6886825537753836E-2</v>
      </c>
      <c r="AU155" s="257">
        <v>9.9272509685226547E-3</v>
      </c>
      <c r="AV155" s="255">
        <v>1.3797905219206499E-2</v>
      </c>
      <c r="AW155" s="256">
        <v>1.8748538010996227E-2</v>
      </c>
      <c r="AX155" s="257">
        <v>9.9115207319991228E-3</v>
      </c>
      <c r="AY155" s="243">
        <v>0</v>
      </c>
      <c r="AZ155" s="244">
        <v>0</v>
      </c>
      <c r="BA155" s="244">
        <v>0</v>
      </c>
      <c r="BB155" s="244">
        <v>0</v>
      </c>
      <c r="BC155" s="244">
        <v>0</v>
      </c>
      <c r="BD155" s="244">
        <v>0</v>
      </c>
      <c r="BE155" s="244">
        <v>0</v>
      </c>
      <c r="BF155" s="244">
        <v>0</v>
      </c>
      <c r="BG155" s="244">
        <v>0</v>
      </c>
      <c r="BH155" s="245">
        <v>0</v>
      </c>
      <c r="BK155">
        <v>97</v>
      </c>
      <c r="BL155" s="281">
        <v>0.5175879396984927</v>
      </c>
      <c r="BM155" s="281">
        <v>9235.8391959799046</v>
      </c>
      <c r="BN155" s="282">
        <v>7097.8190954774036</v>
      </c>
      <c r="BO155" s="282">
        <v>153.5728643216089</v>
      </c>
      <c r="BP155" s="282">
        <v>0</v>
      </c>
      <c r="BQ155" s="283">
        <v>0</v>
      </c>
      <c r="BR155" s="284"/>
      <c r="BS155" s="147"/>
      <c r="BT155" s="285">
        <v>0.98319985298581369</v>
      </c>
      <c r="BU155" s="288">
        <v>3.3876203713929007E-2</v>
      </c>
      <c r="BV155" s="287">
        <v>0.79673774851515444</v>
      </c>
      <c r="BW155" s="288">
        <v>0</v>
      </c>
      <c r="BX155" s="286">
        <v>99.927400236201422</v>
      </c>
      <c r="BY155" s="287">
        <v>7.2599763798578174E-2</v>
      </c>
      <c r="BZ155" s="288">
        <v>0</v>
      </c>
      <c r="CA155" s="286">
        <v>0.77124211625072259</v>
      </c>
      <c r="CB155" s="286">
        <v>1.1147997669952507</v>
      </c>
      <c r="CC155" s="287">
        <v>1.2197208995450188</v>
      </c>
      <c r="CD155" s="286">
        <v>0</v>
      </c>
      <c r="CE155" s="286">
        <v>15.729312957421335</v>
      </c>
      <c r="CF155" s="286">
        <v>21.212883956830876</v>
      </c>
      <c r="CG155" s="287">
        <v>22.492183825539335</v>
      </c>
      <c r="CH155" s="288">
        <v>0</v>
      </c>
      <c r="CI155" s="286">
        <v>1.7939328504681173</v>
      </c>
      <c r="CJ155" s="286">
        <v>190.5828476330054</v>
      </c>
      <c r="CK155" s="287"/>
      <c r="CL155" s="288"/>
      <c r="CM155" s="286"/>
      <c r="CN155" s="287"/>
      <c r="CO155" s="289"/>
      <c r="CP155" s="290"/>
      <c r="CQ155" s="289"/>
      <c r="CR155" s="290"/>
      <c r="CS155" s="284"/>
      <c r="CT155" s="147"/>
      <c r="CU155" s="291"/>
      <c r="CV155" s="292"/>
    </row>
    <row r="156" spans="2:100">
      <c r="B156">
        <v>98</v>
      </c>
      <c r="C156" s="243">
        <v>0.98532250917057884</v>
      </c>
      <c r="D156" s="592">
        <v>1.4478932977582697E-2</v>
      </c>
      <c r="E156" s="245">
        <v>5.3339426916264587E-3</v>
      </c>
      <c r="F156" s="243">
        <v>1.0242173876978812E-3</v>
      </c>
      <c r="G156" s="245">
        <v>1.3916606817587676E-3</v>
      </c>
      <c r="H156" s="243">
        <v>1.7269138566880345E-2</v>
      </c>
      <c r="I156" s="245">
        <v>2.3464531495007587E-2</v>
      </c>
      <c r="J156" s="242">
        <v>1.2388961219907249E-2</v>
      </c>
      <c r="K156" s="242">
        <v>19.942514081736611</v>
      </c>
      <c r="L156" s="242">
        <v>5.0251256281407036E-3</v>
      </c>
      <c r="M156" s="243">
        <v>111.69321113938759</v>
      </c>
      <c r="N156" s="592">
        <v>30.63402362185349</v>
      </c>
      <c r="O156" s="245">
        <v>0.54728028882537472</v>
      </c>
      <c r="P156" s="245">
        <v>1.255313354648919</v>
      </c>
      <c r="Q156" s="254">
        <v>12.612686166676417</v>
      </c>
      <c r="R156" s="255">
        <v>0</v>
      </c>
      <c r="S156" s="256">
        <v>0</v>
      </c>
      <c r="T156" s="257">
        <v>0</v>
      </c>
      <c r="U156" s="255">
        <v>1.7415555930609646E-3</v>
      </c>
      <c r="V156" s="256">
        <v>2.3663476846527962E-3</v>
      </c>
      <c r="W156" s="257">
        <v>1.2598134498559923E-2</v>
      </c>
      <c r="X156" s="255">
        <v>3.479214500600659E-3</v>
      </c>
      <c r="Y156" s="256">
        <v>4.7274007276657763E-3</v>
      </c>
      <c r="Z156" s="257">
        <v>1.2569946498997266E-2</v>
      </c>
      <c r="AA156" s="255">
        <v>5.2138500808361684E-3</v>
      </c>
      <c r="AB156" s="256">
        <v>7.0843458090410621E-3</v>
      </c>
      <c r="AC156" s="257">
        <v>1.2548076233033289E-2</v>
      </c>
      <c r="AD156" s="255">
        <v>6.9454322519605337E-3</v>
      </c>
      <c r="AE156" s="256">
        <v>9.4371420549676007E-3</v>
      </c>
      <c r="AF156" s="257">
        <v>1.252598836009108E-2</v>
      </c>
      <c r="AG156" s="255">
        <v>8.6739309474771157E-3</v>
      </c>
      <c r="AH156" s="256">
        <v>1.1785748612437318E-2</v>
      </c>
      <c r="AI156" s="257">
        <v>1.2503682990923047E-2</v>
      </c>
      <c r="AJ156" s="255">
        <v>1.0399316362944153E-2</v>
      </c>
      <c r="AK156" s="256">
        <v>1.4130124984510557E-2</v>
      </c>
      <c r="AL156" s="257">
        <v>1.2481162021192222E-2</v>
      </c>
      <c r="AM156" s="255">
        <v>1.2121558960676649E-2</v>
      </c>
      <c r="AN156" s="256">
        <v>1.6470231036704808E-2</v>
      </c>
      <c r="AO156" s="257">
        <v>1.245842738057441E-2</v>
      </c>
      <c r="AP156" s="255">
        <v>1.3840629474296434E-2</v>
      </c>
      <c r="AQ156" s="256">
        <v>1.8806027003177107E-2</v>
      </c>
      <c r="AR156" s="257">
        <v>1.2435481031659734E-2</v>
      </c>
      <c r="AS156" s="255">
        <v>1.5556498913191047E-2</v>
      </c>
      <c r="AT156" s="256">
        <v>2.1137473492782579E-2</v>
      </c>
      <c r="AU156" s="257">
        <v>1.241232496929323E-2</v>
      </c>
      <c r="AV156" s="255">
        <v>1.7269138566880345E-2</v>
      </c>
      <c r="AW156" s="256">
        <v>2.3464531495007587E-2</v>
      </c>
      <c r="AX156" s="257">
        <v>1.2388961219907249E-2</v>
      </c>
      <c r="AY156" s="243">
        <v>0</v>
      </c>
      <c r="AZ156" s="244">
        <v>0</v>
      </c>
      <c r="BA156" s="244">
        <v>0</v>
      </c>
      <c r="BB156" s="244">
        <v>0</v>
      </c>
      <c r="BC156" s="244">
        <v>0</v>
      </c>
      <c r="BD156" s="244">
        <v>0</v>
      </c>
      <c r="BE156" s="244">
        <v>0</v>
      </c>
      <c r="BF156" s="244">
        <v>0</v>
      </c>
      <c r="BG156" s="244">
        <v>0</v>
      </c>
      <c r="BH156" s="245">
        <v>0</v>
      </c>
      <c r="BK156">
        <v>98</v>
      </c>
      <c r="BL156" s="281">
        <v>0.51256281407035209</v>
      </c>
      <c r="BM156" s="281">
        <v>9146.1708542713623</v>
      </c>
      <c r="BN156" s="282">
        <v>7065.4422110552932</v>
      </c>
      <c r="BO156" s="282">
        <v>153.26633165829233</v>
      </c>
      <c r="BP156" s="282">
        <v>0</v>
      </c>
      <c r="BQ156" s="283">
        <v>0</v>
      </c>
      <c r="BR156" s="284"/>
      <c r="BS156" s="147"/>
      <c r="BT156" s="285">
        <v>0.97998856647895294</v>
      </c>
      <c r="BU156" s="288">
        <v>3.3770238680042669E-2</v>
      </c>
      <c r="BV156" s="287">
        <v>0.79700353801390966</v>
      </c>
      <c r="BW156" s="288">
        <v>0</v>
      </c>
      <c r="BX156" s="286">
        <v>99.913551896373221</v>
      </c>
      <c r="BY156" s="287">
        <v>8.644810362677878E-2</v>
      </c>
      <c r="BZ156" s="288">
        <v>0</v>
      </c>
      <c r="CA156" s="286">
        <v>0.77110719341092271</v>
      </c>
      <c r="CB156" s="286">
        <v>1.114909893426391</v>
      </c>
      <c r="CC156" s="287">
        <v>1.2196842848471579</v>
      </c>
      <c r="CD156" s="286">
        <v>0</v>
      </c>
      <c r="CE156" s="286">
        <v>15.728275744118957</v>
      </c>
      <c r="CF156" s="286">
        <v>21.216063064450935</v>
      </c>
      <c r="CG156" s="287">
        <v>22.493406903815369</v>
      </c>
      <c r="CH156" s="288">
        <v>0</v>
      </c>
      <c r="CI156" s="286">
        <v>1.788117911459971</v>
      </c>
      <c r="CJ156" s="286">
        <v>191.14671192542761</v>
      </c>
      <c r="CK156" s="287"/>
      <c r="CL156" s="288"/>
      <c r="CM156" s="286"/>
      <c r="CN156" s="287"/>
      <c r="CO156" s="289"/>
      <c r="CP156" s="290"/>
      <c r="CQ156" s="289"/>
      <c r="CR156" s="290"/>
      <c r="CS156" s="284"/>
      <c r="CT156" s="147"/>
      <c r="CU156" s="291"/>
      <c r="CV156" s="292"/>
    </row>
    <row r="157" spans="2:100">
      <c r="B157">
        <v>99</v>
      </c>
      <c r="C157" s="243">
        <v>0.98227066089126591</v>
      </c>
      <c r="D157" s="592">
        <v>1.7436692056547437E-2</v>
      </c>
      <c r="E157" s="245">
        <v>5.4831123678943383E-3</v>
      </c>
      <c r="F157" s="243">
        <v>1.2320104467649735E-3</v>
      </c>
      <c r="G157" s="245">
        <v>1.673950310069412E-3</v>
      </c>
      <c r="H157" s="243">
        <v>2.0772698624898087E-2</v>
      </c>
      <c r="I157" s="245">
        <v>2.8224164328665008E-2</v>
      </c>
      <c r="J157" s="242">
        <v>1.4883999490649655E-2</v>
      </c>
      <c r="K157" s="242">
        <v>20.119258757567003</v>
      </c>
      <c r="L157" s="242">
        <v>5.0251256281407036E-3</v>
      </c>
      <c r="M157" s="243">
        <v>110.76131106678365</v>
      </c>
      <c r="N157" s="592">
        <v>30.448383018077781</v>
      </c>
      <c r="O157" s="245">
        <v>0.54291347963281178</v>
      </c>
      <c r="P157" s="245">
        <v>1.2664388301543454</v>
      </c>
      <c r="Q157" s="254">
        <v>15.144282448005438</v>
      </c>
      <c r="R157" s="255">
        <v>0</v>
      </c>
      <c r="S157" s="256">
        <v>0</v>
      </c>
      <c r="T157" s="257">
        <v>0</v>
      </c>
      <c r="U157" s="255">
        <v>2.0973345674684192E-3</v>
      </c>
      <c r="V157" s="256">
        <v>2.8496786360471568E-3</v>
      </c>
      <c r="W157" s="257">
        <v>1.517132709087186E-2</v>
      </c>
      <c r="X157" s="255">
        <v>4.1893098866544951E-3</v>
      </c>
      <c r="Y157" s="256">
        <v>5.6920755843882344E-3</v>
      </c>
      <c r="Z157" s="257">
        <v>1.5132560310447896E-2</v>
      </c>
      <c r="AA157" s="255">
        <v>6.2771761163579274E-3</v>
      </c>
      <c r="AB157" s="256">
        <v>8.5288894537614065E-3</v>
      </c>
      <c r="AC157" s="257">
        <v>1.5102836707187935E-2</v>
      </c>
      <c r="AD157" s="255">
        <v>8.36087933288991E-3</v>
      </c>
      <c r="AE157" s="256">
        <v>1.136004697727528E-2</v>
      </c>
      <c r="AF157" s="257">
        <v>1.5072723040304581E-2</v>
      </c>
      <c r="AG157" s="255">
        <v>1.0440365737649032E-2</v>
      </c>
      <c r="AH157" s="256">
        <v>1.4185475057996508E-2</v>
      </c>
      <c r="AI157" s="257">
        <v>1.5042220214632899E-2</v>
      </c>
      <c r="AJ157" s="255">
        <v>1.2515582036382812E-2</v>
      </c>
      <c r="AK157" s="256">
        <v>1.7005101284257883E-2</v>
      </c>
      <c r="AL157" s="257">
        <v>1.5011331878442752E-2</v>
      </c>
      <c r="AM157" s="255">
        <v>1.4586475451611222E-2</v>
      </c>
      <c r="AN157" s="256">
        <v>1.9818853946538355E-2</v>
      </c>
      <c r="AO157" s="257">
        <v>1.4980061769871154E-2</v>
      </c>
      <c r="AP157" s="255">
        <v>1.6652993734704427E-2</v>
      </c>
      <c r="AQ157" s="256">
        <v>2.2626662053873248E-2</v>
      </c>
      <c r="AR157" s="257">
        <v>1.4948413714420898E-2</v>
      </c>
      <c r="AS157" s="255">
        <v>1.8715085177706377E-2</v>
      </c>
      <c r="AT157" s="256">
        <v>2.5428455349919128E-2</v>
      </c>
      <c r="AU157" s="257">
        <v>1.4916391623122168E-2</v>
      </c>
      <c r="AV157" s="255">
        <v>2.0772698624898087E-2</v>
      </c>
      <c r="AW157" s="256">
        <v>2.8224164328665008E-2</v>
      </c>
      <c r="AX157" s="257">
        <v>1.4883999490649655E-2</v>
      </c>
      <c r="AY157" s="243">
        <v>0</v>
      </c>
      <c r="AZ157" s="244">
        <v>0</v>
      </c>
      <c r="BA157" s="244">
        <v>0</v>
      </c>
      <c r="BB157" s="244">
        <v>0</v>
      </c>
      <c r="BC157" s="244">
        <v>0</v>
      </c>
      <c r="BD157" s="244">
        <v>0</v>
      </c>
      <c r="BE157" s="244">
        <v>0</v>
      </c>
      <c r="BF157" s="244">
        <v>0</v>
      </c>
      <c r="BG157" s="244">
        <v>0</v>
      </c>
      <c r="BH157" s="245">
        <v>0</v>
      </c>
      <c r="BK157">
        <v>99</v>
      </c>
      <c r="BL157" s="281">
        <v>0.50753768844221137</v>
      </c>
      <c r="BM157" s="281">
        <v>9056.5025125628199</v>
      </c>
      <c r="BN157" s="282">
        <v>7033.0653266331828</v>
      </c>
      <c r="BO157" s="282">
        <v>152.95979899497576</v>
      </c>
      <c r="BP157" s="282">
        <v>0</v>
      </c>
      <c r="BQ157" s="283">
        <v>0</v>
      </c>
      <c r="BR157" s="284"/>
      <c r="BS157" s="147"/>
      <c r="BT157" s="285">
        <v>0.97678754852337213</v>
      </c>
      <c r="BU157" s="288">
        <v>3.3664580133161495E-2</v>
      </c>
      <c r="BV157" s="287">
        <v>0.79726888780587057</v>
      </c>
      <c r="BW157" s="288">
        <v>0</v>
      </c>
      <c r="BX157" s="286">
        <v>99.899757079326037</v>
      </c>
      <c r="BY157" s="287">
        <v>0.10024292067397381</v>
      </c>
      <c r="BZ157" s="288">
        <v>0</v>
      </c>
      <c r="CA157" s="286">
        <v>0.77097211723885528</v>
      </c>
      <c r="CB157" s="286">
        <v>1.1150197790827288</v>
      </c>
      <c r="CC157" s="287">
        <v>1.2196476599245651</v>
      </c>
      <c r="CD157" s="286">
        <v>0</v>
      </c>
      <c r="CE157" s="286">
        <v>15.727235629157892</v>
      </c>
      <c r="CF157" s="286">
        <v>21.219238266877724</v>
      </c>
      <c r="CG157" s="287">
        <v>22.494630059514297</v>
      </c>
      <c r="CH157" s="288">
        <v>0</v>
      </c>
      <c r="CI157" s="286">
        <v>1.782323963374798</v>
      </c>
      <c r="CJ157" s="286">
        <v>191.7138907682932</v>
      </c>
      <c r="CK157" s="287"/>
      <c r="CL157" s="288"/>
      <c r="CM157" s="286"/>
      <c r="CN157" s="287"/>
      <c r="CO157" s="289"/>
      <c r="CP157" s="290"/>
      <c r="CQ157" s="289"/>
      <c r="CR157" s="290"/>
      <c r="CS157" s="284"/>
      <c r="CT157" s="147"/>
      <c r="CU157" s="291"/>
      <c r="CV157" s="292"/>
    </row>
    <row r="158" spans="2:100">
      <c r="B158">
        <v>100</v>
      </c>
      <c r="C158" s="243">
        <v>0.97918587712923799</v>
      </c>
      <c r="D158" s="592">
        <v>2.0402943830628156E-2</v>
      </c>
      <c r="E158" s="245">
        <v>5.5891094794312535E-3</v>
      </c>
      <c r="F158" s="243">
        <v>1.4396854532336887E-3</v>
      </c>
      <c r="G158" s="245">
        <v>1.9560625706741682E-3</v>
      </c>
      <c r="H158" s="243">
        <v>2.4274268220047263E-2</v>
      </c>
      <c r="I158" s="245">
        <v>3.2980806598476256E-2</v>
      </c>
      <c r="J158" s="242">
        <v>1.7372327811097547E-2</v>
      </c>
      <c r="K158" s="242">
        <v>20.298299620306636</v>
      </c>
      <c r="L158" s="242">
        <v>5.0251256281407036E-3</v>
      </c>
      <c r="M158" s="243">
        <v>109.83334907090104</v>
      </c>
      <c r="N158" s="592">
        <v>30.262736396866117</v>
      </c>
      <c r="O158" s="245">
        <v>0.53850813376549345</v>
      </c>
      <c r="P158" s="245">
        <v>1.2777088428069003</v>
      </c>
      <c r="Q158" s="254">
        <v>17.665253122577894</v>
      </c>
      <c r="R158" s="255">
        <v>0</v>
      </c>
      <c r="S158" s="256">
        <v>0</v>
      </c>
      <c r="T158" s="257">
        <v>0</v>
      </c>
      <c r="U158" s="255">
        <v>2.4535717389309064E-3</v>
      </c>
      <c r="V158" s="256">
        <v>3.3336030673970095E-3</v>
      </c>
      <c r="W158" s="257">
        <v>1.7747679295082752E-2</v>
      </c>
      <c r="X158" s="255">
        <v>4.9001344485765201E-3</v>
      </c>
      <c r="Y158" s="256">
        <v>6.657683151970982E-3</v>
      </c>
      <c r="Z158" s="257">
        <v>1.7696980144146408E-2</v>
      </c>
      <c r="AA158" s="255">
        <v>7.341389929535409E-3</v>
      </c>
      <c r="AB158" s="256">
        <v>9.9745524452121721E-3</v>
      </c>
      <c r="AC158" s="257">
        <v>1.7658590807008576E-2</v>
      </c>
      <c r="AD158" s="255">
        <v>9.7772502289927878E-3</v>
      </c>
      <c r="AE158" s="256">
        <v>1.3284091447955951E-2</v>
      </c>
      <c r="AF158" s="257">
        <v>1.761956527149711E-2</v>
      </c>
      <c r="AG158" s="255">
        <v>1.2207627712436378E-2</v>
      </c>
      <c r="AH158" s="256">
        <v>1.6586181093506902E-2</v>
      </c>
      <c r="AI158" s="257">
        <v>1.7579905840023138E-2</v>
      </c>
      <c r="AJ158" s="255">
        <v>1.463243561661718E-2</v>
      </c>
      <c r="AK158" s="256">
        <v>1.9880703498931979E-2</v>
      </c>
      <c r="AL158" s="257">
        <v>1.7539618814787186E-2</v>
      </c>
      <c r="AM158" s="255">
        <v>1.705158807757717E-2</v>
      </c>
      <c r="AN158" s="256">
        <v>2.3167542003141021E-2</v>
      </c>
      <c r="AO158" s="257">
        <v>1.7498710700725558E-2</v>
      </c>
      <c r="AP158" s="255">
        <v>1.9465000157952002E-2</v>
      </c>
      <c r="AQ158" s="256">
        <v>2.6446581203982213E-2</v>
      </c>
      <c r="AR158" s="257">
        <v>1.7457188200266097E-2</v>
      </c>
      <c r="AS158" s="255">
        <v>2.1872587873673074E-2</v>
      </c>
      <c r="AT158" s="256">
        <v>2.9717706994521465E-2</v>
      </c>
      <c r="AU158" s="257">
        <v>1.7415058208983449E-2</v>
      </c>
      <c r="AV158" s="255">
        <v>2.4274268220047263E-2</v>
      </c>
      <c r="AW158" s="256">
        <v>3.2980806598476256E-2</v>
      </c>
      <c r="AX158" s="257">
        <v>1.7372327811097547E-2</v>
      </c>
      <c r="AY158" s="243">
        <v>0</v>
      </c>
      <c r="AZ158" s="244">
        <v>0</v>
      </c>
      <c r="BA158" s="244">
        <v>0</v>
      </c>
      <c r="BB158" s="244">
        <v>0</v>
      </c>
      <c r="BC158" s="244">
        <v>0</v>
      </c>
      <c r="BD158" s="244">
        <v>0</v>
      </c>
      <c r="BE158" s="244">
        <v>0</v>
      </c>
      <c r="BF158" s="244">
        <v>0</v>
      </c>
      <c r="BG158" s="244">
        <v>0</v>
      </c>
      <c r="BH158" s="245">
        <v>0</v>
      </c>
      <c r="BK158">
        <v>100</v>
      </c>
      <c r="BL158" s="281">
        <v>0.50251256281407075</v>
      </c>
      <c r="BM158" s="281">
        <v>8966.8341708542775</v>
      </c>
      <c r="BN158" s="282">
        <v>7000.6884422110725</v>
      </c>
      <c r="BO158" s="282">
        <v>152.65326633165918</v>
      </c>
      <c r="BP158" s="282">
        <v>0</v>
      </c>
      <c r="BQ158" s="283">
        <v>0</v>
      </c>
      <c r="BR158" s="284"/>
      <c r="BS158" s="147"/>
      <c r="BT158" s="285">
        <v>0.97359676764980729</v>
      </c>
      <c r="BU158" s="288">
        <v>3.355922735668361E-2</v>
      </c>
      <c r="BV158" s="287">
        <v>0.79753379719255635</v>
      </c>
      <c r="BW158" s="288">
        <v>0</v>
      </c>
      <c r="BX158" s="286">
        <v>99.886015572865418</v>
      </c>
      <c r="BY158" s="287">
        <v>0.11398442713457836</v>
      </c>
      <c r="BZ158" s="288">
        <v>0</v>
      </c>
      <c r="CA158" s="286">
        <v>0.77083688623733648</v>
      </c>
      <c r="CB158" s="286">
        <v>1.1151294232525499</v>
      </c>
      <c r="CC158" s="287">
        <v>1.2196110247501188</v>
      </c>
      <c r="CD158" s="286">
        <v>0</v>
      </c>
      <c r="CE158" s="286">
        <v>15.726192585908885</v>
      </c>
      <c r="CF158" s="286">
        <v>21.222409548487136</v>
      </c>
      <c r="CG158" s="287">
        <v>22.495853292442714</v>
      </c>
      <c r="CH158" s="288">
        <v>0</v>
      </c>
      <c r="CI158" s="286">
        <v>1.7765508665354734</v>
      </c>
      <c r="CJ158" s="286">
        <v>192.28440037396206</v>
      </c>
      <c r="CK158" s="287"/>
      <c r="CL158" s="288"/>
      <c r="CM158" s="286"/>
      <c r="CN158" s="287"/>
      <c r="CO158" s="289"/>
      <c r="CP158" s="290"/>
      <c r="CQ158" s="289"/>
      <c r="CR158" s="290"/>
      <c r="CS158" s="284"/>
      <c r="CT158" s="147"/>
      <c r="CU158" s="291"/>
      <c r="CV158" s="292"/>
    </row>
    <row r="159" spans="2:100">
      <c r="B159">
        <v>101</v>
      </c>
      <c r="C159" s="243">
        <v>0.97608386865235541</v>
      </c>
      <c r="D159" s="592">
        <v>2.3359752515144175E-2</v>
      </c>
      <c r="E159" s="245">
        <v>5.6676757076222772E-3</v>
      </c>
      <c r="F159" s="243">
        <v>1.6459060560332604E-3</v>
      </c>
      <c r="G159" s="245">
        <v>2.2361818605400865E-3</v>
      </c>
      <c r="H159" s="243">
        <v>2.7751315385879872E-2</v>
      </c>
      <c r="I159" s="245">
        <v>3.7703845759941443E-2</v>
      </c>
      <c r="J159" s="242">
        <v>1.9838106349352225E-2</v>
      </c>
      <c r="K159" s="242">
        <v>20.47850429975572</v>
      </c>
      <c r="L159" s="242">
        <v>5.0251256281407036E-3</v>
      </c>
      <c r="M159" s="243">
        <v>108.9155582746176</v>
      </c>
      <c r="N159" s="592">
        <v>30.078810712578044</v>
      </c>
      <c r="O159" s="245">
        <v>0.5340908794249335</v>
      </c>
      <c r="P159" s="245">
        <v>1.289052113758371</v>
      </c>
      <c r="Q159" s="254">
        <v>20.159477003493016</v>
      </c>
      <c r="R159" s="255">
        <v>0</v>
      </c>
      <c r="S159" s="256">
        <v>0</v>
      </c>
      <c r="T159" s="257">
        <v>0</v>
      </c>
      <c r="U159" s="255">
        <v>2.8079344600991448E-3</v>
      </c>
      <c r="V159" s="256">
        <v>3.8149516992434232E-3</v>
      </c>
      <c r="W159" s="257">
        <v>2.0310318269916534E-2</v>
      </c>
      <c r="X159" s="255">
        <v>5.6070438711019613E-3</v>
      </c>
      <c r="Y159" s="256">
        <v>7.6179133978211072E-3</v>
      </c>
      <c r="Z159" s="257">
        <v>2.0246485029347332E-2</v>
      </c>
      <c r="AA159" s="255">
        <v>8.3995556873295314E-3</v>
      </c>
      <c r="AB159" s="256">
        <v>1.141191138810844E-2</v>
      </c>
      <c r="AC159" s="257">
        <v>2.019876338498371E-2</v>
      </c>
      <c r="AD159" s="255">
        <v>1.1185336277404612E-2</v>
      </c>
      <c r="AE159" s="256">
        <v>1.5196764114140738E-2</v>
      </c>
      <c r="AF159" s="257">
        <v>2.015007515972541E-2</v>
      </c>
      <c r="AG159" s="255">
        <v>1.3964252624114612E-2</v>
      </c>
      <c r="AH159" s="256">
        <v>1.8972290854377516E-2</v>
      </c>
      <c r="AI159" s="257">
        <v>2.0100424795940916E-2</v>
      </c>
      <c r="AJ159" s="255">
        <v>1.6736173098467338E-2</v>
      </c>
      <c r="AK159" s="256">
        <v>2.273831277335998E-2</v>
      </c>
      <c r="AL159" s="257">
        <v>2.0049822334889555E-2</v>
      </c>
      <c r="AM159" s="255">
        <v>1.9500967515833967E-2</v>
      </c>
      <c r="AN159" s="256">
        <v>2.6494652997988703E-2</v>
      </c>
      <c r="AO159" s="257">
        <v>1.9998278223923353E-2</v>
      </c>
      <c r="AP159" s="255">
        <v>2.2258507190689399E-2</v>
      </c>
      <c r="AQ159" s="256">
        <v>3.0241136691895657E-2</v>
      </c>
      <c r="AR159" s="257">
        <v>1.9945803306341544E-2</v>
      </c>
      <c r="AS159" s="255">
        <v>2.5008664990097244E-2</v>
      </c>
      <c r="AT159" s="256">
        <v>3.3977591128110697E-2</v>
      </c>
      <c r="AU159" s="257">
        <v>1.9892408812310546E-2</v>
      </c>
      <c r="AV159" s="255">
        <v>2.7751315385879872E-2</v>
      </c>
      <c r="AW159" s="256">
        <v>3.7703845759941443E-2</v>
      </c>
      <c r="AX159" s="257">
        <v>1.9838106349352225E-2</v>
      </c>
      <c r="AY159" s="243">
        <v>0</v>
      </c>
      <c r="AZ159" s="244">
        <v>0</v>
      </c>
      <c r="BA159" s="244">
        <v>0</v>
      </c>
      <c r="BB159" s="244">
        <v>0</v>
      </c>
      <c r="BC159" s="244">
        <v>0</v>
      </c>
      <c r="BD159" s="244">
        <v>0</v>
      </c>
      <c r="BE159" s="244">
        <v>0</v>
      </c>
      <c r="BF159" s="244">
        <v>0</v>
      </c>
      <c r="BG159" s="244">
        <v>0</v>
      </c>
      <c r="BH159" s="245">
        <v>0</v>
      </c>
      <c r="BK159">
        <v>101</v>
      </c>
      <c r="BL159" s="281">
        <v>0.49748743718593003</v>
      </c>
      <c r="BM159" s="281">
        <v>8877.1658291457352</v>
      </c>
      <c r="BN159" s="282">
        <v>6968.3115577889621</v>
      </c>
      <c r="BO159" s="282">
        <v>152.34673366834261</v>
      </c>
      <c r="BP159" s="282">
        <v>0</v>
      </c>
      <c r="BQ159" s="283">
        <v>0</v>
      </c>
      <c r="BR159" s="284"/>
      <c r="BS159" s="147"/>
      <c r="BT159" s="285">
        <v>0.97041619294473369</v>
      </c>
      <c r="BU159" s="288">
        <v>3.345417964995015E-2</v>
      </c>
      <c r="BV159" s="287">
        <v>0.7977982655439666</v>
      </c>
      <c r="BW159" s="288">
        <v>0</v>
      </c>
      <c r="BX159" s="286">
        <v>99.872327167616746</v>
      </c>
      <c r="BY159" s="287">
        <v>0.12767283238324939</v>
      </c>
      <c r="BZ159" s="288">
        <v>0</v>
      </c>
      <c r="CA159" s="286">
        <v>0.77070149890471717</v>
      </c>
      <c r="CB159" s="286">
        <v>1.1152388252571326</v>
      </c>
      <c r="CC159" s="287">
        <v>1.2195743792966198</v>
      </c>
      <c r="CD159" s="286">
        <v>0</v>
      </c>
      <c r="CE159" s="286">
        <v>15.725146587653585</v>
      </c>
      <c r="CF159" s="286">
        <v>21.225576894154656</v>
      </c>
      <c r="CG159" s="287">
        <v>22.49707660240626</v>
      </c>
      <c r="CH159" s="288">
        <v>0</v>
      </c>
      <c r="CI159" s="286">
        <v>1.7707984834913151</v>
      </c>
      <c r="CJ159" s="286">
        <v>192.8582571043473</v>
      </c>
      <c r="CK159" s="287"/>
      <c r="CL159" s="288"/>
      <c r="CM159" s="286"/>
      <c r="CN159" s="287"/>
      <c r="CO159" s="289"/>
      <c r="CP159" s="290"/>
      <c r="CQ159" s="289"/>
      <c r="CR159" s="290"/>
      <c r="CS159" s="284"/>
      <c r="CT159" s="147"/>
      <c r="CU159" s="291"/>
      <c r="CV159" s="292"/>
    </row>
    <row r="160" spans="2:100">
      <c r="B160">
        <v>102</v>
      </c>
      <c r="C160" s="243">
        <v>0.97297447783111801</v>
      </c>
      <c r="D160" s="592">
        <v>2.6295237151524709E-2</v>
      </c>
      <c r="E160" s="245">
        <v>5.7286857527961699E-3</v>
      </c>
      <c r="F160" s="243">
        <v>1.8497799169538841E-3</v>
      </c>
      <c r="G160" s="245">
        <v>2.5130960271783527E-3</v>
      </c>
      <c r="H160" s="243">
        <v>3.1188794574078998E-2</v>
      </c>
      <c r="I160" s="245">
        <v>4.237284393576523E-2</v>
      </c>
      <c r="J160" s="242">
        <v>2.2270862658091362E-2</v>
      </c>
      <c r="K160" s="242">
        <v>20.659072529557228</v>
      </c>
      <c r="L160" s="242">
        <v>5.0251256281407036E-3</v>
      </c>
      <c r="M160" s="243">
        <v>108.01201358457078</v>
      </c>
      <c r="N160" s="592">
        <v>29.897751392183881</v>
      </c>
      <c r="O160" s="245">
        <v>0.52968059507513954</v>
      </c>
      <c r="P160" s="245">
        <v>1.3004182689665922</v>
      </c>
      <c r="Q160" s="254">
        <v>22.616407561102793</v>
      </c>
      <c r="R160" s="255">
        <v>0</v>
      </c>
      <c r="S160" s="256">
        <v>0</v>
      </c>
      <c r="T160" s="257">
        <v>0</v>
      </c>
      <c r="U160" s="255">
        <v>3.1588474940260178E-3</v>
      </c>
      <c r="V160" s="256">
        <v>4.2915846447137036E-3</v>
      </c>
      <c r="W160" s="257">
        <v>2.2847851529472347E-2</v>
      </c>
      <c r="X160" s="255">
        <v>6.3069069940247255E-3</v>
      </c>
      <c r="Y160" s="256">
        <v>8.5685128080358799E-3</v>
      </c>
      <c r="Z160" s="257">
        <v>2.2769822284216614E-2</v>
      </c>
      <c r="AA160" s="255">
        <v>9.4470038792851541E-3</v>
      </c>
      <c r="AB160" s="256">
        <v>1.2834623027406285E-2</v>
      </c>
      <c r="AC160" s="257">
        <v>2.2712228924717425E-2</v>
      </c>
      <c r="AD160" s="255">
        <v>1.257894597017011E-2</v>
      </c>
      <c r="AE160" s="256">
        <v>1.7089654209124897E-2</v>
      </c>
      <c r="AF160" s="257">
        <v>2.2653245535523555E-2</v>
      </c>
      <c r="AG160" s="255">
        <v>1.5702542116234178E-2</v>
      </c>
      <c r="AH160" s="256">
        <v>2.1333346657743328E-2</v>
      </c>
      <c r="AI160" s="257">
        <v>2.2592879560749079E-2</v>
      </c>
      <c r="AJ160" s="255">
        <v>1.881760324547958E-2</v>
      </c>
      <c r="AK160" s="256">
        <v>2.556544350157532E-2</v>
      </c>
      <c r="AL160" s="257">
        <v>2.2531146033744957E-2</v>
      </c>
      <c r="AM160" s="255">
        <v>2.1923942466927603E-2</v>
      </c>
      <c r="AN160" s="256">
        <v>2.9785690832049468E-2</v>
      </c>
      <c r="AO160" s="257">
        <v>2.2468060729758228E-2</v>
      </c>
      <c r="AP160" s="255">
        <v>2.5021375170663458E-2</v>
      </c>
      <c r="AQ160" s="256">
        <v>3.3993837839629365E-2</v>
      </c>
      <c r="AR160" s="257">
        <v>2.2403640147657611E-2</v>
      </c>
      <c r="AS160" s="255">
        <v>2.8109719125494176E-2</v>
      </c>
      <c r="AT160" s="256">
        <v>3.8189636946490815E-2</v>
      </c>
      <c r="AU160" s="257">
        <v>2.2337901492668427E-2</v>
      </c>
      <c r="AV160" s="255">
        <v>3.1188794574078998E-2</v>
      </c>
      <c r="AW160" s="256">
        <v>4.237284393576523E-2</v>
      </c>
      <c r="AX160" s="257">
        <v>2.2270862658091362E-2</v>
      </c>
      <c r="AY160" s="243">
        <v>0</v>
      </c>
      <c r="AZ160" s="244">
        <v>0</v>
      </c>
      <c r="BA160" s="244">
        <v>0</v>
      </c>
      <c r="BB160" s="244">
        <v>0</v>
      </c>
      <c r="BC160" s="244">
        <v>0</v>
      </c>
      <c r="BD160" s="244">
        <v>0</v>
      </c>
      <c r="BE160" s="244">
        <v>0</v>
      </c>
      <c r="BF160" s="244">
        <v>0</v>
      </c>
      <c r="BG160" s="244">
        <v>0</v>
      </c>
      <c r="BH160" s="245">
        <v>0</v>
      </c>
      <c r="BK160">
        <v>102</v>
      </c>
      <c r="BL160" s="281">
        <v>0.49246231155778936</v>
      </c>
      <c r="BM160" s="281">
        <v>8787.4974874371928</v>
      </c>
      <c r="BN160" s="282">
        <v>6935.9346733668517</v>
      </c>
      <c r="BO160" s="282">
        <v>152.04020100502603</v>
      </c>
      <c r="BP160" s="282">
        <v>0</v>
      </c>
      <c r="BQ160" s="283">
        <v>0</v>
      </c>
      <c r="BR160" s="284"/>
      <c r="BS160" s="147"/>
      <c r="BT160" s="285">
        <v>0.9672457920783224</v>
      </c>
      <c r="BU160" s="288">
        <v>3.3349436263149027E-2</v>
      </c>
      <c r="BV160" s="287">
        <v>0.79806229195234268</v>
      </c>
      <c r="BW160" s="288">
        <v>0</v>
      </c>
      <c r="BX160" s="286">
        <v>99.858691648456471</v>
      </c>
      <c r="BY160" s="287">
        <v>0.14130835154353136</v>
      </c>
      <c r="BZ160" s="288">
        <v>0</v>
      </c>
      <c r="CA160" s="286">
        <v>0.7705659537169004</v>
      </c>
      <c r="CB160" s="286">
        <v>1.1153479842706389</v>
      </c>
      <c r="CC160" s="287">
        <v>1.219537723536781</v>
      </c>
      <c r="CD160" s="286">
        <v>0</v>
      </c>
      <c r="CE160" s="286">
        <v>15.724097607273617</v>
      </c>
      <c r="CF160" s="286">
        <v>21.228740286339352</v>
      </c>
      <c r="CG160" s="287">
        <v>22.49829998920946</v>
      </c>
      <c r="CH160" s="288">
        <v>0</v>
      </c>
      <c r="CI160" s="286">
        <v>1.7650666743862069</v>
      </c>
      <c r="CJ160" s="286">
        <v>193.43547722155785</v>
      </c>
      <c r="CK160" s="287"/>
      <c r="CL160" s="288"/>
      <c r="CM160" s="286"/>
      <c r="CN160" s="287"/>
      <c r="CO160" s="289"/>
      <c r="CP160" s="290"/>
      <c r="CQ160" s="289"/>
      <c r="CR160" s="290"/>
      <c r="CS160" s="284"/>
      <c r="CT160" s="147"/>
      <c r="CU160" s="291"/>
      <c r="CV160" s="292"/>
    </row>
    <row r="161" spans="2:100">
      <c r="B161">
        <v>103</v>
      </c>
      <c r="C161" s="243">
        <v>0.96986387718074663</v>
      </c>
      <c r="D161" s="592">
        <v>2.9201364127326608E-2</v>
      </c>
      <c r="E161" s="245">
        <v>5.7783429509142836E-3</v>
      </c>
      <c r="F161" s="243">
        <v>2.05069880783395E-3</v>
      </c>
      <c r="G161" s="245">
        <v>2.7859790419794326E-3</v>
      </c>
      <c r="H161" s="243">
        <v>3.4576450562921912E-2</v>
      </c>
      <c r="I161" s="245">
        <v>4.6973873611447677E-2</v>
      </c>
      <c r="J161" s="242">
        <v>2.4663559746290038E-2</v>
      </c>
      <c r="K161" s="242">
        <v>20.839417021305632</v>
      </c>
      <c r="L161" s="242">
        <v>5.0251256281407036E-3</v>
      </c>
      <c r="M161" s="243">
        <v>107.12541291813579</v>
      </c>
      <c r="N161" s="592">
        <v>29.720332169247875</v>
      </c>
      <c r="O161" s="245">
        <v>0.52529112985264592</v>
      </c>
      <c r="P161" s="245">
        <v>1.3117703406262264</v>
      </c>
      <c r="Q161" s="254">
        <v>25.029055778991125</v>
      </c>
      <c r="R161" s="255">
        <v>0</v>
      </c>
      <c r="S161" s="256">
        <v>0</v>
      </c>
      <c r="T161" s="257">
        <v>0</v>
      </c>
      <c r="U161" s="255">
        <v>3.505220852060354E-3</v>
      </c>
      <c r="V161" s="256">
        <v>4.7620215089822044E-3</v>
      </c>
      <c r="W161" s="257">
        <v>2.5352397639738868E-2</v>
      </c>
      <c r="X161" s="255">
        <v>6.9975618662104768E-3</v>
      </c>
      <c r="Y161" s="256">
        <v>9.5065451005008992E-3</v>
      </c>
      <c r="Z161" s="257">
        <v>2.5259240949756376E-2</v>
      </c>
      <c r="AA161" s="255">
        <v>1.0480516233475561E-2</v>
      </c>
      <c r="AB161" s="256">
        <v>1.4238316452931008E-2</v>
      </c>
      <c r="AC161" s="257">
        <v>2.51913496486438E-2</v>
      </c>
      <c r="AD161" s="255">
        <v>1.395381936500595E-2</v>
      </c>
      <c r="AE161" s="256">
        <v>1.8956976108809993E-2</v>
      </c>
      <c r="AF161" s="257">
        <v>2.5121544641659135E-2</v>
      </c>
      <c r="AG161" s="255">
        <v>1.7417208248881148E-2</v>
      </c>
      <c r="AH161" s="256">
        <v>2.3662166753014111E-2</v>
      </c>
      <c r="AI161" s="257">
        <v>2.5049837334341962E-2</v>
      </c>
      <c r="AJ161" s="255">
        <v>2.0870422835909688E-2</v>
      </c>
      <c r="AK161" s="256">
        <v>2.8353535095438278E-2</v>
      </c>
      <c r="AL161" s="257">
        <v>2.4976249155380388E-2</v>
      </c>
      <c r="AM161" s="255">
        <v>2.4313206213831918E-2</v>
      </c>
      <c r="AN161" s="256">
        <v>3.3030732107659458E-2</v>
      </c>
      <c r="AO161" s="257">
        <v>2.4900802793428368E-2</v>
      </c>
      <c r="AP161" s="255">
        <v>2.7745304777242023E-2</v>
      </c>
      <c r="AQ161" s="256">
        <v>3.7693413253784412E-2</v>
      </c>
      <c r="AR161" s="257">
        <v>2.4823522166143749E-2</v>
      </c>
      <c r="AS161" s="255">
        <v>3.1166468393297713E-2</v>
      </c>
      <c r="AT161" s="256">
        <v>4.2341238715574749E-2</v>
      </c>
      <c r="AU161" s="257">
        <v>2.4744432389721897E-2</v>
      </c>
      <c r="AV161" s="255">
        <v>3.4576450562921912E-2</v>
      </c>
      <c r="AW161" s="256">
        <v>4.6973873611447677E-2</v>
      </c>
      <c r="AX161" s="257">
        <v>2.4663559746290038E-2</v>
      </c>
      <c r="AY161" s="243">
        <v>0</v>
      </c>
      <c r="AZ161" s="244">
        <v>0</v>
      </c>
      <c r="BA161" s="244">
        <v>0</v>
      </c>
      <c r="BB161" s="244">
        <v>0</v>
      </c>
      <c r="BC161" s="244">
        <v>0</v>
      </c>
      <c r="BD161" s="244">
        <v>0</v>
      </c>
      <c r="BE161" s="244">
        <v>0</v>
      </c>
      <c r="BF161" s="244">
        <v>0</v>
      </c>
      <c r="BG161" s="244">
        <v>0</v>
      </c>
      <c r="BH161" s="245">
        <v>0</v>
      </c>
      <c r="BK161">
        <v>103</v>
      </c>
      <c r="BL161" s="281">
        <v>0.48743718592964863</v>
      </c>
      <c r="BM161" s="281">
        <v>8697.8291457286505</v>
      </c>
      <c r="BN161" s="282">
        <v>6903.5577889447413</v>
      </c>
      <c r="BO161" s="282">
        <v>151.73366834170946</v>
      </c>
      <c r="BP161" s="282">
        <v>0</v>
      </c>
      <c r="BQ161" s="283">
        <v>0</v>
      </c>
      <c r="BR161" s="284"/>
      <c r="BS161" s="147"/>
      <c r="BT161" s="285">
        <v>0.9640855342298329</v>
      </c>
      <c r="BU161" s="288">
        <v>3.3244996493910127E-2</v>
      </c>
      <c r="BV161" s="287">
        <v>0.79832587575079295</v>
      </c>
      <c r="BW161" s="288">
        <v>0</v>
      </c>
      <c r="BX161" s="286">
        <v>99.845108807214501</v>
      </c>
      <c r="BY161" s="287">
        <v>0.15489119278549807</v>
      </c>
      <c r="BZ161" s="288">
        <v>0</v>
      </c>
      <c r="CA161" s="286">
        <v>0.77043024915382308</v>
      </c>
      <c r="CB161" s="286">
        <v>1.1154568995898895</v>
      </c>
      <c r="CC161" s="287">
        <v>1.2195010574432166</v>
      </c>
      <c r="CD161" s="286">
        <v>0</v>
      </c>
      <c r="CE161" s="286">
        <v>15.723045617708209</v>
      </c>
      <c r="CF161" s="286">
        <v>21.231899709448154</v>
      </c>
      <c r="CG161" s="287">
        <v>22.499523452655673</v>
      </c>
      <c r="CH161" s="288">
        <v>0</v>
      </c>
      <c r="CI161" s="286">
        <v>1.7593553038154828</v>
      </c>
      <c r="CJ161" s="286">
        <v>194.01607726098524</v>
      </c>
      <c r="CK161" s="287"/>
      <c r="CL161" s="288"/>
      <c r="CM161" s="286"/>
      <c r="CN161" s="287"/>
      <c r="CO161" s="289"/>
      <c r="CP161" s="290"/>
      <c r="CQ161" s="289"/>
      <c r="CR161" s="290"/>
      <c r="CS161" s="284"/>
      <c r="CT161" s="147"/>
      <c r="CU161" s="291"/>
      <c r="CV161" s="292"/>
    </row>
    <row r="162" spans="2:100">
      <c r="B162">
        <v>104</v>
      </c>
      <c r="C162" s="243">
        <v>0.96675593805980287</v>
      </c>
      <c r="D162" s="592">
        <v>3.2072569164742354E-2</v>
      </c>
      <c r="E162" s="245">
        <v>5.8205499059944543E-3</v>
      </c>
      <c r="F162" s="243">
        <v>2.2482383033438037E-3</v>
      </c>
      <c r="G162" s="245">
        <v>3.0542546738983973E-3</v>
      </c>
      <c r="H162" s="243">
        <v>3.7907127195993838E-2</v>
      </c>
      <c r="I162" s="245">
        <v>5.1497219062689496E-2</v>
      </c>
      <c r="J162" s="242">
        <v>2.7011390281089696E-2</v>
      </c>
      <c r="K162" s="242">
        <v>21.019088197161704</v>
      </c>
      <c r="L162" s="242">
        <v>5.0251256281407036E-3</v>
      </c>
      <c r="M162" s="243">
        <v>106.25756658653896</v>
      </c>
      <c r="N162" s="592">
        <v>29.547086894156426</v>
      </c>
      <c r="O162" s="245">
        <v>0.52093302116480633</v>
      </c>
      <c r="P162" s="245">
        <v>1.3230800293431648</v>
      </c>
      <c r="Q162" s="254">
        <v>27.392727240111135</v>
      </c>
      <c r="R162" s="255">
        <v>0</v>
      </c>
      <c r="S162" s="256">
        <v>0</v>
      </c>
      <c r="T162" s="257">
        <v>0</v>
      </c>
      <c r="U162" s="255">
        <v>3.8462781375956426E-3</v>
      </c>
      <c r="V162" s="256">
        <v>5.2252080935515791E-3</v>
      </c>
      <c r="W162" s="257">
        <v>2.7818344181820984E-2</v>
      </c>
      <c r="X162" s="255">
        <v>7.6774728713755007E-3</v>
      </c>
      <c r="Y162" s="256">
        <v>1.0429925229123241E-2</v>
      </c>
      <c r="Z162" s="257">
        <v>2.7709252924306475E-2</v>
      </c>
      <c r="AA162" s="255">
        <v>1.1497812259912305E-2</v>
      </c>
      <c r="AB162" s="256">
        <v>1.5619895267424978E-2</v>
      </c>
      <c r="AC162" s="257">
        <v>2.7630741251624222E-2</v>
      </c>
      <c r="AD162" s="255">
        <v>1.5306944664265987E-2</v>
      </c>
      <c r="AE162" s="256">
        <v>2.0794640503368933E-2</v>
      </c>
      <c r="AF162" s="257">
        <v>2.7549686337732544E-2</v>
      </c>
      <c r="AG162" s="255">
        <v>1.9104520713194798E-2</v>
      </c>
      <c r="AH162" s="256">
        <v>2.5953686312558549E-2</v>
      </c>
      <c r="AI162" s="257">
        <v>2.7466104583840575E-2</v>
      </c>
      <c r="AJ162" s="255">
        <v>2.2890195094592572E-2</v>
      </c>
      <c r="AK162" s="256">
        <v>3.1096563584974379E-2</v>
      </c>
      <c r="AL162" s="257">
        <v>2.7380025347791638E-2</v>
      </c>
      <c r="AM162" s="255">
        <v>2.6663626834375401E-2</v>
      </c>
      <c r="AN162" s="256">
        <v>3.6222809103844469E-2</v>
      </c>
      <c r="AO162" s="257">
        <v>2.7291480004486831E-2</v>
      </c>
      <c r="AP162" s="255">
        <v>3.0424479568483015E-2</v>
      </c>
      <c r="AQ162" s="256">
        <v>4.1331965915161015E-2</v>
      </c>
      <c r="AR162" s="257">
        <v>2.7200501896086964E-2</v>
      </c>
      <c r="AS162" s="255">
        <v>3.4172421807881201E-2</v>
      </c>
      <c r="AT162" s="256">
        <v>4.6423583687688855E-2</v>
      </c>
      <c r="AU162" s="257">
        <v>2.7107126281392339E-2</v>
      </c>
      <c r="AV162" s="255">
        <v>3.7907127195993838E-2</v>
      </c>
      <c r="AW162" s="256">
        <v>5.1497219062689496E-2</v>
      </c>
      <c r="AX162" s="257">
        <v>2.7011390281089696E-2</v>
      </c>
      <c r="AY162" s="243">
        <v>0</v>
      </c>
      <c r="AZ162" s="244">
        <v>0</v>
      </c>
      <c r="BA162" s="244">
        <v>0</v>
      </c>
      <c r="BB162" s="244">
        <v>0</v>
      </c>
      <c r="BC162" s="244">
        <v>0</v>
      </c>
      <c r="BD162" s="244">
        <v>0</v>
      </c>
      <c r="BE162" s="244">
        <v>0</v>
      </c>
      <c r="BF162" s="244">
        <v>0</v>
      </c>
      <c r="BG162" s="244">
        <v>0</v>
      </c>
      <c r="BH162" s="245">
        <v>0</v>
      </c>
      <c r="BK162">
        <v>104</v>
      </c>
      <c r="BL162" s="281">
        <v>0.48241206030150796</v>
      </c>
      <c r="BM162" s="281">
        <v>8608.1608040201081</v>
      </c>
      <c r="BN162" s="282">
        <v>6871.180904522631</v>
      </c>
      <c r="BO162" s="282">
        <v>151.42713567839289</v>
      </c>
      <c r="BP162" s="282">
        <v>0</v>
      </c>
      <c r="BQ162" s="283">
        <v>0</v>
      </c>
      <c r="BR162" s="284"/>
      <c r="BS162" s="147"/>
      <c r="BT162" s="285">
        <v>0.96093538815380897</v>
      </c>
      <c r="BU162" s="288">
        <v>3.314085962347936E-2</v>
      </c>
      <c r="BV162" s="287">
        <v>0.79858901617230671</v>
      </c>
      <c r="BW162" s="288">
        <v>0</v>
      </c>
      <c r="BX162" s="286">
        <v>99.831578434273325</v>
      </c>
      <c r="BY162" s="287">
        <v>0.16842156572667849</v>
      </c>
      <c r="BZ162" s="288">
        <v>0</v>
      </c>
      <c r="CA162" s="286">
        <v>0.7702943836817987</v>
      </c>
      <c r="CB162" s="286">
        <v>1.1155655704569678</v>
      </c>
      <c r="CC162" s="287">
        <v>1.2194643809884713</v>
      </c>
      <c r="CD162" s="286">
        <v>0</v>
      </c>
      <c r="CE162" s="286">
        <v>15.721990591648908</v>
      </c>
      <c r="CF162" s="286">
        <v>21.235055146964879</v>
      </c>
      <c r="CG162" s="287">
        <v>22.50074699254732</v>
      </c>
      <c r="CH162" s="288">
        <v>0</v>
      </c>
      <c r="CI162" s="286">
        <v>1.7536642362856201</v>
      </c>
      <c r="CJ162" s="286">
        <v>194.60007378631306</v>
      </c>
      <c r="CK162" s="287"/>
      <c r="CL162" s="288"/>
      <c r="CM162" s="286"/>
      <c r="CN162" s="287"/>
      <c r="CO162" s="289"/>
      <c r="CP162" s="290"/>
      <c r="CQ162" s="289"/>
      <c r="CR162" s="290"/>
      <c r="CS162" s="284"/>
      <c r="CT162" s="147"/>
      <c r="CU162" s="291"/>
      <c r="CV162" s="292"/>
    </row>
    <row r="163" spans="2:100">
      <c r="B163">
        <v>105</v>
      </c>
      <c r="C163" s="243">
        <v>0.96365308529205684</v>
      </c>
      <c r="D163" s="592">
        <v>3.4904893723845649E-2</v>
      </c>
      <c r="E163" s="245">
        <v>5.8577626343804257E-3</v>
      </c>
      <c r="F163" s="243">
        <v>2.4420947086737166E-3</v>
      </c>
      <c r="G163" s="245">
        <v>3.3175107701641539E-3</v>
      </c>
      <c r="H163" s="243">
        <v>4.1175703931684918E-2</v>
      </c>
      <c r="I163" s="245">
        <v>5.5935931058399495E-2</v>
      </c>
      <c r="J163" s="242">
        <v>2.9311020594162403E-2</v>
      </c>
      <c r="K163" s="242">
        <v>21.197726595546847</v>
      </c>
      <c r="L163" s="242">
        <v>5.0251256281407036E-3</v>
      </c>
      <c r="M163" s="243">
        <v>105.40970453199827</v>
      </c>
      <c r="N163" s="592">
        <v>29.378392343790544</v>
      </c>
      <c r="O163" s="245">
        <v>0.51661458128153626</v>
      </c>
      <c r="P163" s="245">
        <v>1.3343247082350469</v>
      </c>
      <c r="Q163" s="254">
        <v>29.704229336558395</v>
      </c>
      <c r="R163" s="255">
        <v>0</v>
      </c>
      <c r="S163" s="256">
        <v>0</v>
      </c>
      <c r="T163" s="257">
        <v>0</v>
      </c>
      <c r="U163" s="255">
        <v>4.1814482521923277E-3</v>
      </c>
      <c r="V163" s="256">
        <v>5.6803692183854332E-3</v>
      </c>
      <c r="W163" s="257">
        <v>3.024156419566864E-2</v>
      </c>
      <c r="X163" s="255">
        <v>8.3455144891036708E-3</v>
      </c>
      <c r="Y163" s="256">
        <v>1.1337125502064851E-2</v>
      </c>
      <c r="Z163" s="257">
        <v>3.0115851930619244E-2</v>
      </c>
      <c r="AA163" s="255">
        <v>1.249722556149538E-2</v>
      </c>
      <c r="AB163" s="256">
        <v>1.6977097673639422E-2</v>
      </c>
      <c r="AC163" s="257">
        <v>3.0026495449698386E-2</v>
      </c>
      <c r="AD163" s="255">
        <v>1.6636127554017936E-2</v>
      </c>
      <c r="AE163" s="256">
        <v>2.2599669103027013E-2</v>
      </c>
      <c r="AF163" s="257">
        <v>2.9933856108544907E-2</v>
      </c>
      <c r="AG163" s="255">
        <v>2.0761769659570013E-2</v>
      </c>
      <c r="AH163" s="256">
        <v>2.8204227382605349E-2</v>
      </c>
      <c r="AI163" s="257">
        <v>2.9837956386998696E-2</v>
      </c>
      <c r="AJ163" s="255">
        <v>2.4873706453664296E-2</v>
      </c>
      <c r="AK163" s="256">
        <v>3.3790167416868223E-2</v>
      </c>
      <c r="AL163" s="257">
        <v>2.9738835213836974E-2</v>
      </c>
      <c r="AM163" s="255">
        <v>2.8971498319703665E-2</v>
      </c>
      <c r="AN163" s="256">
        <v>3.9356892000150141E-2</v>
      </c>
      <c r="AO163" s="257">
        <v>2.9636534593569418E-2</v>
      </c>
      <c r="AP163" s="255">
        <v>3.3054711863662559E-2</v>
      </c>
      <c r="AQ163" s="256">
        <v>4.490381237995824E-2</v>
      </c>
      <c r="AR163" s="257">
        <v>2.9531099529813538E-2</v>
      </c>
      <c r="AS163" s="255">
        <v>3.7122920317701494E-2</v>
      </c>
      <c r="AT163" s="256">
        <v>5.0430348805270267E-2</v>
      </c>
      <c r="AU163" s="257">
        <v>2.9422577945255365E-2</v>
      </c>
      <c r="AV163" s="255">
        <v>4.1175703931684918E-2</v>
      </c>
      <c r="AW163" s="256">
        <v>5.5935931058399495E-2</v>
      </c>
      <c r="AX163" s="257">
        <v>2.9311020594162403E-2</v>
      </c>
      <c r="AY163" s="243">
        <v>0</v>
      </c>
      <c r="AZ163" s="244">
        <v>0</v>
      </c>
      <c r="BA163" s="244">
        <v>0</v>
      </c>
      <c r="BB163" s="244">
        <v>0</v>
      </c>
      <c r="BC163" s="244">
        <v>0</v>
      </c>
      <c r="BD163" s="244">
        <v>0</v>
      </c>
      <c r="BE163" s="244">
        <v>0</v>
      </c>
      <c r="BF163" s="244">
        <v>0</v>
      </c>
      <c r="BG163" s="244">
        <v>0</v>
      </c>
      <c r="BH163" s="245">
        <v>0</v>
      </c>
      <c r="BK163">
        <v>105</v>
      </c>
      <c r="BL163" s="281">
        <v>0.47738693467336729</v>
      </c>
      <c r="BM163" s="281">
        <v>8518.4924623115658</v>
      </c>
      <c r="BN163" s="282">
        <v>6838.8040201005206</v>
      </c>
      <c r="BO163" s="282">
        <v>151.12060301507631</v>
      </c>
      <c r="BP163" s="282">
        <v>0</v>
      </c>
      <c r="BQ163" s="283">
        <v>0</v>
      </c>
      <c r="BR163" s="284"/>
      <c r="BS163" s="147"/>
      <c r="BT163" s="285">
        <v>0.95779532265767697</v>
      </c>
      <c r="BU163" s="288">
        <v>3.3037024932498646E-2</v>
      </c>
      <c r="BV163" s="287">
        <v>0.79885171243470909</v>
      </c>
      <c r="BW163" s="288">
        <v>0</v>
      </c>
      <c r="BX163" s="286">
        <v>99.818100320638976</v>
      </c>
      <c r="BY163" s="287">
        <v>0.18189967936103718</v>
      </c>
      <c r="BZ163" s="288">
        <v>0</v>
      </c>
      <c r="CA163" s="286">
        <v>0.77015835575777092</v>
      </c>
      <c r="CB163" s="286">
        <v>1.1156739961033997</v>
      </c>
      <c r="CC163" s="287">
        <v>1.2194276941449915</v>
      </c>
      <c r="CD163" s="286">
        <v>0</v>
      </c>
      <c r="CE163" s="286">
        <v>15.720932501612976</v>
      </c>
      <c r="CF163" s="286">
        <v>21.238206582164345</v>
      </c>
      <c r="CG163" s="287">
        <v>22.501970608685664</v>
      </c>
      <c r="CH163" s="288">
        <v>0</v>
      </c>
      <c r="CI163" s="286">
        <v>1.7479933373292451</v>
      </c>
      <c r="CJ163" s="286">
        <v>195.18748345055732</v>
      </c>
      <c r="CK163" s="287"/>
      <c r="CL163" s="288"/>
      <c r="CM163" s="286"/>
      <c r="CN163" s="287"/>
      <c r="CO163" s="289"/>
      <c r="CP163" s="290"/>
      <c r="CQ163" s="289"/>
      <c r="CR163" s="290"/>
      <c r="CS163" s="284"/>
      <c r="CT163" s="147"/>
      <c r="CU163" s="291"/>
      <c r="CV163" s="292"/>
    </row>
    <row r="164" spans="2:100">
      <c r="B164">
        <v>106</v>
      </c>
      <c r="C164" s="243">
        <v>0.96055683208596521</v>
      </c>
      <c r="D164" s="592">
        <v>3.7695441658994112E-2</v>
      </c>
      <c r="E164" s="245">
        <v>5.8915254873614931E-3</v>
      </c>
      <c r="F164" s="243">
        <v>2.6320453059865225E-3</v>
      </c>
      <c r="G164" s="245">
        <v>3.575445229301488E-3</v>
      </c>
      <c r="H164" s="243">
        <v>4.4378425566034031E-2</v>
      </c>
      <c r="I164" s="245">
        <v>6.028491592188423E-2</v>
      </c>
      <c r="J164" s="242">
        <v>3.1560114144567698E-2</v>
      </c>
      <c r="K164" s="242">
        <v>21.375032809102279</v>
      </c>
      <c r="L164" s="242">
        <v>5.0251256281407036E-3</v>
      </c>
      <c r="M164" s="243">
        <v>104.58266977302205</v>
      </c>
      <c r="N164" s="592">
        <v>29.214520425495135</v>
      </c>
      <c r="O164" s="245">
        <v>0.51234258485388651</v>
      </c>
      <c r="P164" s="245">
        <v>1.3454855306281575</v>
      </c>
      <c r="Q164" s="254">
        <v>31.961372088856042</v>
      </c>
      <c r="R164" s="255">
        <v>0</v>
      </c>
      <c r="S164" s="256">
        <v>0</v>
      </c>
      <c r="T164" s="257">
        <v>0</v>
      </c>
      <c r="U164" s="255">
        <v>4.5102971106904619E-3</v>
      </c>
      <c r="V164" s="256">
        <v>6.1269159199013696E-3</v>
      </c>
      <c r="W164" s="257">
        <v>3.261892211397957E-2</v>
      </c>
      <c r="X164" s="255">
        <v>9.0008349447814866E-3</v>
      </c>
      <c r="Y164" s="256">
        <v>1.2226990276288912E-2</v>
      </c>
      <c r="Z164" s="257">
        <v>3.2476021039259242E-2</v>
      </c>
      <c r="AA164" s="255">
        <v>1.3477499748040779E-2</v>
      </c>
      <c r="AB164" s="256">
        <v>1.8308219112886027E-2</v>
      </c>
      <c r="AC164" s="257">
        <v>3.2375689885661307E-2</v>
      </c>
      <c r="AD164" s="255">
        <v>1.7939719697338669E-2</v>
      </c>
      <c r="AE164" s="256">
        <v>2.4369825648884149E-2</v>
      </c>
      <c r="AF164" s="257">
        <v>3.2271223249705557E-2</v>
      </c>
      <c r="AG164" s="255">
        <v>2.2386927070835668E-2</v>
      </c>
      <c r="AH164" s="256">
        <v>3.0411038674783963E-2</v>
      </c>
      <c r="AI164" s="257">
        <v>3.2162650792334872E-2</v>
      </c>
      <c r="AJ164" s="255">
        <v>2.6818561091114017E-2</v>
      </c>
      <c r="AK164" s="256">
        <v>3.643109641458623E-2</v>
      </c>
      <c r="AL164" s="257">
        <v>3.2050022736305354E-2</v>
      </c>
      <c r="AM164" s="255">
        <v>3.1234068547828186E-2</v>
      </c>
      <c r="AN164" s="256">
        <v>4.242924737161792E-2</v>
      </c>
      <c r="AO164" s="257">
        <v>3.1933393807444033E-2</v>
      </c>
      <c r="AP164" s="255">
        <v>3.5632904404661152E-2</v>
      </c>
      <c r="AQ164" s="256">
        <v>4.8404751153038876E-2</v>
      </c>
      <c r="AR164" s="257">
        <v>3.1812823121146784E-2</v>
      </c>
      <c r="AS164" s="255">
        <v>4.0014532389493429E-2</v>
      </c>
      <c r="AT164" s="256">
        <v>5.4356879271544249E-2</v>
      </c>
      <c r="AU164" s="257">
        <v>3.1688374060971247E-2</v>
      </c>
      <c r="AV164" s="255">
        <v>4.4378425566034031E-2</v>
      </c>
      <c r="AW164" s="256">
        <v>6.028491592188423E-2</v>
      </c>
      <c r="AX164" s="257">
        <v>3.1560114144567698E-2</v>
      </c>
      <c r="AY164" s="243">
        <v>0</v>
      </c>
      <c r="AZ164" s="244">
        <v>0</v>
      </c>
      <c r="BA164" s="244">
        <v>0</v>
      </c>
      <c r="BB164" s="244">
        <v>0</v>
      </c>
      <c r="BC164" s="244">
        <v>0</v>
      </c>
      <c r="BD164" s="244">
        <v>0</v>
      </c>
      <c r="BE164" s="244">
        <v>0</v>
      </c>
      <c r="BF164" s="244">
        <v>0</v>
      </c>
      <c r="BG164" s="244">
        <v>0</v>
      </c>
      <c r="BH164" s="245">
        <v>0</v>
      </c>
      <c r="BK164">
        <v>106</v>
      </c>
      <c r="BL164" s="281">
        <v>0.47236180904522662</v>
      </c>
      <c r="BM164" s="281">
        <v>8428.8241206030234</v>
      </c>
      <c r="BN164" s="282">
        <v>6806.4271356784102</v>
      </c>
      <c r="BO164" s="282">
        <v>150.81407035175974</v>
      </c>
      <c r="BP164" s="282">
        <v>0</v>
      </c>
      <c r="BQ164" s="283">
        <v>0</v>
      </c>
      <c r="BR164" s="284"/>
      <c r="BS164" s="147"/>
      <c r="BT164" s="285">
        <v>0.95466530659860438</v>
      </c>
      <c r="BU164" s="288">
        <v>3.2933491700915869E-2</v>
      </c>
      <c r="BV164" s="287">
        <v>0.79911396374015875</v>
      </c>
      <c r="BW164" s="288">
        <v>0</v>
      </c>
      <c r="BX164" s="286">
        <v>99.804674257924404</v>
      </c>
      <c r="BY164" s="287">
        <v>0.19532574207560482</v>
      </c>
      <c r="BZ164" s="288">
        <v>0</v>
      </c>
      <c r="CA164" s="286">
        <v>0.77002216382919741</v>
      </c>
      <c r="CB164" s="286">
        <v>1.1157821757498227</v>
      </c>
      <c r="CC164" s="287">
        <v>1.2193909968851391</v>
      </c>
      <c r="CD164" s="286">
        <v>0</v>
      </c>
      <c r="CE164" s="286">
        <v>15.7198713199413</v>
      </c>
      <c r="CF164" s="286">
        <v>21.241353998106771</v>
      </c>
      <c r="CG164" s="287">
        <v>22.50319430087087</v>
      </c>
      <c r="CH164" s="288">
        <v>0</v>
      </c>
      <c r="CI164" s="286">
        <v>1.7423424734929072</v>
      </c>
      <c r="CJ164" s="286">
        <v>195.77832299572594</v>
      </c>
      <c r="CK164" s="287"/>
      <c r="CL164" s="288"/>
      <c r="CM164" s="286"/>
      <c r="CN164" s="287"/>
      <c r="CO164" s="289"/>
      <c r="CP164" s="290"/>
      <c r="CQ164" s="289"/>
      <c r="CR164" s="290"/>
      <c r="CS164" s="284"/>
      <c r="CT164" s="147"/>
      <c r="CU164" s="291"/>
      <c r="CV164" s="292"/>
    </row>
    <row r="165" spans="2:100">
      <c r="B165">
        <v>107</v>
      </c>
      <c r="C165" s="243">
        <v>0.95746811578986557</v>
      </c>
      <c r="D165" s="592">
        <v>4.0442035583085095E-2</v>
      </c>
      <c r="E165" s="245">
        <v>5.9228069065353495E-3</v>
      </c>
      <c r="F165" s="243">
        <v>2.8179232046353928E-3</v>
      </c>
      <c r="G165" s="245">
        <v>3.8278318214590452E-3</v>
      </c>
      <c r="H165" s="243">
        <v>4.7512478186935971E-2</v>
      </c>
      <c r="I165" s="245">
        <v>6.454035923376561E-2</v>
      </c>
      <c r="J165" s="242">
        <v>3.3757028793580383E-2</v>
      </c>
      <c r="K165" s="242">
        <v>21.550748538384479</v>
      </c>
      <c r="L165" s="242">
        <v>5.0251256281407036E-3</v>
      </c>
      <c r="M165" s="243">
        <v>103.77704074867536</v>
      </c>
      <c r="N165" s="592">
        <v>29.055671207448768</v>
      </c>
      <c r="O165" s="245">
        <v>0.50812270457660214</v>
      </c>
      <c r="P165" s="245">
        <v>1.3565462374520691</v>
      </c>
      <c r="Q165" s="254">
        <v>34.16265233049284</v>
      </c>
      <c r="R165" s="255">
        <v>0</v>
      </c>
      <c r="S165" s="256">
        <v>0</v>
      </c>
      <c r="T165" s="257">
        <v>0</v>
      </c>
      <c r="U165" s="255">
        <v>4.8324845874445988E-3</v>
      </c>
      <c r="V165" s="256">
        <v>6.5643869393254969E-3</v>
      </c>
      <c r="W165" s="257">
        <v>3.4947962253630865E-2</v>
      </c>
      <c r="X165" s="255">
        <v>9.642770202831984E-3</v>
      </c>
      <c r="Y165" s="256">
        <v>1.3098619071201131E-2</v>
      </c>
      <c r="Z165" s="257">
        <v>3.4787421889044802E-2</v>
      </c>
      <c r="AA165" s="255">
        <v>1.443765966041321E-2</v>
      </c>
      <c r="AB165" s="256">
        <v>1.9611937253867048E-2</v>
      </c>
      <c r="AC165" s="257">
        <v>3.4676078679951372E-2</v>
      </c>
      <c r="AD165" s="255">
        <v>1.9216447361964296E-2</v>
      </c>
      <c r="AE165" s="256">
        <v>2.6103383011474631E-2</v>
      </c>
      <c r="AF165" s="257">
        <v>3.4559632667185911E-2</v>
      </c>
      <c r="AG165" s="255">
        <v>2.3978432954219926E-2</v>
      </c>
      <c r="AH165" s="256">
        <v>3.2572004992861843E-2</v>
      </c>
      <c r="AI165" s="257">
        <v>3.4438121781674831E-2</v>
      </c>
      <c r="AJ165" s="255">
        <v>2.8722924835369867E-2</v>
      </c>
      <c r="AK165" s="256">
        <v>3.9016863734734356E-2</v>
      </c>
      <c r="AL165" s="257">
        <v>3.4311609312915804E-2</v>
      </c>
      <c r="AM165" s="255">
        <v>3.3449241035783055E-2</v>
      </c>
      <c r="AN165" s="256">
        <v>4.5437032858030184E-2</v>
      </c>
      <c r="AO165" s="257">
        <v>3.4180164919699836E-2</v>
      </c>
      <c r="AP165" s="255">
        <v>3.8156710076237436E-2</v>
      </c>
      <c r="AQ165" s="256">
        <v>5.1831600233728431E-2</v>
      </c>
      <c r="AR165" s="257">
        <v>3.4043864467435646E-2</v>
      </c>
      <c r="AS165" s="255">
        <v>4.2844671801573614E-2</v>
      </c>
      <c r="AT165" s="256">
        <v>5.8199669115274036E-2</v>
      </c>
      <c r="AU165" s="257">
        <v>3.3902789850417392E-2</v>
      </c>
      <c r="AV165" s="255">
        <v>4.7512478186935971E-2</v>
      </c>
      <c r="AW165" s="256">
        <v>6.454035923376561E-2</v>
      </c>
      <c r="AX165" s="257">
        <v>3.3757028793580383E-2</v>
      </c>
      <c r="AY165" s="243">
        <v>0</v>
      </c>
      <c r="AZ165" s="244">
        <v>0</v>
      </c>
      <c r="BA165" s="244">
        <v>0</v>
      </c>
      <c r="BB165" s="244">
        <v>0</v>
      </c>
      <c r="BC165" s="244">
        <v>0</v>
      </c>
      <c r="BD165" s="244">
        <v>0</v>
      </c>
      <c r="BE165" s="244">
        <v>0</v>
      </c>
      <c r="BF165" s="244">
        <v>0</v>
      </c>
      <c r="BG165" s="244">
        <v>0</v>
      </c>
      <c r="BH165" s="245">
        <v>0</v>
      </c>
      <c r="BK165">
        <v>107</v>
      </c>
      <c r="BL165" s="281">
        <v>0.4673366834170859</v>
      </c>
      <c r="BM165" s="281">
        <v>8339.155778894481</v>
      </c>
      <c r="BN165" s="282">
        <v>6774.0502512562998</v>
      </c>
      <c r="BO165" s="282">
        <v>150.50753768844316</v>
      </c>
      <c r="BP165" s="282">
        <v>0</v>
      </c>
      <c r="BQ165" s="283">
        <v>0</v>
      </c>
      <c r="BR165" s="284"/>
      <c r="BS165" s="147"/>
      <c r="BT165" s="285">
        <v>0.95154530888333089</v>
      </c>
      <c r="BU165" s="288">
        <v>3.2830259207992957E-2</v>
      </c>
      <c r="BV165" s="287">
        <v>0.79937576927566689</v>
      </c>
      <c r="BW165" s="288">
        <v>0</v>
      </c>
      <c r="BX165" s="286">
        <v>99.791300038345966</v>
      </c>
      <c r="BY165" s="287">
        <v>0.20869996165403054</v>
      </c>
      <c r="BZ165" s="288">
        <v>0</v>
      </c>
      <c r="CA165" s="286">
        <v>0.76988580633394976</v>
      </c>
      <c r="CB165" s="286">
        <v>1.1158901086062794</v>
      </c>
      <c r="CC165" s="287">
        <v>1.2193542891811893</v>
      </c>
      <c r="CD165" s="286">
        <v>0</v>
      </c>
      <c r="CE165" s="286">
        <v>15.718807018796594</v>
      </c>
      <c r="CF165" s="286">
        <v>21.244497377641569</v>
      </c>
      <c r="CG165" s="287">
        <v>22.504418068902059</v>
      </c>
      <c r="CH165" s="288">
        <v>0</v>
      </c>
      <c r="CI165" s="286">
        <v>1.7367115123319836</v>
      </c>
      <c r="CJ165" s="286">
        <v>196.37260925324216</v>
      </c>
      <c r="CK165" s="287"/>
      <c r="CL165" s="288"/>
      <c r="CM165" s="286"/>
      <c r="CN165" s="287"/>
      <c r="CO165" s="289"/>
      <c r="CP165" s="290"/>
      <c r="CQ165" s="289"/>
      <c r="CR165" s="290"/>
      <c r="CS165" s="284"/>
      <c r="CT165" s="147"/>
      <c r="CU165" s="291"/>
      <c r="CV165" s="292"/>
    </row>
    <row r="166" spans="2:100">
      <c r="B166">
        <v>108</v>
      </c>
      <c r="C166" s="243">
        <v>0.95438750925503435</v>
      </c>
      <c r="D166" s="592">
        <v>4.3142998083177599E-2</v>
      </c>
      <c r="E166" s="245">
        <v>5.9522107896849974E-3</v>
      </c>
      <c r="F166" s="243">
        <v>2.9996013416664739E-3</v>
      </c>
      <c r="G166" s="245">
        <v>4.0744984441545961E-3</v>
      </c>
      <c r="H166" s="243">
        <v>5.057571940959707E-2</v>
      </c>
      <c r="I166" s="245">
        <v>6.8699359206152694E-2</v>
      </c>
      <c r="J166" s="242">
        <v>3.5900622394056857E-2</v>
      </c>
      <c r="K166" s="242">
        <v>21.724644695623343</v>
      </c>
      <c r="L166" s="242">
        <v>5.0251256281407036E-3</v>
      </c>
      <c r="M166" s="243">
        <v>102.99320921706136</v>
      </c>
      <c r="N166" s="592">
        <v>28.901993940989492</v>
      </c>
      <c r="O166" s="245">
        <v>0.50395978805802288</v>
      </c>
      <c r="P166" s="245">
        <v>1.367492408411727</v>
      </c>
      <c r="Q166" s="254">
        <v>36.30705248591736</v>
      </c>
      <c r="R166" s="255">
        <v>0</v>
      </c>
      <c r="S166" s="256">
        <v>0</v>
      </c>
      <c r="T166" s="257">
        <v>0</v>
      </c>
      <c r="U166" s="255">
        <v>5.1477373559829839E-3</v>
      </c>
      <c r="V166" s="256">
        <v>6.9924118103696052E-3</v>
      </c>
      <c r="W166" s="257">
        <v>3.72267122991609E-2</v>
      </c>
      <c r="X166" s="255">
        <v>1.0270789654863265E-2</v>
      </c>
      <c r="Y166" s="256">
        <v>1.3951292756033384E-2</v>
      </c>
      <c r="Z166" s="257">
        <v>3.7048198234572373E-2</v>
      </c>
      <c r="AA166" s="255">
        <v>1.5376929979929635E-2</v>
      </c>
      <c r="AB166" s="256">
        <v>2.0887201378663699E-2</v>
      </c>
      <c r="AC166" s="257">
        <v>3.6925896504696867E-2</v>
      </c>
      <c r="AD166" s="255">
        <v>2.0465303014560125E-2</v>
      </c>
      <c r="AE166" s="256">
        <v>2.7798975861789466E-2</v>
      </c>
      <c r="AF166" s="257">
        <v>3.6797409411503737E-2</v>
      </c>
      <c r="AG166" s="255">
        <v>2.5535059974395098E-2</v>
      </c>
      <c r="AH166" s="256">
        <v>3.4685463262016249E-2</v>
      </c>
      <c r="AI166" s="257">
        <v>3.6662784194126039E-2</v>
      </c>
      <c r="AJ166" s="255">
        <v>3.0585362880618531E-2</v>
      </c>
      <c r="AK166" s="256">
        <v>4.1545525313623648E-2</v>
      </c>
      <c r="AL166" s="257">
        <v>3.6522098994635925E-2</v>
      </c>
      <c r="AM166" s="255">
        <v>3.5615385769401549E-2</v>
      </c>
      <c r="AN166" s="256">
        <v>4.837804007140882E-2</v>
      </c>
      <c r="AO166" s="257">
        <v>3.6375440701395909E-2</v>
      </c>
      <c r="AP166" s="255">
        <v>4.0624315870026073E-2</v>
      </c>
      <c r="AQ166" s="256">
        <v>5.5181903510986861E-2</v>
      </c>
      <c r="AR166" s="257">
        <v>3.622290472256421E-2</v>
      </c>
      <c r="AS166" s="255">
        <v>4.5611354748120066E-2</v>
      </c>
      <c r="AT166" s="256">
        <v>6.1956031081700495E-2</v>
      </c>
      <c r="AU166" s="257">
        <v>3.606459473379333E-2</v>
      </c>
      <c r="AV166" s="255">
        <v>5.057571940959707E-2</v>
      </c>
      <c r="AW166" s="256">
        <v>6.8699359206152694E-2</v>
      </c>
      <c r="AX166" s="257">
        <v>3.5900622394056857E-2</v>
      </c>
      <c r="AY166" s="243">
        <v>0</v>
      </c>
      <c r="AZ166" s="244">
        <v>0</v>
      </c>
      <c r="BA166" s="244">
        <v>0</v>
      </c>
      <c r="BB166" s="244">
        <v>0</v>
      </c>
      <c r="BC166" s="244">
        <v>0</v>
      </c>
      <c r="BD166" s="244">
        <v>0</v>
      </c>
      <c r="BE166" s="244">
        <v>0</v>
      </c>
      <c r="BF166" s="244">
        <v>0</v>
      </c>
      <c r="BG166" s="244">
        <v>0</v>
      </c>
      <c r="BH166" s="245">
        <v>0</v>
      </c>
      <c r="BK166">
        <v>108</v>
      </c>
      <c r="BL166" s="281">
        <v>0.46231155778894523</v>
      </c>
      <c r="BM166" s="281">
        <v>8249.4874371859387</v>
      </c>
      <c r="BN166" s="282">
        <v>6741.6733668341894</v>
      </c>
      <c r="BO166" s="282">
        <v>150.20100502512659</v>
      </c>
      <c r="BP166" s="282">
        <v>0</v>
      </c>
      <c r="BQ166" s="283">
        <v>0</v>
      </c>
      <c r="BR166" s="284"/>
      <c r="BS166" s="147"/>
      <c r="BT166" s="285">
        <v>0.94843529846535002</v>
      </c>
      <c r="BU166" s="288">
        <v>3.2727326732226295E-2</v>
      </c>
      <c r="BV166" s="287">
        <v>0.79963712821257782</v>
      </c>
      <c r="BW166" s="288">
        <v>0</v>
      </c>
      <c r="BX166" s="286">
        <v>99.77797745470825</v>
      </c>
      <c r="BY166" s="287">
        <v>0.22202254529175147</v>
      </c>
      <c r="BZ166" s="288">
        <v>0</v>
      </c>
      <c r="CA166" s="286">
        <v>0.76974928170021018</v>
      </c>
      <c r="CB166" s="286">
        <v>1.1159977938718617</v>
      </c>
      <c r="CC166" s="287">
        <v>1.219317571005319</v>
      </c>
      <c r="CD166" s="286">
        <v>0</v>
      </c>
      <c r="CE166" s="286">
        <v>15.717739570161434</v>
      </c>
      <c r="CF166" s="286">
        <v>21.247636703401511</v>
      </c>
      <c r="CG166" s="287">
        <v>22.505641912577136</v>
      </c>
      <c r="CH166" s="288">
        <v>0</v>
      </c>
      <c r="CI166" s="286">
        <v>1.7311003223993722</v>
      </c>
      <c r="CJ166" s="286">
        <v>196.97035914356562</v>
      </c>
      <c r="CK166" s="287"/>
      <c r="CL166" s="288"/>
      <c r="CM166" s="286"/>
      <c r="CN166" s="287"/>
      <c r="CO166" s="289"/>
      <c r="CP166" s="290"/>
      <c r="CQ166" s="289"/>
      <c r="CR166" s="290"/>
      <c r="CS166" s="284"/>
      <c r="CT166" s="147"/>
      <c r="CU166" s="291"/>
      <c r="CV166" s="292"/>
    </row>
    <row r="167" spans="2:100">
      <c r="B167">
        <v>109</v>
      </c>
      <c r="C167" s="243">
        <v>0.95131535429363412</v>
      </c>
      <c r="D167" s="592">
        <v>4.5797011206032877E-2</v>
      </c>
      <c r="E167" s="245">
        <v>5.9801099500337296E-3</v>
      </c>
      <c r="F167" s="243">
        <v>3.1769822179301757E-3</v>
      </c>
      <c r="G167" s="245">
        <v>4.315313172648781E-3</v>
      </c>
      <c r="H167" s="243">
        <v>5.3566505319019742E-2</v>
      </c>
      <c r="I167" s="245">
        <v>7.2759691480592123E-2</v>
      </c>
      <c r="J167" s="242">
        <v>3.7990126037040516E-2</v>
      </c>
      <c r="K167" s="242">
        <v>21.896513977136923</v>
      </c>
      <c r="L167" s="242">
        <v>5.0251256281407036E-3</v>
      </c>
      <c r="M167" s="243">
        <v>102.23143035070289</v>
      </c>
      <c r="N167" s="592">
        <v>28.753600558712744</v>
      </c>
      <c r="O167" s="245">
        <v>0.49985803479508822</v>
      </c>
      <c r="P167" s="245">
        <v>1.3783109944462479</v>
      </c>
      <c r="Q167" s="254">
        <v>38.393911026796445</v>
      </c>
      <c r="R167" s="255">
        <v>0</v>
      </c>
      <c r="S167" s="256">
        <v>0</v>
      </c>
      <c r="T167" s="257">
        <v>0</v>
      </c>
      <c r="U167" s="255">
        <v>5.4558317232139206E-3</v>
      </c>
      <c r="V167" s="256">
        <v>7.4106875292109606E-3</v>
      </c>
      <c r="W167" s="257">
        <v>3.9453559096705108E-2</v>
      </c>
      <c r="X167" s="255">
        <v>1.0884461733757726E-2</v>
      </c>
      <c r="Y167" s="256">
        <v>1.4784426816048557E-2</v>
      </c>
      <c r="Z167" s="257">
        <v>3.9256851347491434E-2</v>
      </c>
      <c r="AA167" s="255">
        <v>1.6294683617784345E-2</v>
      </c>
      <c r="AB167" s="256">
        <v>2.2133162239032243E-2</v>
      </c>
      <c r="AC167" s="257">
        <v>3.91237339523351E-2</v>
      </c>
      <c r="AD167" s="255">
        <v>2.1685476473061838E-2</v>
      </c>
      <c r="AE167" s="256">
        <v>2.9455507100803573E-2</v>
      </c>
      <c r="AF167" s="257">
        <v>3.8983233956581279E-2</v>
      </c>
      <c r="AG167" s="255">
        <v>2.705582734795095E-2</v>
      </c>
      <c r="AH167" s="256">
        <v>3.675008550333974E-2</v>
      </c>
      <c r="AI167" s="257">
        <v>3.8835408854521226E-2</v>
      </c>
      <c r="AJ167" s="255">
        <v>3.2404736393593397E-2</v>
      </c>
      <c r="AK167" s="256">
        <v>4.4015539346200484E-2</v>
      </c>
      <c r="AL167" s="257">
        <v>3.8680353398223774E-2</v>
      </c>
      <c r="AM167" s="255">
        <v>3.7731218482691752E-2</v>
      </c>
      <c r="AN167" s="256">
        <v>5.125053052532616E-2</v>
      </c>
      <c r="AO167" s="257">
        <v>3.8518174045879303E-2</v>
      </c>
      <c r="AP167" s="255">
        <v>4.3034304785789887E-2</v>
      </c>
      <c r="AQ167" s="256">
        <v>5.8453743074108409E-2</v>
      </c>
      <c r="AR167" s="257">
        <v>3.8348988654466634E-2</v>
      </c>
      <c r="AS167" s="255">
        <v>4.8313044299349898E-2</v>
      </c>
      <c r="AT167" s="256">
        <v>6.5623885238985893E-2</v>
      </c>
      <c r="AU167" s="257">
        <v>3.8172926131172458E-2</v>
      </c>
      <c r="AV167" s="255">
        <v>5.3566505319019742E-2</v>
      </c>
      <c r="AW167" s="256">
        <v>7.2759691480592123E-2</v>
      </c>
      <c r="AX167" s="257">
        <v>3.7990126037040516E-2</v>
      </c>
      <c r="AY167" s="243">
        <v>0</v>
      </c>
      <c r="AZ167" s="244">
        <v>0</v>
      </c>
      <c r="BA167" s="244">
        <v>0</v>
      </c>
      <c r="BB167" s="244">
        <v>0</v>
      </c>
      <c r="BC167" s="244">
        <v>0</v>
      </c>
      <c r="BD167" s="244">
        <v>0</v>
      </c>
      <c r="BE167" s="244">
        <v>0</v>
      </c>
      <c r="BF167" s="244">
        <v>0</v>
      </c>
      <c r="BG167" s="244">
        <v>0</v>
      </c>
      <c r="BH167" s="245">
        <v>0</v>
      </c>
      <c r="BK167">
        <v>109</v>
      </c>
      <c r="BL167" s="281">
        <v>0.45728643216080456</v>
      </c>
      <c r="BM167" s="281">
        <v>8159.8190954773963</v>
      </c>
      <c r="BN167" s="282">
        <v>6709.2964824120791</v>
      </c>
      <c r="BO167" s="282">
        <v>149.89447236181002</v>
      </c>
      <c r="BP167" s="282">
        <v>0</v>
      </c>
      <c r="BQ167" s="283">
        <v>0</v>
      </c>
      <c r="BR167" s="284"/>
      <c r="BS167" s="147"/>
      <c r="BT167" s="285">
        <v>0.94533524434360106</v>
      </c>
      <c r="BU167" s="288">
        <v>3.2624693551316974E-2</v>
      </c>
      <c r="BV167" s="287">
        <v>0.79989803970669116</v>
      </c>
      <c r="BW167" s="288">
        <v>0</v>
      </c>
      <c r="BX167" s="286">
        <v>99.764706300395531</v>
      </c>
      <c r="BY167" s="287">
        <v>0.23529369960445903</v>
      </c>
      <c r="BZ167" s="288">
        <v>0</v>
      </c>
      <c r="CA167" s="286">
        <v>0.76961258834635538</v>
      </c>
      <c r="CB167" s="286">
        <v>1.1161052307347801</v>
      </c>
      <c r="CC167" s="287">
        <v>1.2192808423296322</v>
      </c>
      <c r="CD167" s="286">
        <v>0</v>
      </c>
      <c r="CE167" s="286">
        <v>15.716668945836227</v>
      </c>
      <c r="CF167" s="286">
        <v>21.250771957803053</v>
      </c>
      <c r="CG167" s="287">
        <v>22.506865831693055</v>
      </c>
      <c r="CH167" s="288">
        <v>0</v>
      </c>
      <c r="CI167" s="286">
        <v>1.7255087732379406</v>
      </c>
      <c r="CJ167" s="286">
        <v>197.57158967631901</v>
      </c>
      <c r="CK167" s="287"/>
      <c r="CL167" s="288"/>
      <c r="CM167" s="286"/>
      <c r="CN167" s="287"/>
      <c r="CO167" s="289"/>
      <c r="CP167" s="290"/>
      <c r="CQ167" s="289"/>
      <c r="CR167" s="290"/>
      <c r="CS167" s="284"/>
      <c r="CT167" s="147"/>
      <c r="CU167" s="291"/>
      <c r="CV167" s="292"/>
    </row>
    <row r="168" spans="2:100">
      <c r="B168">
        <v>110</v>
      </c>
      <c r="C168" s="243">
        <v>0.94825184620441139</v>
      </c>
      <c r="D168" s="592">
        <v>4.8403025162857369E-2</v>
      </c>
      <c r="E168" s="245">
        <v>6.0067306428855938E-3</v>
      </c>
      <c r="F168" s="243">
        <v>3.3499912305353327E-3</v>
      </c>
      <c r="G168" s="245">
        <v>4.5501751976182395E-3</v>
      </c>
      <c r="H168" s="243">
        <v>5.6483578049754235E-2</v>
      </c>
      <c r="I168" s="245">
        <v>7.6719656329863037E-2</v>
      </c>
      <c r="J168" s="242">
        <v>4.0025059685093255E-2</v>
      </c>
      <c r="K168" s="242">
        <v>22.0661662626718</v>
      </c>
      <c r="L168" s="242">
        <v>5.0251256281407036E-3</v>
      </c>
      <c r="M168" s="243">
        <v>101.49185542258371</v>
      </c>
      <c r="N168" s="592">
        <v>28.610574455100995</v>
      </c>
      <c r="O168" s="245">
        <v>0.49582111052349664</v>
      </c>
      <c r="P168" s="245">
        <v>1.3889900281330627</v>
      </c>
      <c r="Q168" s="254">
        <v>40.422837815610329</v>
      </c>
      <c r="R168" s="255">
        <v>0</v>
      </c>
      <c r="S168" s="256">
        <v>0</v>
      </c>
      <c r="T168" s="257">
        <v>0</v>
      </c>
      <c r="U168" s="255">
        <v>5.7565827333549216E-3</v>
      </c>
      <c r="V168" s="256">
        <v>7.8189637446194841E-3</v>
      </c>
      <c r="W168" s="257">
        <v>4.1627169808114275E-2</v>
      </c>
      <c r="X168" s="255">
        <v>1.1483432028638331E-2</v>
      </c>
      <c r="Y168" s="256">
        <v>1.5597541606667181E-2</v>
      </c>
      <c r="Z168" s="257">
        <v>4.1412160499134786E-2</v>
      </c>
      <c r="AA168" s="255">
        <v>1.7190408787295577E-2</v>
      </c>
      <c r="AB168" s="256">
        <v>2.3349127301557568E-2</v>
      </c>
      <c r="AC168" s="257">
        <v>4.1268457629746291E-2</v>
      </c>
      <c r="AD168" s="255">
        <v>2.2876310875115588E-2</v>
      </c>
      <c r="AE168" s="256">
        <v>3.1072088012696508E-2</v>
      </c>
      <c r="AF168" s="257">
        <v>4.1116061852211734E-2</v>
      </c>
      <c r="AG168" s="255">
        <v>2.8539945639230801E-2</v>
      </c>
      <c r="AH168" s="256">
        <v>3.8764803801665103E-2</v>
      </c>
      <c r="AI168" s="257">
        <v>4.0955041728300196E-2</v>
      </c>
      <c r="AJ168" s="255">
        <v>3.4180136059729013E-2</v>
      </c>
      <c r="AK168" s="256">
        <v>4.6425675963737555E-2</v>
      </c>
      <c r="AL168" s="257">
        <v>4.0785510303496746E-2</v>
      </c>
      <c r="AM168" s="255">
        <v>3.9795722868171055E-2</v>
      </c>
      <c r="AN168" s="256">
        <v>5.4053129905389199E-2</v>
      </c>
      <c r="AO168" s="257">
        <v>4.0607595942773543E-2</v>
      </c>
      <c r="AP168" s="255">
        <v>4.5385566609760328E-2</v>
      </c>
      <c r="AQ168" s="256">
        <v>6.1645617945268794E-2</v>
      </c>
      <c r="AR168" s="257">
        <v>4.0421441923123483E-2</v>
      </c>
      <c r="AS168" s="255">
        <v>5.0948549640501307E-2</v>
      </c>
      <c r="AT168" s="256">
        <v>6.9201622026868664E-2</v>
      </c>
      <c r="AU168" s="257">
        <v>4.0227205963450793E-2</v>
      </c>
      <c r="AV168" s="255">
        <v>5.6483578049754235E-2</v>
      </c>
      <c r="AW168" s="256">
        <v>7.6719656329863037E-2</v>
      </c>
      <c r="AX168" s="257">
        <v>4.0025059685093255E-2</v>
      </c>
      <c r="AY168" s="243">
        <v>0</v>
      </c>
      <c r="AZ168" s="244">
        <v>0</v>
      </c>
      <c r="BA168" s="244">
        <v>0</v>
      </c>
      <c r="BB168" s="244">
        <v>0</v>
      </c>
      <c r="BC168" s="244">
        <v>0</v>
      </c>
      <c r="BD168" s="244">
        <v>0</v>
      </c>
      <c r="BE168" s="244">
        <v>0</v>
      </c>
      <c r="BF168" s="244">
        <v>0</v>
      </c>
      <c r="BG168" s="244">
        <v>0</v>
      </c>
      <c r="BH168" s="245">
        <v>0</v>
      </c>
      <c r="BK168">
        <v>110</v>
      </c>
      <c r="BL168" s="281">
        <v>0.45226130653266389</v>
      </c>
      <c r="BM168" s="281">
        <v>8070.150753768854</v>
      </c>
      <c r="BN168" s="282">
        <v>6676.9195979899687</v>
      </c>
      <c r="BO168" s="282">
        <v>149.58793969849344</v>
      </c>
      <c r="BP168" s="282">
        <v>0</v>
      </c>
      <c r="BQ168" s="283">
        <v>0</v>
      </c>
      <c r="BR168" s="284"/>
      <c r="BS168" s="147"/>
      <c r="BT168" s="285">
        <v>0.94224511556152646</v>
      </c>
      <c r="BU168" s="288">
        <v>3.2522358942152801E-2</v>
      </c>
      <c r="BV168" s="287">
        <v>0.80015850289801682</v>
      </c>
      <c r="BW168" s="288">
        <v>0</v>
      </c>
      <c r="BX168" s="286">
        <v>99.751486369364883</v>
      </c>
      <c r="BY168" s="287">
        <v>0.24851363063511134</v>
      </c>
      <c r="BZ168" s="288">
        <v>0</v>
      </c>
      <c r="CA168" s="286">
        <v>0.76947572468085712</v>
      </c>
      <c r="CB168" s="286">
        <v>1.116212418372174</v>
      </c>
      <c r="CC168" s="287">
        <v>1.2192441031261296</v>
      </c>
      <c r="CD168" s="286">
        <v>0</v>
      </c>
      <c r="CE168" s="286">
        <v>15.715595117437337</v>
      </c>
      <c r="CF168" s="286">
        <v>21.253903123043017</v>
      </c>
      <c r="CG168" s="287">
        <v>22.508089826045527</v>
      </c>
      <c r="CH168" s="288">
        <v>0</v>
      </c>
      <c r="CI168" s="286">
        <v>1.7199367353738744</v>
      </c>
      <c r="CJ168" s="286">
        <v>198.17631795008373</v>
      </c>
      <c r="CK168" s="287"/>
      <c r="CL168" s="288"/>
      <c r="CM168" s="286"/>
      <c r="CN168" s="287"/>
      <c r="CO168" s="289"/>
      <c r="CP168" s="290"/>
      <c r="CQ168" s="289"/>
      <c r="CR168" s="290"/>
      <c r="CS168" s="284"/>
      <c r="CT168" s="147"/>
      <c r="CU168" s="291"/>
      <c r="CV168" s="292"/>
    </row>
    <row r="169" spans="2:100">
      <c r="B169">
        <v>111</v>
      </c>
      <c r="C169" s="243">
        <v>0.9451970874717246</v>
      </c>
      <c r="D169" s="592">
        <v>5.0960198093316665E-2</v>
      </c>
      <c r="E169" s="245">
        <v>6.0322062671328558E-3</v>
      </c>
      <c r="F169" s="243">
        <v>3.5185722608347464E-3</v>
      </c>
      <c r="G169" s="245">
        <v>4.7790088279781595E-3</v>
      </c>
      <c r="H169" s="243">
        <v>5.9325991395744779E-2</v>
      </c>
      <c r="I169" s="245">
        <v>8.0577977540685339E-2</v>
      </c>
      <c r="J169" s="242">
        <v>4.2005174466006177E-2</v>
      </c>
      <c r="K169" s="242">
        <v>22.233425796148062</v>
      </c>
      <c r="L169" s="242">
        <v>5.0251256281407036E-3</v>
      </c>
      <c r="M169" s="243">
        <v>100.77455357595146</v>
      </c>
      <c r="N169" s="592">
        <v>28.472976307002352</v>
      </c>
      <c r="O169" s="245">
        <v>0.49185222251025318</v>
      </c>
      <c r="P169" s="245">
        <v>1.3995184462254124</v>
      </c>
      <c r="Q169" s="254">
        <v>42.393657604932017</v>
      </c>
      <c r="R169" s="255">
        <v>0</v>
      </c>
      <c r="S169" s="256">
        <v>0</v>
      </c>
      <c r="T169" s="257">
        <v>0</v>
      </c>
      <c r="U169" s="255">
        <v>6.0498371910750739E-3</v>
      </c>
      <c r="V169" s="256">
        <v>8.217033273922085E-3</v>
      </c>
      <c r="W169" s="257">
        <v>4.3746441419153306E-2</v>
      </c>
      <c r="X169" s="255">
        <v>1.2067409218568685E-2</v>
      </c>
      <c r="Y169" s="256">
        <v>1.6390243232544292E-2</v>
      </c>
      <c r="Z169" s="257">
        <v>4.3513131654953685E-2</v>
      </c>
      <c r="AA169" s="255">
        <v>1.8063687766536489E-2</v>
      </c>
      <c r="AB169" s="256">
        <v>2.453453187902949E-2</v>
      </c>
      <c r="AC169" s="257">
        <v>4.3359158262734142E-2</v>
      </c>
      <c r="AD169" s="255">
        <v>2.4037274180678976E-2</v>
      </c>
      <c r="AE169" s="256">
        <v>3.2647999527724209E-2</v>
      </c>
      <c r="AF169" s="257">
        <v>4.319507118539441E-2</v>
      </c>
      <c r="AG169" s="255">
        <v>2.9986780906379039E-2</v>
      </c>
      <c r="AH169" s="256">
        <v>4.0728761568828528E-2</v>
      </c>
      <c r="AI169" s="257">
        <v>4.3020950684863918E-2</v>
      </c>
      <c r="AJ169" s="255">
        <v>3.5910838768143855E-2</v>
      </c>
      <c r="AK169" s="256">
        <v>4.8774958355507825E-2</v>
      </c>
      <c r="AL169" s="257">
        <v>4.2836929660799043E-2</v>
      </c>
      <c r="AM169" s="255">
        <v>4.1808099687652492E-2</v>
      </c>
      <c r="AN169" s="256">
        <v>5.6784758895609924E-2</v>
      </c>
      <c r="AO169" s="257">
        <v>4.2643160667089341E-2</v>
      </c>
      <c r="AP169" s="255">
        <v>4.7677239328651637E-2</v>
      </c>
      <c r="AQ169" s="256">
        <v>6.4756364444025521E-2</v>
      </c>
      <c r="AR169" s="257">
        <v>4.2439815382895221E-2</v>
      </c>
      <c r="AS169" s="255">
        <v>5.3516959656061847E-2</v>
      </c>
      <c r="AT169" s="256">
        <v>7.2688011978527492E-2</v>
      </c>
      <c r="AU169" s="257">
        <v>4.2227083992303682E-2</v>
      </c>
      <c r="AV169" s="255">
        <v>5.9325991395744779E-2</v>
      </c>
      <c r="AW169" s="256">
        <v>8.0577977540685339E-2</v>
      </c>
      <c r="AX169" s="257">
        <v>4.2005174466006177E-2</v>
      </c>
      <c r="AY169" s="243">
        <v>0</v>
      </c>
      <c r="AZ169" s="244">
        <v>0</v>
      </c>
      <c r="BA169" s="244">
        <v>0</v>
      </c>
      <c r="BB169" s="244">
        <v>0</v>
      </c>
      <c r="BC169" s="244">
        <v>0</v>
      </c>
      <c r="BD169" s="244">
        <v>0</v>
      </c>
      <c r="BE169" s="244">
        <v>0</v>
      </c>
      <c r="BF169" s="244">
        <v>0</v>
      </c>
      <c r="BG169" s="244">
        <v>0</v>
      </c>
      <c r="BH169" s="245">
        <v>0</v>
      </c>
      <c r="BK169">
        <v>111</v>
      </c>
      <c r="BL169" s="281">
        <v>0.44723618090452316</v>
      </c>
      <c r="BM169" s="281">
        <v>7980.4824120603116</v>
      </c>
      <c r="BN169" s="282">
        <v>6644.5427135678583</v>
      </c>
      <c r="BO169" s="282">
        <v>149.28140703517687</v>
      </c>
      <c r="BP169" s="282">
        <v>0</v>
      </c>
      <c r="BQ169" s="283">
        <v>0</v>
      </c>
      <c r="BR169" s="284"/>
      <c r="BS169" s="147"/>
      <c r="BT169" s="285">
        <v>0.93916488120459241</v>
      </c>
      <c r="BU169" s="288">
        <v>3.2420322180739376E-2</v>
      </c>
      <c r="BV169" s="287">
        <v>0.80041851691078614</v>
      </c>
      <c r="BW169" s="288">
        <v>0</v>
      </c>
      <c r="BX169" s="286">
        <v>99.738317456132577</v>
      </c>
      <c r="BY169" s="287">
        <v>0.26168254386742823</v>
      </c>
      <c r="BZ169" s="288">
        <v>0</v>
      </c>
      <c r="CA169" s="286">
        <v>0.76933868910216519</v>
      </c>
      <c r="CB169" s="286">
        <v>1.1163193559501041</v>
      </c>
      <c r="CC169" s="287">
        <v>1.2192073533667318</v>
      </c>
      <c r="CD169" s="286">
        <v>0</v>
      </c>
      <c r="CE169" s="286">
        <v>15.714518056394956</v>
      </c>
      <c r="CF169" s="286">
        <v>21.257030181097747</v>
      </c>
      <c r="CG169" s="287">
        <v>22.509313895429237</v>
      </c>
      <c r="CH169" s="288">
        <v>0</v>
      </c>
      <c r="CI169" s="286">
        <v>1.714384080306476</v>
      </c>
      <c r="CJ169" s="286">
        <v>198.78456115243227</v>
      </c>
      <c r="CK169" s="287"/>
      <c r="CL169" s="288"/>
      <c r="CM169" s="286"/>
      <c r="CN169" s="287"/>
      <c r="CO169" s="289"/>
      <c r="CP169" s="290"/>
      <c r="CQ169" s="289"/>
      <c r="CR169" s="290"/>
      <c r="CS169" s="284"/>
      <c r="CT169" s="147"/>
      <c r="CU169" s="291"/>
      <c r="CV169" s="292"/>
    </row>
    <row r="170" spans="2:100">
      <c r="B170">
        <v>112</v>
      </c>
      <c r="C170" s="243">
        <v>0.94215112198543638</v>
      </c>
      <c r="D170" s="592">
        <v>5.3467855508702547E-2</v>
      </c>
      <c r="E170" s="245">
        <v>6.056611586742644E-3</v>
      </c>
      <c r="F170" s="243">
        <v>3.6826846773444924E-3</v>
      </c>
      <c r="G170" s="245">
        <v>5.0017594165236556E-3</v>
      </c>
      <c r="H170" s="243">
        <v>6.2093060277110389E-2</v>
      </c>
      <c r="I170" s="245">
        <v>8.4333733716717971E-2</v>
      </c>
      <c r="J170" s="242">
        <v>4.3930411828994882E-2</v>
      </c>
      <c r="K170" s="242">
        <v>22.398129481229734</v>
      </c>
      <c r="L170" s="242">
        <v>5.0251256281407036E-3</v>
      </c>
      <c r="M170" s="243">
        <v>100.07952673485374</v>
      </c>
      <c r="N170" s="592">
        <v>28.340848034249294</v>
      </c>
      <c r="O170" s="245">
        <v>0.4879541706694463</v>
      </c>
      <c r="P170" s="245">
        <v>1.409885982364312</v>
      </c>
      <c r="Q170" s="254">
        <v>44.30637123923686</v>
      </c>
      <c r="R170" s="255">
        <v>0</v>
      </c>
      <c r="S170" s="256">
        <v>0</v>
      </c>
      <c r="T170" s="257">
        <v>0</v>
      </c>
      <c r="U170" s="255">
        <v>6.335469121878292E-3</v>
      </c>
      <c r="V170" s="256">
        <v>8.604725930893304E-3</v>
      </c>
      <c r="W170" s="257">
        <v>4.5810467879974982E-2</v>
      </c>
      <c r="X170" s="255">
        <v>1.2636155874596636E-2</v>
      </c>
      <c r="Y170" s="256">
        <v>1.7162211042189693E-2</v>
      </c>
      <c r="Z170" s="257">
        <v>4.5558963756990825E-2</v>
      </c>
      <c r="AA170" s="255">
        <v>1.8914182947833032E-2</v>
      </c>
      <c r="AB170" s="256">
        <v>2.5688920163914806E-2</v>
      </c>
      <c r="AC170" s="257">
        <v>4.5395116297693196E-2</v>
      </c>
      <c r="AD170" s="255">
        <v>2.5167940367077174E-2</v>
      </c>
      <c r="AE170" s="256">
        <v>3.4182666656192351E-2</v>
      </c>
      <c r="AF170" s="257">
        <v>4.5219627445442188E-2</v>
      </c>
      <c r="AG170" s="255">
        <v>3.1395830932315343E-2</v>
      </c>
      <c r="AH170" s="256">
        <v>4.2641281229249081E-2</v>
      </c>
      <c r="AI170" s="257">
        <v>4.5032589569982455E-2</v>
      </c>
      <c r="AJ170" s="255">
        <v>3.7596278760899784E-2</v>
      </c>
      <c r="AK170" s="256">
        <v>5.1062623546194022E-2</v>
      </c>
      <c r="AL170" s="257">
        <v>4.4834156812781814E-2</v>
      </c>
      <c r="AM170" s="255">
        <v>4.3767732713713189E-2</v>
      </c>
      <c r="AN170" s="256">
        <v>5.9444586876376534E-2</v>
      </c>
      <c r="AO170" s="257">
        <v>4.4624508089194992E-2</v>
      </c>
      <c r="AP170" s="255">
        <v>4.9908669728186521E-2</v>
      </c>
      <c r="AQ170" s="256">
        <v>6.778510262223425E-2</v>
      </c>
      <c r="AR170" s="257">
        <v>4.4403846414940246E-2</v>
      </c>
      <c r="AS170" s="255">
        <v>5.6017598040330768E-2</v>
      </c>
      <c r="AT170" s="256">
        <v>7.6082144695401463E-2</v>
      </c>
      <c r="AU170" s="257">
        <v>4.4172398103581208E-2</v>
      </c>
      <c r="AV170" s="255">
        <v>6.2093060277110389E-2</v>
      </c>
      <c r="AW170" s="256">
        <v>8.4333733716717971E-2</v>
      </c>
      <c r="AX170" s="257">
        <v>4.3930411828994882E-2</v>
      </c>
      <c r="AY170" s="243">
        <v>0</v>
      </c>
      <c r="AZ170" s="244">
        <v>0</v>
      </c>
      <c r="BA170" s="244">
        <v>0</v>
      </c>
      <c r="BB170" s="244">
        <v>0</v>
      </c>
      <c r="BC170" s="244">
        <v>0</v>
      </c>
      <c r="BD170" s="244">
        <v>0</v>
      </c>
      <c r="BE170" s="244">
        <v>0</v>
      </c>
      <c r="BF170" s="244">
        <v>0</v>
      </c>
      <c r="BG170" s="244">
        <v>0</v>
      </c>
      <c r="BH170" s="245">
        <v>0</v>
      </c>
      <c r="BK170">
        <v>112</v>
      </c>
      <c r="BL170" s="281">
        <v>0.44221105527638249</v>
      </c>
      <c r="BM170" s="281">
        <v>7890.8140703517693</v>
      </c>
      <c r="BN170" s="282">
        <v>6612.1658291457479</v>
      </c>
      <c r="BO170" s="282">
        <v>148.9748743718603</v>
      </c>
      <c r="BP170" s="282">
        <v>0</v>
      </c>
      <c r="BQ170" s="283">
        <v>0</v>
      </c>
      <c r="BR170" s="284"/>
      <c r="BS170" s="147"/>
      <c r="BT170" s="285">
        <v>0.9360945103986944</v>
      </c>
      <c r="BU170" s="288">
        <v>3.2318582542160593E-2</v>
      </c>
      <c r="BV170" s="287">
        <v>0.80067808085304493</v>
      </c>
      <c r="BW170" s="288">
        <v>0</v>
      </c>
      <c r="BX170" s="286">
        <v>99.725199355764332</v>
      </c>
      <c r="BY170" s="287">
        <v>0.27480064423567274</v>
      </c>
      <c r="BZ170" s="288">
        <v>0</v>
      </c>
      <c r="CA170" s="286">
        <v>0.76920147999859656</v>
      </c>
      <c r="CB170" s="286">
        <v>1.1164260426232904</v>
      </c>
      <c r="CC170" s="287">
        <v>1.2191705930232626</v>
      </c>
      <c r="CD170" s="286">
        <v>0</v>
      </c>
      <c r="CE170" s="286">
        <v>15.71343773395113</v>
      </c>
      <c r="CF170" s="286">
        <v>21.260153113718552</v>
      </c>
      <c r="CG170" s="287">
        <v>22.51053803963768</v>
      </c>
      <c r="CH170" s="288">
        <v>0</v>
      </c>
      <c r="CI170" s="286">
        <v>1.7088506805002748</v>
      </c>
      <c r="CJ170" s="286">
        <v>199.39633655958903</v>
      </c>
      <c r="CK170" s="287"/>
      <c r="CL170" s="288"/>
      <c r="CM170" s="286"/>
      <c r="CN170" s="287"/>
      <c r="CO170" s="289"/>
      <c r="CP170" s="290"/>
      <c r="CQ170" s="289"/>
      <c r="CR170" s="290"/>
      <c r="CS170" s="284"/>
      <c r="CT170" s="147"/>
      <c r="CU170" s="291"/>
      <c r="CV170" s="292"/>
    </row>
    <row r="171" spans="2:100">
      <c r="B171">
        <v>113</v>
      </c>
      <c r="C171" s="243">
        <v>0.93911395691359045</v>
      </c>
      <c r="D171" s="592">
        <v>5.5925462266783826E-2</v>
      </c>
      <c r="E171" s="245">
        <v>6.0799846045422878E-3</v>
      </c>
      <c r="F171" s="243">
        <v>3.8423012267769408E-3</v>
      </c>
      <c r="G171" s="245">
        <v>5.2183904924891431E-3</v>
      </c>
      <c r="H171" s="243">
        <v>6.4784325181245508E-2</v>
      </c>
      <c r="I171" s="245">
        <v>8.7986309931176745E-2</v>
      </c>
      <c r="J171" s="242">
        <v>4.5800873455181919E-2</v>
      </c>
      <c r="K171" s="242">
        <v>22.56012586655778</v>
      </c>
      <c r="L171" s="242">
        <v>5.0251256281407036E-3</v>
      </c>
      <c r="M171" s="243">
        <v>99.406720190016443</v>
      </c>
      <c r="N171" s="592">
        <v>28.214215589311106</v>
      </c>
      <c r="O171" s="245">
        <v>0.48412938386766202</v>
      </c>
      <c r="P171" s="245">
        <v>1.4200831032024204</v>
      </c>
      <c r="Q171" s="254">
        <v>46.161128029040334</v>
      </c>
      <c r="R171" s="255">
        <v>0</v>
      </c>
      <c r="S171" s="256">
        <v>0</v>
      </c>
      <c r="T171" s="257">
        <v>0</v>
      </c>
      <c r="U171" s="255">
        <v>6.6133767368509074E-3</v>
      </c>
      <c r="V171" s="256">
        <v>8.9819043978966902E-3</v>
      </c>
      <c r="W171" s="257">
        <v>4.7818518128924979E-2</v>
      </c>
      <c r="X171" s="255">
        <v>1.3189482273630742E-2</v>
      </c>
      <c r="Y171" s="256">
        <v>1.7913189215334899E-2</v>
      </c>
      <c r="Z171" s="257">
        <v>4.7549025912285582E-2</v>
      </c>
      <c r="AA171" s="255">
        <v>1.9741627404463103E-2</v>
      </c>
      <c r="AB171" s="256">
        <v>2.6811932400242815E-2</v>
      </c>
      <c r="AC171" s="257">
        <v>4.7375778394146861E-2</v>
      </c>
      <c r="AD171" s="255">
        <v>2.6267976643978348E-2</v>
      </c>
      <c r="AE171" s="256">
        <v>3.5675641102935647E-2</v>
      </c>
      <c r="AF171" s="257">
        <v>4.7189259260929248E-2</v>
      </c>
      <c r="AG171" s="255">
        <v>3.2766708975332556E-2</v>
      </c>
      <c r="AH171" s="256">
        <v>4.4501842124040382E-2</v>
      </c>
      <c r="AI171" s="257">
        <v>4.6989573128396495E-2</v>
      </c>
      <c r="AJ171" s="255">
        <v>3.923602779840471E-2</v>
      </c>
      <c r="AK171" s="256">
        <v>5.3288095425559748E-2</v>
      </c>
      <c r="AL171" s="257">
        <v>4.6776896543501076E-2</v>
      </c>
      <c r="AM171" s="255">
        <v>4.567416518067316E-2</v>
      </c>
      <c r="AN171" s="256">
        <v>6.2031999904165851E-2</v>
      </c>
      <c r="AO171" s="257">
        <v>4.6551436789477089E-2</v>
      </c>
      <c r="AP171" s="255">
        <v>5.2079385991593473E-2</v>
      </c>
      <c r="AQ171" s="256">
        <v>7.0731199006272213E-2</v>
      </c>
      <c r="AR171" s="257">
        <v>4.6313431043489305E-2</v>
      </c>
      <c r="AS171" s="255">
        <v>5.8449991895983537E-2</v>
      </c>
      <c r="AT171" s="256">
        <v>7.9383386151617621E-2</v>
      </c>
      <c r="AU171" s="257">
        <v>4.6063145357173436E-2</v>
      </c>
      <c r="AV171" s="255">
        <v>6.4784325181245508E-2</v>
      </c>
      <c r="AW171" s="256">
        <v>8.7986309931176745E-2</v>
      </c>
      <c r="AX171" s="257">
        <v>4.5800873455181919E-2</v>
      </c>
      <c r="AY171" s="243">
        <v>0</v>
      </c>
      <c r="AZ171" s="244">
        <v>0</v>
      </c>
      <c r="BA171" s="244">
        <v>0</v>
      </c>
      <c r="BB171" s="244">
        <v>0</v>
      </c>
      <c r="BC171" s="244">
        <v>0</v>
      </c>
      <c r="BD171" s="244">
        <v>0</v>
      </c>
      <c r="BE171" s="244">
        <v>0</v>
      </c>
      <c r="BF171" s="244">
        <v>0</v>
      </c>
      <c r="BG171" s="244">
        <v>0</v>
      </c>
      <c r="BH171" s="245">
        <v>0</v>
      </c>
      <c r="BK171">
        <v>113</v>
      </c>
      <c r="BL171" s="281">
        <v>0.43718592964824182</v>
      </c>
      <c r="BM171" s="281">
        <v>7801.1457286432269</v>
      </c>
      <c r="BN171" s="282">
        <v>6579.7889447236375</v>
      </c>
      <c r="BO171" s="282">
        <v>148.66834170854372</v>
      </c>
      <c r="BP171" s="282">
        <v>0</v>
      </c>
      <c r="BQ171" s="283">
        <v>0</v>
      </c>
      <c r="BR171" s="284"/>
      <c r="BS171" s="147"/>
      <c r="BT171" s="285">
        <v>0.93303397230904883</v>
      </c>
      <c r="BU171" s="288">
        <v>3.2217139300554518E-2</v>
      </c>
      <c r="BV171" s="287">
        <v>0.80093719381675799</v>
      </c>
      <c r="BW171" s="288">
        <v>0</v>
      </c>
      <c r="BX171" s="286">
        <v>99.712131863867782</v>
      </c>
      <c r="BY171" s="287">
        <v>0.2878681361322184</v>
      </c>
      <c r="BZ171" s="288">
        <v>0</v>
      </c>
      <c r="CA171" s="286">
        <v>0.76906409574822965</v>
      </c>
      <c r="CB171" s="286">
        <v>1.1165324775351388</v>
      </c>
      <c r="CC171" s="287">
        <v>1.2191338220674592</v>
      </c>
      <c r="CD171" s="286">
        <v>0</v>
      </c>
      <c r="CE171" s="286">
        <v>15.712354121157745</v>
      </c>
      <c r="CF171" s="286">
        <v>21.263271902431526</v>
      </c>
      <c r="CG171" s="287">
        <v>22.511762258463268</v>
      </c>
      <c r="CH171" s="288">
        <v>0</v>
      </c>
      <c r="CI171" s="286">
        <v>1.7033364093781311</v>
      </c>
      <c r="CJ171" s="286">
        <v>200.01166153647418</v>
      </c>
      <c r="CK171" s="287"/>
      <c r="CL171" s="288"/>
      <c r="CM171" s="286"/>
      <c r="CN171" s="287"/>
      <c r="CO171" s="289"/>
      <c r="CP171" s="290"/>
      <c r="CQ171" s="289"/>
      <c r="CR171" s="290"/>
      <c r="CS171" s="284"/>
      <c r="CT171" s="147"/>
      <c r="CU171" s="291"/>
      <c r="CV171" s="292"/>
    </row>
    <row r="172" spans="2:100">
      <c r="B172">
        <v>114</v>
      </c>
      <c r="C172" s="243">
        <v>0.93608557672294079</v>
      </c>
      <c r="D172" s="592">
        <v>5.8332602579576648E-2</v>
      </c>
      <c r="E172" s="245">
        <v>6.1023405851360346E-3</v>
      </c>
      <c r="F172" s="243">
        <v>3.9974064833473589E-3</v>
      </c>
      <c r="G172" s="245">
        <v>5.4288816528153391E-3</v>
      </c>
      <c r="H172" s="243">
        <v>6.7399526016867509E-2</v>
      </c>
      <c r="I172" s="245">
        <v>9.1535362171880102E-2</v>
      </c>
      <c r="J172" s="242">
        <v>4.7616798113620358E-2</v>
      </c>
      <c r="K172" s="242">
        <v>22.719274549567132</v>
      </c>
      <c r="L172" s="242">
        <v>5.0251256281407036E-3</v>
      </c>
      <c r="M172" s="243">
        <v>98.756030442487074</v>
      </c>
      <c r="N172" s="592">
        <v>28.09309100696224</v>
      </c>
      <c r="O172" s="245">
        <v>0.48037994728476224</v>
      </c>
      <c r="P172" s="245">
        <v>1.4301009708763557</v>
      </c>
      <c r="Q172" s="254">
        <v>47.958205219764146</v>
      </c>
      <c r="R172" s="255">
        <v>0</v>
      </c>
      <c r="S172" s="256">
        <v>0</v>
      </c>
      <c r="T172" s="257">
        <v>0</v>
      </c>
      <c r="U172" s="255">
        <v>6.8834803160027231E-3</v>
      </c>
      <c r="V172" s="256">
        <v>9.3484613463102346E-3</v>
      </c>
      <c r="W172" s="257">
        <v>4.9770020762052662E-2</v>
      </c>
      <c r="X172" s="255">
        <v>1.3727242058608915E-2</v>
      </c>
      <c r="Y172" s="256">
        <v>1.8642980859262592E-2</v>
      </c>
      <c r="Z172" s="257">
        <v>4.948284129297089E-2</v>
      </c>
      <c r="AA172" s="255">
        <v>2.054581823613863E-2</v>
      </c>
      <c r="AB172" s="256">
        <v>2.7903295831663705E-2</v>
      </c>
      <c r="AC172" s="257">
        <v>4.9300740663751966E-2</v>
      </c>
      <c r="AD172" s="255">
        <v>2.7337134383810135E-2</v>
      </c>
      <c r="AE172" s="256">
        <v>3.7126588930865539E-2</v>
      </c>
      <c r="AF172" s="257">
        <v>4.9103640913373769E-2</v>
      </c>
      <c r="AG172" s="255">
        <v>3.4099132175521754E-2</v>
      </c>
      <c r="AH172" s="256">
        <v>4.6310064742177241E-2</v>
      </c>
      <c r="AI172" s="257">
        <v>4.8891658730256221E-2</v>
      </c>
      <c r="AJ172" s="255">
        <v>4.0829780924515099E-2</v>
      </c>
      <c r="AK172" s="256">
        <v>5.5450965387927091E-2</v>
      </c>
      <c r="AL172" s="257">
        <v>4.8664993956721345E-2</v>
      </c>
      <c r="AM172" s="255">
        <v>4.7527082782603737E-2</v>
      </c>
      <c r="AN172" s="256">
        <v>6.454657758854003E-2</v>
      </c>
      <c r="AO172" s="257">
        <v>4.8423884027370759E-2</v>
      </c>
      <c r="AP172" s="255">
        <v>5.4189077796117355E-2</v>
      </c>
      <c r="AQ172" s="256">
        <v>7.3594239529020389E-2</v>
      </c>
      <c r="AR172" s="257">
        <v>4.8168602933088271E-2</v>
      </c>
      <c r="AS172" s="255">
        <v>6.081384878572417E-2</v>
      </c>
      <c r="AT172" s="256">
        <v>8.2591347486243499E-2</v>
      </c>
      <c r="AU172" s="257">
        <v>4.7899459947615949E-2</v>
      </c>
      <c r="AV172" s="255">
        <v>6.7399526016867509E-2</v>
      </c>
      <c r="AW172" s="256">
        <v>9.1535362171880102E-2</v>
      </c>
      <c r="AX172" s="257">
        <v>4.7616798113620358E-2</v>
      </c>
      <c r="AY172" s="243">
        <v>0</v>
      </c>
      <c r="AZ172" s="244">
        <v>0</v>
      </c>
      <c r="BA172" s="244">
        <v>0</v>
      </c>
      <c r="BB172" s="244">
        <v>0</v>
      </c>
      <c r="BC172" s="244">
        <v>0</v>
      </c>
      <c r="BD172" s="244">
        <v>0</v>
      </c>
      <c r="BE172" s="244">
        <v>0</v>
      </c>
      <c r="BF172" s="244">
        <v>0</v>
      </c>
      <c r="BG172" s="244">
        <v>0</v>
      </c>
      <c r="BH172" s="245">
        <v>0</v>
      </c>
      <c r="BK172">
        <v>114</v>
      </c>
      <c r="BL172" s="281">
        <v>0.43216080402010115</v>
      </c>
      <c r="BM172" s="281">
        <v>7711.4773869346845</v>
      </c>
      <c r="BN172" s="282">
        <v>6547.4120603015272</v>
      </c>
      <c r="BO172" s="282">
        <v>148.36180904522715</v>
      </c>
      <c r="BP172" s="282">
        <v>0</v>
      </c>
      <c r="BQ172" s="283">
        <v>0</v>
      </c>
      <c r="BR172" s="284"/>
      <c r="BS172" s="147"/>
      <c r="BT172" s="285">
        <v>0.92998323613780542</v>
      </c>
      <c r="BU172" s="288">
        <v>3.2115991729047312E-2</v>
      </c>
      <c r="BV172" s="287">
        <v>0.80119585487753575</v>
      </c>
      <c r="BW172" s="288">
        <v>0</v>
      </c>
      <c r="BX172" s="286">
        <v>99.699114776579336</v>
      </c>
      <c r="BY172" s="287">
        <v>0.30088522342065316</v>
      </c>
      <c r="BZ172" s="288">
        <v>0</v>
      </c>
      <c r="CA172" s="286">
        <v>0.76892653471877614</v>
      </c>
      <c r="CB172" s="286">
        <v>1.1166386598175571</v>
      </c>
      <c r="CC172" s="287">
        <v>1.2190970404709671</v>
      </c>
      <c r="CD172" s="286">
        <v>0</v>
      </c>
      <c r="CE172" s="286">
        <v>15.71126718887426</v>
      </c>
      <c r="CF172" s="286">
        <v>21.266386528534081</v>
      </c>
      <c r="CG172" s="287">
        <v>22.512986551697249</v>
      </c>
      <c r="CH172" s="288">
        <v>0</v>
      </c>
      <c r="CI172" s="286">
        <v>1.6978411413117247</v>
      </c>
      <c r="CJ172" s="286">
        <v>200.63055353648085</v>
      </c>
      <c r="CK172" s="287"/>
      <c r="CL172" s="288"/>
      <c r="CM172" s="286"/>
      <c r="CN172" s="287"/>
      <c r="CO172" s="289"/>
      <c r="CP172" s="290"/>
      <c r="CQ172" s="289"/>
      <c r="CR172" s="290"/>
      <c r="CS172" s="284"/>
      <c r="CT172" s="147"/>
      <c r="CU172" s="291"/>
      <c r="CV172" s="292"/>
    </row>
    <row r="173" spans="2:100">
      <c r="B173">
        <v>115</v>
      </c>
      <c r="C173" s="243">
        <v>0.93306595218989097</v>
      </c>
      <c r="D173" s="592">
        <v>6.0688965215162163E-2</v>
      </c>
      <c r="E173" s="245">
        <v>6.1236810674879516E-3</v>
      </c>
      <c r="F173" s="243">
        <v>4.147995650143432E-3</v>
      </c>
      <c r="G173" s="245">
        <v>5.6332269319178362E-3</v>
      </c>
      <c r="H173" s="243">
        <v>6.9938581904131492E-2</v>
      </c>
      <c r="I173" s="245">
        <v>9.4980789854220704E-2</v>
      </c>
      <c r="J173" s="242">
        <v>4.9378543087482754E-2</v>
      </c>
      <c r="K173" s="242">
        <v>22.875445826237669</v>
      </c>
      <c r="L173" s="242">
        <v>5.0251256281407036E-3</v>
      </c>
      <c r="M173" s="243">
        <v>98.127311292338334</v>
      </c>
      <c r="N173" s="592">
        <v>27.977473983200465</v>
      </c>
      <c r="O173" s="245">
        <v>0.47670762447675863</v>
      </c>
      <c r="P173" s="245">
        <v>1.4399314209597096</v>
      </c>
      <c r="Q173" s="254">
        <v>49.697992010585139</v>
      </c>
      <c r="R173" s="255">
        <v>0</v>
      </c>
      <c r="S173" s="256">
        <v>0</v>
      </c>
      <c r="T173" s="257">
        <v>0</v>
      </c>
      <c r="U173" s="255">
        <v>7.1457206436332825E-3</v>
      </c>
      <c r="V173" s="256">
        <v>9.704317307151553E-3</v>
      </c>
      <c r="W173" s="257">
        <v>5.166455269658999E-2</v>
      </c>
      <c r="X173" s="255">
        <v>1.4249329015496623E-2</v>
      </c>
      <c r="Y173" s="256">
        <v>1.9351443622916582E-2</v>
      </c>
      <c r="Z173" s="257">
        <v>5.1360075122873231E-2</v>
      </c>
      <c r="AA173" s="255">
        <v>2.1326611605243427E-2</v>
      </c>
      <c r="AB173" s="256">
        <v>2.8962817947278841E-2</v>
      </c>
      <c r="AC173" s="257">
        <v>5.1169736061878648E-2</v>
      </c>
      <c r="AD173" s="255">
        <v>2.8375242325361566E-2</v>
      </c>
      <c r="AE173" s="256">
        <v>3.8535281313854433E-2</v>
      </c>
      <c r="AF173" s="257">
        <v>5.0962579065109523E-2</v>
      </c>
      <c r="AG173" s="255">
        <v>3.5392912824874272E-2</v>
      </c>
      <c r="AH173" s="256">
        <v>4.8065698843538507E-2</v>
      </c>
      <c r="AI173" s="257">
        <v>5.0738732370179944E-2</v>
      </c>
      <c r="AJ173" s="255">
        <v>4.2377345693620318E-2</v>
      </c>
      <c r="AK173" s="256">
        <v>5.7550977676709865E-2</v>
      </c>
      <c r="AL173" s="257">
        <v>5.0498419683483495E-2</v>
      </c>
      <c r="AM173" s="255">
        <v>4.932630073939772E-2</v>
      </c>
      <c r="AN173" s="256">
        <v>6.6988075497968674E-2</v>
      </c>
      <c r="AO173" s="257">
        <v>5.0241910096034542E-2</v>
      </c>
      <c r="AP173" s="255">
        <v>5.6237581091635333E-2</v>
      </c>
      <c r="AQ173" s="256">
        <v>7.637400882528865E-2</v>
      </c>
      <c r="AR173" s="257">
        <v>4.9969516829240876E-2</v>
      </c>
      <c r="AS173" s="255">
        <v>6.3109039088481603E-2</v>
      </c>
      <c r="AT173" s="256">
        <v>8.5705861005036743E-2</v>
      </c>
      <c r="AU173" s="257">
        <v>4.9681595668979547E-2</v>
      </c>
      <c r="AV173" s="255">
        <v>6.9938581904131492E-2</v>
      </c>
      <c r="AW173" s="256">
        <v>9.4980789854220704E-2</v>
      </c>
      <c r="AX173" s="257">
        <v>4.9378543087482754E-2</v>
      </c>
      <c r="AY173" s="243">
        <v>0</v>
      </c>
      <c r="AZ173" s="244">
        <v>0</v>
      </c>
      <c r="BA173" s="244">
        <v>0</v>
      </c>
      <c r="BB173" s="244">
        <v>0</v>
      </c>
      <c r="BC173" s="244">
        <v>0</v>
      </c>
      <c r="BD173" s="244">
        <v>0</v>
      </c>
      <c r="BE173" s="244">
        <v>0</v>
      </c>
      <c r="BF173" s="244">
        <v>0</v>
      </c>
      <c r="BG173" s="244">
        <v>0</v>
      </c>
      <c r="BH173" s="245">
        <v>0</v>
      </c>
      <c r="BK173">
        <v>115</v>
      </c>
      <c r="BL173" s="281">
        <v>0.42713567839196043</v>
      </c>
      <c r="BM173" s="281">
        <v>7621.8090452261422</v>
      </c>
      <c r="BN173" s="282">
        <v>6515.0351758794168</v>
      </c>
      <c r="BO173" s="282">
        <v>148.05527638191057</v>
      </c>
      <c r="BP173" s="282">
        <v>0</v>
      </c>
      <c r="BQ173" s="283">
        <v>0</v>
      </c>
      <c r="BR173" s="284"/>
      <c r="BS173" s="147"/>
      <c r="BT173" s="285">
        <v>0.92694227112240368</v>
      </c>
      <c r="BU173" s="288">
        <v>3.2015139099711293E-2</v>
      </c>
      <c r="BV173" s="287">
        <v>0.80145406309422207</v>
      </c>
      <c r="BW173" s="288">
        <v>0</v>
      </c>
      <c r="BX173" s="286">
        <v>99.686147890554224</v>
      </c>
      <c r="BY173" s="287">
        <v>0.31385210944576802</v>
      </c>
      <c r="BZ173" s="288">
        <v>0</v>
      </c>
      <c r="CA173" s="286">
        <v>0.7687887952674749</v>
      </c>
      <c r="CB173" s="286">
        <v>1.1167445885907104</v>
      </c>
      <c r="CC173" s="287">
        <v>1.2190602482053405</v>
      </c>
      <c r="CD173" s="286">
        <v>0</v>
      </c>
      <c r="CE173" s="286">
        <v>15.710176907765748</v>
      </c>
      <c r="CF173" s="286">
        <v>21.269496973090547</v>
      </c>
      <c r="CG173" s="287">
        <v>22.514210919129766</v>
      </c>
      <c r="CH173" s="288">
        <v>0</v>
      </c>
      <c r="CI173" s="286">
        <v>1.6923647516136626</v>
      </c>
      <c r="CJ173" s="286">
        <v>201.25303010110113</v>
      </c>
      <c r="CK173" s="287"/>
      <c r="CL173" s="288"/>
      <c r="CM173" s="286"/>
      <c r="CN173" s="287"/>
      <c r="CO173" s="289"/>
      <c r="CP173" s="290"/>
      <c r="CQ173" s="289"/>
      <c r="CR173" s="290"/>
      <c r="CS173" s="284"/>
      <c r="CT173" s="147"/>
      <c r="CU173" s="291"/>
      <c r="CV173" s="292"/>
    </row>
    <row r="174" spans="2:100">
      <c r="B174">
        <v>116</v>
      </c>
      <c r="C174" s="243">
        <v>0.93005504620431811</v>
      </c>
      <c r="D174" s="592">
        <v>6.2994332098676165E-2</v>
      </c>
      <c r="E174" s="245">
        <v>6.1439996698112731E-3</v>
      </c>
      <c r="F174" s="243">
        <v>4.294073584056677E-3</v>
      </c>
      <c r="G174" s="245">
        <v>5.8314334753497539E-3</v>
      </c>
      <c r="H174" s="243">
        <v>7.2401574734180504E-2</v>
      </c>
      <c r="I174" s="245">
        <v>9.832271345803853E-2</v>
      </c>
      <c r="J174" s="242">
        <v>5.1086568689917587E-2</v>
      </c>
      <c r="K174" s="242">
        <v>23.028520477223179</v>
      </c>
      <c r="L174" s="242">
        <v>5.0251256281407036E-3</v>
      </c>
      <c r="M174" s="243">
        <v>97.520378787324006</v>
      </c>
      <c r="N174" s="592">
        <v>27.867353151325485</v>
      </c>
      <c r="O174" s="245">
        <v>0.47311387637876007</v>
      </c>
      <c r="P174" s="245">
        <v>1.4495669490005954</v>
      </c>
      <c r="Q174" s="254">
        <v>51.380976537765129</v>
      </c>
      <c r="R174" s="255">
        <v>0</v>
      </c>
      <c r="S174" s="256">
        <v>0</v>
      </c>
      <c r="T174" s="257">
        <v>0</v>
      </c>
      <c r="U174" s="255">
        <v>7.4000577677382096E-3</v>
      </c>
      <c r="V174" s="256">
        <v>1.0049418982136614E-2</v>
      </c>
      <c r="W174" s="257">
        <v>5.3501830179242767E-2</v>
      </c>
      <c r="X174" s="255">
        <v>1.4755674513188072E-2</v>
      </c>
      <c r="Y174" s="256">
        <v>2.0038486212031897E-2</v>
      </c>
      <c r="Z174" s="257">
        <v>5.3180525116216237E-2</v>
      </c>
      <c r="AA174" s="255">
        <v>2.2083918786498555E-2</v>
      </c>
      <c r="AB174" s="256">
        <v>2.9990381104934797E-2</v>
      </c>
      <c r="AC174" s="257">
        <v>5.2982624315715508E-2</v>
      </c>
      <c r="AD174" s="255">
        <v>2.9382201152440418E-2</v>
      </c>
      <c r="AE174" s="256">
        <v>3.9901587158628363E-2</v>
      </c>
      <c r="AF174" s="257">
        <v>5.2766002104079418E-2</v>
      </c>
      <c r="AG174" s="255">
        <v>3.664795138477233E-2</v>
      </c>
      <c r="AH174" s="256">
        <v>4.9768613957066048E-2</v>
      </c>
      <c r="AI174" s="257">
        <v>5.2530797360765678E-2</v>
      </c>
      <c r="AJ174" s="255">
        <v>4.3878633527936757E-2</v>
      </c>
      <c r="AK174" s="256">
        <v>5.9588017624440701E-2</v>
      </c>
      <c r="AL174" s="257">
        <v>5.227725786009732E-2</v>
      </c>
      <c r="AM174" s="255">
        <v>5.107175338634283E-2</v>
      </c>
      <c r="AN174" s="256">
        <v>6.9356410995772971E-2</v>
      </c>
      <c r="AO174" s="257">
        <v>5.2005685523318065E-2</v>
      </c>
      <c r="AP174" s="255">
        <v>5.8224865806744693E-2</v>
      </c>
      <c r="AQ174" s="256">
        <v>7.9070473506519384E-2</v>
      </c>
      <c r="AR174" s="257">
        <v>5.1716434922689E-2</v>
      </c>
      <c r="AS174" s="255">
        <v>6.533558169815934E-2</v>
      </c>
      <c r="AT174" s="256">
        <v>8.8726960725754145E-2</v>
      </c>
      <c r="AU174" s="257">
        <v>5.1409911383919926E-2</v>
      </c>
      <c r="AV174" s="255">
        <v>7.2401574734180504E-2</v>
      </c>
      <c r="AW174" s="256">
        <v>9.832271345803853E-2</v>
      </c>
      <c r="AX174" s="257">
        <v>5.1086568689917587E-2</v>
      </c>
      <c r="AY174" s="243">
        <v>0</v>
      </c>
      <c r="AZ174" s="244">
        <v>0</v>
      </c>
      <c r="BA174" s="244">
        <v>0</v>
      </c>
      <c r="BB174" s="244">
        <v>0</v>
      </c>
      <c r="BC174" s="244">
        <v>0</v>
      </c>
      <c r="BD174" s="244">
        <v>0</v>
      </c>
      <c r="BE174" s="244">
        <v>0</v>
      </c>
      <c r="BF174" s="244">
        <v>0</v>
      </c>
      <c r="BG174" s="244">
        <v>0</v>
      </c>
      <c r="BH174" s="245">
        <v>0</v>
      </c>
      <c r="BK174">
        <v>116</v>
      </c>
      <c r="BL174" s="281">
        <v>0.42211055276381976</v>
      </c>
      <c r="BM174" s="281">
        <v>7532.1407035175998</v>
      </c>
      <c r="BN174" s="282">
        <v>6482.6582914573064</v>
      </c>
      <c r="BO174" s="282">
        <v>147.748743718594</v>
      </c>
      <c r="BP174" s="282">
        <v>0</v>
      </c>
      <c r="BQ174" s="283">
        <v>0</v>
      </c>
      <c r="BR174" s="284"/>
      <c r="BS174" s="147"/>
      <c r="BT174" s="285">
        <v>0.92391104653450762</v>
      </c>
      <c r="BU174" s="288">
        <v>3.1914580683542249E-2</v>
      </c>
      <c r="BV174" s="287">
        <v>0.80171181750909559</v>
      </c>
      <c r="BW174" s="288">
        <v>0</v>
      </c>
      <c r="BX174" s="286">
        <v>99.673231002959199</v>
      </c>
      <c r="BY174" s="287">
        <v>0.32676899704079904</v>
      </c>
      <c r="BZ174" s="288">
        <v>0</v>
      </c>
      <c r="CA174" s="286">
        <v>0.76865087574097413</v>
      </c>
      <c r="CB174" s="286">
        <v>1.116850262963079</v>
      </c>
      <c r="CC174" s="287">
        <v>1.2190234452420423</v>
      </c>
      <c r="CD174" s="286">
        <v>0</v>
      </c>
      <c r="CE174" s="286">
        <v>15.709083248300708</v>
      </c>
      <c r="CF174" s="286">
        <v>21.272603216932517</v>
      </c>
      <c r="CG174" s="287">
        <v>22.515435360549784</v>
      </c>
      <c r="CH174" s="288">
        <v>0</v>
      </c>
      <c r="CI174" s="286">
        <v>1.686907116531126</v>
      </c>
      <c r="CJ174" s="286">
        <v>201.87910886000472</v>
      </c>
      <c r="CK174" s="287"/>
      <c r="CL174" s="288"/>
      <c r="CM174" s="286"/>
      <c r="CN174" s="287"/>
      <c r="CO174" s="289"/>
      <c r="CP174" s="290"/>
      <c r="CQ174" s="289"/>
      <c r="CR174" s="290"/>
      <c r="CS174" s="284"/>
      <c r="CT174" s="147"/>
      <c r="CU174" s="291"/>
      <c r="CV174" s="292"/>
    </row>
    <row r="175" spans="2:100">
      <c r="B175">
        <v>117</v>
      </c>
      <c r="C175" s="243">
        <v>0.92705281751213309</v>
      </c>
      <c r="D175" s="592">
        <v>6.5248569175576296E-2</v>
      </c>
      <c r="E175" s="245">
        <v>6.1632858344123909E-3</v>
      </c>
      <c r="F175" s="243">
        <v>4.435653964610973E-3</v>
      </c>
      <c r="G175" s="245">
        <v>6.0235204091115468E-3</v>
      </c>
      <c r="H175" s="243">
        <v>7.4788735154918254E-2</v>
      </c>
      <c r="I175" s="245">
        <v>0.10156145546326413</v>
      </c>
      <c r="J175" s="242">
        <v>5.274142494751604E-2</v>
      </c>
      <c r="K175" s="242">
        <v>23.178389621333672</v>
      </c>
      <c r="L175" s="242">
        <v>5.0251256281407036E-3</v>
      </c>
      <c r="M175" s="243">
        <v>96.935015413393899</v>
      </c>
      <c r="N175" s="592">
        <v>27.76270715957369</v>
      </c>
      <c r="O175" s="245">
        <v>0.46959987859389551</v>
      </c>
      <c r="P175" s="245">
        <v>1.4590007012988575</v>
      </c>
      <c r="Q175" s="254">
        <v>53.007734837065328</v>
      </c>
      <c r="R175" s="255">
        <v>0</v>
      </c>
      <c r="S175" s="256">
        <v>0</v>
      </c>
      <c r="T175" s="257">
        <v>0</v>
      </c>
      <c r="U175" s="255">
        <v>7.6464699430535991E-3</v>
      </c>
      <c r="V175" s="256">
        <v>1.0383737804416603E-2</v>
      </c>
      <c r="W175" s="257">
        <v>5.5281701123736475E-2</v>
      </c>
      <c r="X175" s="255">
        <v>1.5246245326426376E-2</v>
      </c>
      <c r="Y175" s="256">
        <v>2.0704065425019066E-2</v>
      </c>
      <c r="Z175" s="257">
        <v>5.4944113359499641E-2</v>
      </c>
      <c r="AA175" s="255">
        <v>2.2817702811998804E-2</v>
      </c>
      <c r="AB175" s="256">
        <v>3.0985937963979804E-2</v>
      </c>
      <c r="AC175" s="257">
        <v>5.4739383389420602E-2</v>
      </c>
      <c r="AD175" s="255">
        <v>3.0357978892758663E-2</v>
      </c>
      <c r="AE175" s="256">
        <v>4.122546684183178E-2</v>
      </c>
      <c r="AF175" s="257">
        <v>5.4513951116188147E-2</v>
      </c>
      <c r="AG175" s="255">
        <v>3.7864230560742645E-2</v>
      </c>
      <c r="AH175" s="256">
        <v>5.1418791316364947E-2</v>
      </c>
      <c r="AI175" s="257">
        <v>5.4267964741822577E-2</v>
      </c>
      <c r="AJ175" s="255">
        <v>4.5333652381113927E-2</v>
      </c>
      <c r="AK175" s="256">
        <v>6.1562101668847673E-2</v>
      </c>
      <c r="AL175" s="257">
        <v>5.4001695908841997E-2</v>
      </c>
      <c r="AM175" s="255">
        <v>5.2763485331090723E-2</v>
      </c>
      <c r="AN175" s="256">
        <v>7.1651651207097045E-2</v>
      </c>
      <c r="AO175" s="257">
        <v>5.37154801625861E-2</v>
      </c>
      <c r="AP175" s="255">
        <v>6.0151025395589572E-2</v>
      </c>
      <c r="AQ175" s="256">
        <v>8.1683767938173224E-2</v>
      </c>
      <c r="AR175" s="257">
        <v>5.3409715192336504E-2</v>
      </c>
      <c r="AS175" s="255">
        <v>6.7493631849172869E-2</v>
      </c>
      <c r="AT175" s="256">
        <v>9.1654865815081685E-2</v>
      </c>
      <c r="AU175" s="257">
        <v>5.3084858563389667E-2</v>
      </c>
      <c r="AV175" s="255">
        <v>7.4788735154918254E-2</v>
      </c>
      <c r="AW175" s="256">
        <v>0.10156145546326413</v>
      </c>
      <c r="AX175" s="257">
        <v>5.274142494751604E-2</v>
      </c>
      <c r="AY175" s="243">
        <v>0</v>
      </c>
      <c r="AZ175" s="244">
        <v>0</v>
      </c>
      <c r="BA175" s="244">
        <v>0</v>
      </c>
      <c r="BB175" s="244">
        <v>0</v>
      </c>
      <c r="BC175" s="244">
        <v>0</v>
      </c>
      <c r="BD175" s="244">
        <v>0</v>
      </c>
      <c r="BE175" s="244">
        <v>0</v>
      </c>
      <c r="BF175" s="244">
        <v>0</v>
      </c>
      <c r="BG175" s="244">
        <v>0</v>
      </c>
      <c r="BH175" s="245">
        <v>0</v>
      </c>
      <c r="BK175">
        <v>117</v>
      </c>
      <c r="BL175" s="281">
        <v>0.41708542713567909</v>
      </c>
      <c r="BM175" s="281">
        <v>7442.4723618090575</v>
      </c>
      <c r="BN175" s="282">
        <v>6450.281407035196</v>
      </c>
      <c r="BO175" s="282">
        <v>147.44221105527743</v>
      </c>
      <c r="BP175" s="282">
        <v>0</v>
      </c>
      <c r="BQ175" s="283">
        <v>0</v>
      </c>
      <c r="BR175" s="284"/>
      <c r="BS175" s="147"/>
      <c r="BT175" s="285">
        <v>0.92088953167772147</v>
      </c>
      <c r="BU175" s="288">
        <v>3.1814315750395908E-2</v>
      </c>
      <c r="BV175" s="287">
        <v>0.80196911714761632</v>
      </c>
      <c r="BW175" s="288">
        <v>0</v>
      </c>
      <c r="BX175" s="286">
        <v>99.660363911459939</v>
      </c>
      <c r="BY175" s="287">
        <v>0.339636088540059</v>
      </c>
      <c r="BZ175" s="288">
        <v>0</v>
      </c>
      <c r="CA175" s="286">
        <v>0.76851277447520838</v>
      </c>
      <c r="CB175" s="286">
        <v>1.1169556820313027</v>
      </c>
      <c r="CC175" s="287">
        <v>1.2189866315524449</v>
      </c>
      <c r="CD175" s="286">
        <v>0</v>
      </c>
      <c r="CE175" s="286">
        <v>15.707986180748904</v>
      </c>
      <c r="CF175" s="286">
        <v>21.275705240655753</v>
      </c>
      <c r="CG175" s="287">
        <v>22.516659875745166</v>
      </c>
      <c r="CH175" s="288">
        <v>0</v>
      </c>
      <c r="CI175" s="286">
        <v>1.6814681132367428</v>
      </c>
      <c r="CJ175" s="286">
        <v>202.50880753079363</v>
      </c>
      <c r="CK175" s="287"/>
      <c r="CL175" s="288"/>
      <c r="CM175" s="286"/>
      <c r="CN175" s="287"/>
      <c r="CO175" s="289"/>
      <c r="CP175" s="290"/>
      <c r="CQ175" s="289"/>
      <c r="CR175" s="290"/>
      <c r="CS175" s="284"/>
      <c r="CT175" s="147"/>
      <c r="CU175" s="291"/>
      <c r="CV175" s="292"/>
    </row>
    <row r="176" spans="2:100">
      <c r="B176">
        <v>118</v>
      </c>
      <c r="C176" s="243">
        <v>0.924059223128192</v>
      </c>
      <c r="D176" s="592">
        <v>6.7451618814217712E-2</v>
      </c>
      <c r="E176" s="245">
        <v>6.1815272423638712E-3</v>
      </c>
      <c r="F176" s="243">
        <v>4.5727585575866527E-3</v>
      </c>
      <c r="G176" s="245">
        <v>6.2095178378900251E-3</v>
      </c>
      <c r="H176" s="243">
        <v>7.7100430155112046E-2</v>
      </c>
      <c r="I176" s="245">
        <v>0.10469752345941347</v>
      </c>
      <c r="J176" s="242">
        <v>5.4343739876242067E-2</v>
      </c>
      <c r="K176" s="242">
        <v>23.324954593345918</v>
      </c>
      <c r="L176" s="242">
        <v>5.0251256281407036E-3</v>
      </c>
      <c r="M176" s="243">
        <v>96.370973763786836</v>
      </c>
      <c r="N176" s="592">
        <v>27.663505614848042</v>
      </c>
      <c r="O176" s="245">
        <v>0.46616653775462252</v>
      </c>
      <c r="P176" s="245">
        <v>1.468226467214661</v>
      </c>
      <c r="Q176" s="254">
        <v>54.57892117373931</v>
      </c>
      <c r="R176" s="255">
        <v>0</v>
      </c>
      <c r="S176" s="256">
        <v>0</v>
      </c>
      <c r="T176" s="257">
        <v>0</v>
      </c>
      <c r="U176" s="255">
        <v>7.8849526724572901E-3</v>
      </c>
      <c r="V176" s="256">
        <v>1.0707268633133895E-2</v>
      </c>
      <c r="W176" s="257">
        <v>5.70041381607981E-2</v>
      </c>
      <c r="X176" s="255">
        <v>1.5721041671336065E-2</v>
      </c>
      <c r="Y176" s="256">
        <v>2.1348183478091674E-2</v>
      </c>
      <c r="Z176" s="257">
        <v>5.6650879020836035E-2</v>
      </c>
      <c r="AA176" s="255">
        <v>2.3527975456563849E-2</v>
      </c>
      <c r="AB176" s="256">
        <v>3.1949507380962E-2</v>
      </c>
      <c r="AC176" s="257">
        <v>5.6440101874021438E-2</v>
      </c>
      <c r="AD176" s="255">
        <v>3.1302606797926194E-2</v>
      </c>
      <c r="AE176" s="256">
        <v>4.2506966601526475E-2</v>
      </c>
      <c r="AF176" s="257">
        <v>5.6206571877136478E-2</v>
      </c>
      <c r="AG176" s="255">
        <v>3.9041810011961713E-2</v>
      </c>
      <c r="AH176" s="256">
        <v>5.3016316658698992E-2</v>
      </c>
      <c r="AI176" s="257">
        <v>5.5950444802084949E-2</v>
      </c>
      <c r="AJ176" s="255">
        <v>4.6742500202984635E-2</v>
      </c>
      <c r="AK176" s="256">
        <v>6.3473368458621282E-2</v>
      </c>
      <c r="AL176" s="257">
        <v>5.5672015523432559E-2</v>
      </c>
      <c r="AM176" s="255">
        <v>5.4401643590975456E-2</v>
      </c>
      <c r="AN176" s="256">
        <v>7.3874002319287396E-2</v>
      </c>
      <c r="AO176" s="257">
        <v>5.5371653581064266E-2</v>
      </c>
      <c r="AP176" s="255">
        <v>6.2016267557302739E-2</v>
      </c>
      <c r="AQ176" s="256">
        <v>8.4214181612000505E-2</v>
      </c>
      <c r="AR176" s="257">
        <v>5.5049801140248503E-2</v>
      </c>
      <c r="AS176" s="255">
        <v>6.9583470320375387E-2</v>
      </c>
      <c r="AT176" s="256">
        <v>9.4489965900298747E-2</v>
      </c>
      <c r="AU176" s="257">
        <v>5.4706970316225775E-2</v>
      </c>
      <c r="AV176" s="255">
        <v>7.7100430155112046E-2</v>
      </c>
      <c r="AW176" s="256">
        <v>0.10469752345941347</v>
      </c>
      <c r="AX176" s="257">
        <v>5.4343739876242067E-2</v>
      </c>
      <c r="AY176" s="243">
        <v>0</v>
      </c>
      <c r="AZ176" s="244">
        <v>0</v>
      </c>
      <c r="BA176" s="244">
        <v>0</v>
      </c>
      <c r="BB176" s="244">
        <v>0</v>
      </c>
      <c r="BC176" s="244">
        <v>0</v>
      </c>
      <c r="BD176" s="244">
        <v>0</v>
      </c>
      <c r="BE176" s="244">
        <v>0</v>
      </c>
      <c r="BF176" s="244">
        <v>0</v>
      </c>
      <c r="BG176" s="244">
        <v>0</v>
      </c>
      <c r="BH176" s="245">
        <v>0</v>
      </c>
      <c r="BK176">
        <v>118</v>
      </c>
      <c r="BL176" s="281">
        <v>0.41206030150753842</v>
      </c>
      <c r="BM176" s="281">
        <v>7352.8040201005151</v>
      </c>
      <c r="BN176" s="282">
        <v>6417.9045226130856</v>
      </c>
      <c r="BO176" s="282">
        <v>147.13567839196085</v>
      </c>
      <c r="BP176" s="282">
        <v>0</v>
      </c>
      <c r="BQ176" s="283">
        <v>0</v>
      </c>
      <c r="BR176" s="284"/>
      <c r="BS176" s="147"/>
      <c r="BT176" s="285">
        <v>0.9178776958858289</v>
      </c>
      <c r="BU176" s="288">
        <v>3.1714343568941983E-2</v>
      </c>
      <c r="BV176" s="287">
        <v>0.8022259610179675</v>
      </c>
      <c r="BW176" s="288">
        <v>0</v>
      </c>
      <c r="BX176" s="286">
        <v>99.647546414210609</v>
      </c>
      <c r="BY176" s="287">
        <v>0.3524535857893889</v>
      </c>
      <c r="BZ176" s="288">
        <v>0</v>
      </c>
      <c r="CA176" s="286">
        <v>0.76837448979528411</v>
      </c>
      <c r="CB176" s="286">
        <v>1.1170608448798893</v>
      </c>
      <c r="CC176" s="287">
        <v>1.218949807107824</v>
      </c>
      <c r="CD176" s="286">
        <v>0</v>
      </c>
      <c r="CE176" s="286">
        <v>15.706885675179151</v>
      </c>
      <c r="CF176" s="286">
        <v>21.278803024615069</v>
      </c>
      <c r="CG176" s="287">
        <v>22.517884464502551</v>
      </c>
      <c r="CH176" s="288">
        <v>0</v>
      </c>
      <c r="CI176" s="286">
        <v>1.6760476198207794</v>
      </c>
      <c r="CJ176" s="286">
        <v>203.14214391853517</v>
      </c>
      <c r="CK176" s="287"/>
      <c r="CL176" s="288"/>
      <c r="CM176" s="286"/>
      <c r="CN176" s="287"/>
      <c r="CO176" s="289"/>
      <c r="CP176" s="290"/>
      <c r="CQ176" s="289"/>
      <c r="CR176" s="290"/>
      <c r="CS176" s="284"/>
      <c r="CT176" s="147"/>
      <c r="CU176" s="291"/>
      <c r="CV176" s="292"/>
    </row>
    <row r="177" spans="2:100">
      <c r="B177">
        <v>119</v>
      </c>
      <c r="C177" s="243">
        <v>0.92107421988774552</v>
      </c>
      <c r="D177" s="592">
        <v>6.9603493286820792E-2</v>
      </c>
      <c r="E177" s="245">
        <v>6.1987113663832805E-3</v>
      </c>
      <c r="F177" s="243">
        <v>4.7054165435050114E-3</v>
      </c>
      <c r="G177" s="245">
        <v>6.3894659315508751E-3</v>
      </c>
      <c r="H177" s="243">
        <v>7.9337151742095255E-2</v>
      </c>
      <c r="I177" s="245">
        <v>0.10773159474310839</v>
      </c>
      <c r="J177" s="242">
        <v>5.5894208990293848E-2</v>
      </c>
      <c r="K177" s="242">
        <v>23.46812681990825</v>
      </c>
      <c r="L177" s="242">
        <v>5.0251256281407036E-3</v>
      </c>
      <c r="M177" s="243">
        <v>95.827979832883059</v>
      </c>
      <c r="N177" s="592">
        <v>27.569709932302555</v>
      </c>
      <c r="O177" s="245">
        <v>0.46281450739100155</v>
      </c>
      <c r="P177" s="245">
        <v>1.4772386713571219</v>
      </c>
      <c r="Q177" s="254">
        <v>56.095259362007774</v>
      </c>
      <c r="R177" s="255">
        <v>0</v>
      </c>
      <c r="S177" s="256">
        <v>0</v>
      </c>
      <c r="T177" s="257">
        <v>0</v>
      </c>
      <c r="U177" s="255">
        <v>8.1155177962395318E-3</v>
      </c>
      <c r="V177" s="256">
        <v>1.1020028513212564E-2</v>
      </c>
      <c r="W177" s="257">
        <v>5.8669232035438355E-2</v>
      </c>
      <c r="X177" s="255">
        <v>1.6180095352225369E-2</v>
      </c>
      <c r="Y177" s="256">
        <v>2.1970885481964252E-2</v>
      </c>
      <c r="Z177" s="257">
        <v>5.8300971518928879E-2</v>
      </c>
      <c r="AA177" s="255">
        <v>2.4214794411114519E-2</v>
      </c>
      <c r="AB177" s="256">
        <v>3.2881170561379444E-2</v>
      </c>
      <c r="AC177" s="257">
        <v>5.8084971933560728E-2</v>
      </c>
      <c r="AD177" s="255">
        <v>3.2216175501343237E-2</v>
      </c>
      <c r="AE177" s="256">
        <v>4.3746213307050939E-2</v>
      </c>
      <c r="AF177" s="257">
        <v>5.7844107495410607E-2</v>
      </c>
      <c r="AG177" s="255">
        <v>4.0180821441503034E-2</v>
      </c>
      <c r="AH177" s="256">
        <v>5.4561373542282472E-2</v>
      </c>
      <c r="AI177" s="257">
        <v>5.7578539345926841E-2</v>
      </c>
      <c r="AJ177" s="255">
        <v>4.8105358900836032E-2</v>
      </c>
      <c r="AK177" s="256">
        <v>6.5322070634997356E-2</v>
      </c>
      <c r="AL177" s="257">
        <v>5.7288584493100661E-2</v>
      </c>
      <c r="AM177" s="255">
        <v>5.5986470355672842E-2</v>
      </c>
      <c r="AN177" s="256">
        <v>7.6023799733336755E-2</v>
      </c>
      <c r="AO177" s="257">
        <v>5.6974646381186378E-2</v>
      </c>
      <c r="AP177" s="255">
        <v>6.3820905722915378E-2</v>
      </c>
      <c r="AQ177" s="256">
        <v>8.6662147562718492E-2</v>
      </c>
      <c r="AR177" s="257">
        <v>5.6637212555972663E-2</v>
      </c>
      <c r="AS177" s="255">
        <v>7.1605493562327982E-2</v>
      </c>
      <c r="AT177" s="256">
        <v>9.7232807637382512E-2</v>
      </c>
      <c r="AU177" s="257">
        <v>5.6276851547584099E-2</v>
      </c>
      <c r="AV177" s="255">
        <v>7.9337151742095255E-2</v>
      </c>
      <c r="AW177" s="256">
        <v>0.10773159474310839</v>
      </c>
      <c r="AX177" s="257">
        <v>5.5894208990293848E-2</v>
      </c>
      <c r="AY177" s="243">
        <v>0</v>
      </c>
      <c r="AZ177" s="244">
        <v>0</v>
      </c>
      <c r="BA177" s="244">
        <v>0</v>
      </c>
      <c r="BB177" s="244">
        <v>0</v>
      </c>
      <c r="BC177" s="244">
        <v>0</v>
      </c>
      <c r="BD177" s="244">
        <v>0</v>
      </c>
      <c r="BE177" s="244">
        <v>0</v>
      </c>
      <c r="BF177" s="244">
        <v>0</v>
      </c>
      <c r="BG177" s="244">
        <v>0</v>
      </c>
      <c r="BH177" s="245">
        <v>0</v>
      </c>
      <c r="BK177">
        <v>119</v>
      </c>
      <c r="BL177" s="281">
        <v>0.40703517587939769</v>
      </c>
      <c r="BM177" s="281">
        <v>7263.1356783919728</v>
      </c>
      <c r="BN177" s="282">
        <v>6385.5276381909753</v>
      </c>
      <c r="BO177" s="282">
        <v>146.82914572864428</v>
      </c>
      <c r="BP177" s="282">
        <v>0</v>
      </c>
      <c r="BQ177" s="283">
        <v>0</v>
      </c>
      <c r="BR177" s="284"/>
      <c r="BS177" s="147"/>
      <c r="BT177" s="285">
        <v>0.91487550852136301</v>
      </c>
      <c r="BU177" s="288">
        <v>3.1614663406628732E-2</v>
      </c>
      <c r="BV177" s="287">
        <v>0.80248234811122809</v>
      </c>
      <c r="BW177" s="288">
        <v>0</v>
      </c>
      <c r="BX177" s="286">
        <v>99.634778309845089</v>
      </c>
      <c r="BY177" s="287">
        <v>0.36522169015491013</v>
      </c>
      <c r="BZ177" s="288">
        <v>0</v>
      </c>
      <c r="CA177" s="286">
        <v>0.76823602001534974</v>
      </c>
      <c r="CB177" s="286">
        <v>1.1171657505812771</v>
      </c>
      <c r="CC177" s="287">
        <v>1.2189129718793668</v>
      </c>
      <c r="CD177" s="286">
        <v>0</v>
      </c>
      <c r="CE177" s="286">
        <v>15.705781701457084</v>
      </c>
      <c r="CF177" s="286">
        <v>21.281896548924681</v>
      </c>
      <c r="CG177" s="287">
        <v>22.519109126607468</v>
      </c>
      <c r="CH177" s="288">
        <v>0</v>
      </c>
      <c r="CI177" s="286">
        <v>1.670645515284225</v>
      </c>
      <c r="CJ177" s="286">
        <v>203.77913591582669</v>
      </c>
      <c r="CK177" s="287"/>
      <c r="CL177" s="288"/>
      <c r="CM177" s="286"/>
      <c r="CN177" s="287"/>
      <c r="CO177" s="289"/>
      <c r="CP177" s="290"/>
      <c r="CQ177" s="289"/>
      <c r="CR177" s="290"/>
      <c r="CS177" s="284"/>
      <c r="CT177" s="147"/>
      <c r="CU177" s="291"/>
      <c r="CV177" s="292"/>
    </row>
    <row r="178" spans="2:100">
      <c r="B178">
        <v>120</v>
      </c>
      <c r="C178" s="243">
        <v>0.9180977654367275</v>
      </c>
      <c r="D178" s="592">
        <v>7.1704269033824361E-2</v>
      </c>
      <c r="E178" s="245">
        <v>6.2148264632702066E-3</v>
      </c>
      <c r="F178" s="243">
        <v>4.8336638930040242E-3</v>
      </c>
      <c r="G178" s="245">
        <v>6.5634140754665012E-3</v>
      </c>
      <c r="H178" s="243">
        <v>8.1499506410093597E-2</v>
      </c>
      <c r="I178" s="245">
        <v>0.11066450199191277</v>
      </c>
      <c r="J178" s="242">
        <v>5.7393585817567573E-2</v>
      </c>
      <c r="K178" s="242">
        <v>23.607827678163524</v>
      </c>
      <c r="L178" s="242">
        <v>5.0251256281407036E-3</v>
      </c>
      <c r="M178" s="243">
        <v>95.305736024635721</v>
      </c>
      <c r="N178" s="592">
        <v>27.481274115089239</v>
      </c>
      <c r="O178" s="245">
        <v>0.45954420352260689</v>
      </c>
      <c r="P178" s="245">
        <v>1.4860323646851046</v>
      </c>
      <c r="Q178" s="254">
        <v>57.557534841021095</v>
      </c>
      <c r="R178" s="255">
        <v>0</v>
      </c>
      <c r="S178" s="256">
        <v>0</v>
      </c>
      <c r="T178" s="257">
        <v>0</v>
      </c>
      <c r="U178" s="255">
        <v>8.338192600639921E-3</v>
      </c>
      <c r="V178" s="256">
        <v>1.1322055461530851E-2</v>
      </c>
      <c r="W178" s="257">
        <v>6.0277185144688092E-2</v>
      </c>
      <c r="X178" s="255">
        <v>1.6623467961726941E-2</v>
      </c>
      <c r="Y178" s="256">
        <v>2.2572256991426315E-2</v>
      </c>
      <c r="Z178" s="257">
        <v>5.9894643939579537E-2</v>
      </c>
      <c r="AA178" s="255">
        <v>2.4878260556337014E-2</v>
      </c>
      <c r="AB178" s="256">
        <v>3.3781067348293899E-2</v>
      </c>
      <c r="AC178" s="257">
        <v>5.9674282591904243E-2</v>
      </c>
      <c r="AD178" s="255">
        <v>3.3098831336093412E-2</v>
      </c>
      <c r="AE178" s="256">
        <v>4.4943409447071855E-2</v>
      </c>
      <c r="AF178" s="257">
        <v>5.9426891488253766E-2</v>
      </c>
      <c r="AG178" s="255">
        <v>4.1281463919005036E-2</v>
      </c>
      <c r="AH178" s="256">
        <v>5.6054236980360647E-2</v>
      </c>
      <c r="AI178" s="257">
        <v>5.9152634484992424E-2</v>
      </c>
      <c r="AJ178" s="255">
        <v>4.9422488618261644E-2</v>
      </c>
      <c r="AK178" s="256">
        <v>6.7108567046039611E-2</v>
      </c>
      <c r="AL178" s="257">
        <v>5.8851849143771139E-2</v>
      </c>
      <c r="AM178" s="255">
        <v>5.7518296165487127E-2</v>
      </c>
      <c r="AN178" s="256">
        <v>7.8101498781453407E-2</v>
      </c>
      <c r="AO178" s="257">
        <v>5.8524972232282368E-2</v>
      </c>
      <c r="AP178" s="255">
        <v>6.5565351069105091E-2</v>
      </c>
      <c r="AQ178" s="256">
        <v>8.9028231502133667E-2</v>
      </c>
      <c r="AR178" s="257">
        <v>5.8172537086469314E-2</v>
      </c>
      <c r="AS178" s="255">
        <v>7.3560204476210797E-2</v>
      </c>
      <c r="AT178" s="256">
        <v>9.9884082166354693E-2</v>
      </c>
      <c r="AU178" s="257">
        <v>5.7795170021350581E-2</v>
      </c>
      <c r="AV178" s="255">
        <v>8.1499506410093597E-2</v>
      </c>
      <c r="AW178" s="256">
        <v>0.11066450199191277</v>
      </c>
      <c r="AX178" s="257">
        <v>5.7393585817567573E-2</v>
      </c>
      <c r="AY178" s="243">
        <v>0</v>
      </c>
      <c r="AZ178" s="244">
        <v>0</v>
      </c>
      <c r="BA178" s="244">
        <v>0</v>
      </c>
      <c r="BB178" s="244">
        <v>0</v>
      </c>
      <c r="BC178" s="244">
        <v>0</v>
      </c>
      <c r="BD178" s="244">
        <v>0</v>
      </c>
      <c r="BE178" s="244">
        <v>0</v>
      </c>
      <c r="BF178" s="244">
        <v>0</v>
      </c>
      <c r="BG178" s="244">
        <v>0</v>
      </c>
      <c r="BH178" s="245">
        <v>0</v>
      </c>
      <c r="BK178">
        <v>120</v>
      </c>
      <c r="BL178" s="281">
        <v>0.40201005025125702</v>
      </c>
      <c r="BM178" s="281">
        <v>7173.4673366834304</v>
      </c>
      <c r="BN178" s="282">
        <v>6353.1507537688649</v>
      </c>
      <c r="BO178" s="282">
        <v>146.5226130653277</v>
      </c>
      <c r="BP178" s="282">
        <v>0</v>
      </c>
      <c r="BQ178" s="283">
        <v>0</v>
      </c>
      <c r="BR178" s="284"/>
      <c r="BS178" s="147"/>
      <c r="BT178" s="285">
        <v>0.91188293897345807</v>
      </c>
      <c r="BU178" s="288">
        <v>3.1515274529623757E-2</v>
      </c>
      <c r="BV178" s="287">
        <v>0.80273827740083115</v>
      </c>
      <c r="BW178" s="288">
        <v>0</v>
      </c>
      <c r="BX178" s="286">
        <v>99.622059397464852</v>
      </c>
      <c r="BY178" s="287">
        <v>0.37794060253515183</v>
      </c>
      <c r="BZ178" s="288">
        <v>0</v>
      </c>
      <c r="CA178" s="286">
        <v>0.76809736343847956</v>
      </c>
      <c r="CB178" s="286">
        <v>1.1172703981955059</v>
      </c>
      <c r="CC178" s="287">
        <v>1.2188761258381693</v>
      </c>
      <c r="CD178" s="286">
        <v>0</v>
      </c>
      <c r="CE178" s="286">
        <v>15.704674229242908</v>
      </c>
      <c r="CF178" s="286">
        <v>21.284985793452453</v>
      </c>
      <c r="CG178" s="287">
        <v>22.520333861844296</v>
      </c>
      <c r="CH178" s="288">
        <v>0</v>
      </c>
      <c r="CI178" s="286">
        <v>1.6652616795301896</v>
      </c>
      <c r="CJ178" s="286">
        <v>204.41980150222145</v>
      </c>
      <c r="CK178" s="287"/>
      <c r="CL178" s="288"/>
      <c r="CM178" s="286"/>
      <c r="CN178" s="287"/>
      <c r="CO178" s="289"/>
      <c r="CP178" s="290"/>
      <c r="CQ178" s="289"/>
      <c r="CR178" s="290"/>
      <c r="CS178" s="284"/>
      <c r="CT178" s="147"/>
      <c r="CU178" s="291"/>
      <c r="CV178" s="292"/>
    </row>
    <row r="179" spans="2:100">
      <c r="B179">
        <v>121</v>
      </c>
      <c r="C179" s="243">
        <v>0.91512981885487643</v>
      </c>
      <c r="D179" s="592">
        <v>7.3754081520703244E-2</v>
      </c>
      <c r="E179" s="245">
        <v>6.2298621983841729E-3</v>
      </c>
      <c r="F179" s="243">
        <v>4.9575427784954952E-3</v>
      </c>
      <c r="G179" s="245">
        <v>6.7314200702597634E-3</v>
      </c>
      <c r="H179" s="243">
        <v>8.3588205220285983E-2</v>
      </c>
      <c r="I179" s="245">
        <v>0.11349721977136062</v>
      </c>
      <c r="J179" s="242">
        <v>5.884267327634967E-2</v>
      </c>
      <c r="K179" s="242">
        <v>23.743988328680437</v>
      </c>
      <c r="L179" s="242">
        <v>5.0251256281407036E-3</v>
      </c>
      <c r="M179" s="243">
        <v>94.803923930898236</v>
      </c>
      <c r="N179" s="592">
        <v>27.39814547894774</v>
      </c>
      <c r="O179" s="245">
        <v>0.45635582006034092</v>
      </c>
      <c r="P179" s="245">
        <v>1.4946032139908145</v>
      </c>
      <c r="Q179" s="254">
        <v>58.966587363295176</v>
      </c>
      <c r="R179" s="255">
        <v>0</v>
      </c>
      <c r="S179" s="256">
        <v>0</v>
      </c>
      <c r="T179" s="257">
        <v>0</v>
      </c>
      <c r="U179" s="255">
        <v>8.5530189306173322E-3</v>
      </c>
      <c r="V179" s="256">
        <v>1.1613407259057811E-2</v>
      </c>
      <c r="W179" s="257">
        <v>6.1828305107087193E-2</v>
      </c>
      <c r="X179" s="255">
        <v>1.7051249103245264E-2</v>
      </c>
      <c r="Y179" s="256">
        <v>2.3152421585642253E-2</v>
      </c>
      <c r="Z179" s="257">
        <v>6.1432246584022229E-2</v>
      </c>
      <c r="AA179" s="255">
        <v>2.5518515288870666E-2</v>
      </c>
      <c r="AB179" s="256">
        <v>3.464939258292489E-2</v>
      </c>
      <c r="AC179" s="257">
        <v>6.1208413239181712E-2</v>
      </c>
      <c r="AD179" s="255">
        <v>3.3950772747726406E-2</v>
      </c>
      <c r="AE179" s="256">
        <v>4.609882824737413E-2</v>
      </c>
      <c r="AF179" s="257">
        <v>6.0955341165135811E-2</v>
      </c>
      <c r="AG179" s="255">
        <v>4.2343999352781131E-2</v>
      </c>
      <c r="AH179" s="256">
        <v>5.7495267279343433E-2</v>
      </c>
      <c r="AI179" s="257">
        <v>6.0673193825468333E-2</v>
      </c>
      <c r="AJ179" s="255">
        <v>5.0694222230290659E-2</v>
      </c>
      <c r="AK179" s="256">
        <v>6.8833315255979952E-2</v>
      </c>
      <c r="AL179" s="257">
        <v>6.036232726373434E-2</v>
      </c>
      <c r="AM179" s="255">
        <v>5.8997533385213762E-2</v>
      </c>
      <c r="AN179" s="256">
        <v>8.0107665847630002E-2</v>
      </c>
      <c r="AO179" s="257">
        <v>6.002321047693647E-2</v>
      </c>
      <c r="AP179" s="255">
        <v>6.7250104919569523E-2</v>
      </c>
      <c r="AQ179" s="256">
        <v>9.1313121481534879E-2</v>
      </c>
      <c r="AR179" s="257">
        <v>5.9656422472969185E-2</v>
      </c>
      <c r="AS179" s="255">
        <v>7.5448203685567219E-2</v>
      </c>
      <c r="AT179" s="256">
        <v>0.10244461323805304</v>
      </c>
      <c r="AU179" s="257">
        <v>5.9262648184686829E-2</v>
      </c>
      <c r="AV179" s="255">
        <v>8.3588205220285983E-2</v>
      </c>
      <c r="AW179" s="256">
        <v>0.11349721977136062</v>
      </c>
      <c r="AX179" s="257">
        <v>5.884267327634967E-2</v>
      </c>
      <c r="AY179" s="243">
        <v>0</v>
      </c>
      <c r="AZ179" s="244">
        <v>0</v>
      </c>
      <c r="BA179" s="244">
        <v>0</v>
      </c>
      <c r="BB179" s="244">
        <v>0</v>
      </c>
      <c r="BC179" s="244">
        <v>0</v>
      </c>
      <c r="BD179" s="244">
        <v>0</v>
      </c>
      <c r="BE179" s="244">
        <v>0</v>
      </c>
      <c r="BF179" s="244">
        <v>0</v>
      </c>
      <c r="BG179" s="244">
        <v>0</v>
      </c>
      <c r="BH179" s="245">
        <v>0</v>
      </c>
      <c r="BK179">
        <v>121</v>
      </c>
      <c r="BL179" s="281">
        <v>0.39698492462311635</v>
      </c>
      <c r="BM179" s="281">
        <v>7083.798994974888</v>
      </c>
      <c r="BN179" s="282">
        <v>6320.7738693467545</v>
      </c>
      <c r="BO179" s="282">
        <v>146.21608040201113</v>
      </c>
      <c r="BP179" s="282">
        <v>0</v>
      </c>
      <c r="BQ179" s="283">
        <v>0</v>
      </c>
      <c r="BR179" s="284"/>
      <c r="BS179" s="147"/>
      <c r="BT179" s="285">
        <v>0.90889995665649304</v>
      </c>
      <c r="BU179" s="288">
        <v>3.1416176202780831E-2</v>
      </c>
      <c r="BV179" s="287">
        <v>0.80299374784272759</v>
      </c>
      <c r="BW179" s="288">
        <v>0</v>
      </c>
      <c r="BX179" s="286">
        <v>99.609389476630554</v>
      </c>
      <c r="BY179" s="287">
        <v>0.39061052336944702</v>
      </c>
      <c r="BZ179" s="288">
        <v>0</v>
      </c>
      <c r="CA179" s="286">
        <v>0.76795851835654538</v>
      </c>
      <c r="CB179" s="286">
        <v>1.1173747867702717</v>
      </c>
      <c r="CC179" s="287">
        <v>1.2188392689552277</v>
      </c>
      <c r="CD179" s="286">
        <v>0</v>
      </c>
      <c r="CE179" s="286">
        <v>15.703563227989148</v>
      </c>
      <c r="CF179" s="286">
        <v>21.288070737820068</v>
      </c>
      <c r="CG179" s="287">
        <v>22.521558669996196</v>
      </c>
      <c r="CH179" s="288">
        <v>0</v>
      </c>
      <c r="CI179" s="286">
        <v>1.659895993357394</v>
      </c>
      <c r="CJ179" s="286">
        <v>205.0641587442588</v>
      </c>
      <c r="CK179" s="287"/>
      <c r="CL179" s="288"/>
      <c r="CM179" s="286"/>
      <c r="CN179" s="287"/>
      <c r="CO179" s="289"/>
      <c r="CP179" s="290"/>
      <c r="CQ179" s="289"/>
      <c r="CR179" s="290"/>
      <c r="CS179" s="284"/>
      <c r="CT179" s="147"/>
      <c r="CU179" s="291"/>
      <c r="CV179" s="292"/>
    </row>
    <row r="180" spans="2:100">
      <c r="B180">
        <v>122</v>
      </c>
      <c r="C180" s="243">
        <v>0.91217034103667971</v>
      </c>
      <c r="D180" s="592">
        <v>7.5753120563080659E-2</v>
      </c>
      <c r="E180" s="245">
        <v>6.2438100287459664E-3</v>
      </c>
      <c r="F180" s="243">
        <v>5.0771010160609214E-3</v>
      </c>
      <c r="G180" s="245">
        <v>6.8935493727489234E-3</v>
      </c>
      <c r="H180" s="243">
        <v>8.5604054390714598E-2</v>
      </c>
      <c r="I180" s="245">
        <v>0.11623085173667036</v>
      </c>
      <c r="J180" s="242">
        <v>6.0242315817307102E-2</v>
      </c>
      <c r="K180" s="242">
        <v>23.876549518837049</v>
      </c>
      <c r="L180" s="242">
        <v>5.0251256281407036E-3</v>
      </c>
      <c r="M180" s="243">
        <v>94.322206913620207</v>
      </c>
      <c r="N180" s="592">
        <v>27.320265330540323</v>
      </c>
      <c r="O180" s="245">
        <v>0.45324934402544964</v>
      </c>
      <c r="P180" s="245">
        <v>1.5029474895234638</v>
      </c>
      <c r="Q180" s="254">
        <v>60.323304206714695</v>
      </c>
      <c r="R180" s="255">
        <v>0</v>
      </c>
      <c r="S180" s="256">
        <v>0</v>
      </c>
      <c r="T180" s="257">
        <v>0</v>
      </c>
      <c r="U180" s="255">
        <v>8.7600523003313127E-3</v>
      </c>
      <c r="V180" s="256">
        <v>1.1894160240098733E-2</v>
      </c>
      <c r="W180" s="257">
        <v>6.3322998316780996E-2</v>
      </c>
      <c r="X180" s="255">
        <v>1.7463554621538344E-2</v>
      </c>
      <c r="Y180" s="256">
        <v>2.3711538459928821E-2</v>
      </c>
      <c r="Z180" s="257">
        <v>6.2914220593756967E-2</v>
      </c>
      <c r="AA180" s="255">
        <v>2.613573787728651E-2</v>
      </c>
      <c r="AB180" s="256">
        <v>3.5486392506344576E-2</v>
      </c>
      <c r="AC180" s="257">
        <v>6.2687827295938414E-2</v>
      </c>
      <c r="AD180" s="255">
        <v>3.477224676984407E-2</v>
      </c>
      <c r="AE180" s="256">
        <v>4.7212808874798472E-2</v>
      </c>
      <c r="AF180" s="257">
        <v>6.2429951251044773E-2</v>
      </c>
      <c r="AG180" s="255">
        <v>4.3368748069227227E-2</v>
      </c>
      <c r="AH180" s="256">
        <v>5.8884904023729617E-2</v>
      </c>
      <c r="AI180" s="257">
        <v>6.2140751978211076E-2</v>
      </c>
      <c r="AJ180" s="255">
        <v>5.1920960001947562E-2</v>
      </c>
      <c r="AK180" s="256">
        <v>7.0496864277803994E-2</v>
      </c>
      <c r="AL180" s="257">
        <v>6.1820601436354615E-2</v>
      </c>
      <c r="AM180" s="255">
        <v>6.0424669909418055E-2</v>
      </c>
      <c r="AN180" s="256">
        <v>8.2042969804016874E-2</v>
      </c>
      <c r="AO180" s="257">
        <v>6.1469999230116715E-2</v>
      </c>
      <c r="AP180" s="255">
        <v>6.8875751457943543E-2</v>
      </c>
      <c r="AQ180" s="256">
        <v>9.3517617978948683E-2</v>
      </c>
      <c r="AR180" s="257">
        <v>6.108956936844067E-2</v>
      </c>
      <c r="AS180" s="255">
        <v>7.7270181212242009E-2</v>
      </c>
      <c r="AT180" s="256">
        <v>0.10491534589184053</v>
      </c>
      <c r="AU180" s="257">
        <v>6.0680055663785711E-2</v>
      </c>
      <c r="AV180" s="255">
        <v>8.5604054390714598E-2</v>
      </c>
      <c r="AW180" s="256">
        <v>0.11623085173667036</v>
      </c>
      <c r="AX180" s="257">
        <v>6.0242315817307102E-2</v>
      </c>
      <c r="AY180" s="243">
        <v>0</v>
      </c>
      <c r="AZ180" s="244">
        <v>0</v>
      </c>
      <c r="BA180" s="244">
        <v>0</v>
      </c>
      <c r="BB180" s="244">
        <v>0</v>
      </c>
      <c r="BC180" s="244">
        <v>0</v>
      </c>
      <c r="BD180" s="244">
        <v>0</v>
      </c>
      <c r="BE180" s="244">
        <v>0</v>
      </c>
      <c r="BF180" s="244">
        <v>0</v>
      </c>
      <c r="BG180" s="244">
        <v>0</v>
      </c>
      <c r="BH180" s="245">
        <v>0</v>
      </c>
      <c r="BK180">
        <v>122</v>
      </c>
      <c r="BL180" s="281">
        <v>0.39195979899497568</v>
      </c>
      <c r="BM180" s="281">
        <v>6994.1306532663457</v>
      </c>
      <c r="BN180" s="282">
        <v>6288.3969849246441</v>
      </c>
      <c r="BO180" s="282">
        <v>145.90954773869456</v>
      </c>
      <c r="BP180" s="282">
        <v>0</v>
      </c>
      <c r="BQ180" s="283">
        <v>0</v>
      </c>
      <c r="BR180" s="284"/>
      <c r="BS180" s="147"/>
      <c r="BT180" s="285">
        <v>0.90592653100793452</v>
      </c>
      <c r="BU180" s="288">
        <v>3.1317367689579961E-2</v>
      </c>
      <c r="BV180" s="287">
        <v>0.80324875837485388</v>
      </c>
      <c r="BW180" s="288">
        <v>0</v>
      </c>
      <c r="BX180" s="286">
        <v>99.596768347349922</v>
      </c>
      <c r="BY180" s="287">
        <v>0.40323165265007321</v>
      </c>
      <c r="BZ180" s="288">
        <v>0</v>
      </c>
      <c r="CA180" s="286">
        <v>0.76781948305009262</v>
      </c>
      <c r="CB180" s="286">
        <v>1.1174789153406004</v>
      </c>
      <c r="CC180" s="287">
        <v>1.2188024012014496</v>
      </c>
      <c r="CD180" s="286">
        <v>0</v>
      </c>
      <c r="CE180" s="286">
        <v>15.702448666938325</v>
      </c>
      <c r="CF180" s="286">
        <v>21.291151361397368</v>
      </c>
      <c r="CG180" s="287">
        <v>22.522783550845183</v>
      </c>
      <c r="CH180" s="288">
        <v>0</v>
      </c>
      <c r="CI180" s="286">
        <v>1.6545483384517623</v>
      </c>
      <c r="CJ180" s="286">
        <v>205.71222579488912</v>
      </c>
      <c r="CK180" s="287"/>
      <c r="CL180" s="288"/>
      <c r="CM180" s="286"/>
      <c r="CN180" s="287"/>
      <c r="CO180" s="289"/>
      <c r="CP180" s="290"/>
      <c r="CQ180" s="289"/>
      <c r="CR180" s="290"/>
      <c r="CS180" s="284"/>
      <c r="CT180" s="147"/>
      <c r="CU180" s="291"/>
      <c r="CV180" s="292"/>
    </row>
    <row r="181" spans="2:100">
      <c r="B181">
        <v>123</v>
      </c>
      <c r="C181" s="243">
        <v>0.90921929491175091</v>
      </c>
      <c r="D181" s="592">
        <v>7.7701626037209121E-2</v>
      </c>
      <c r="E181" s="245">
        <v>6.2566634250927899E-3</v>
      </c>
      <c r="F181" s="243">
        <v>5.1923915342438143E-3</v>
      </c>
      <c r="G181" s="245">
        <v>7.049874373547033E-3</v>
      </c>
      <c r="H181" s="243">
        <v>8.7547946339691263E-2</v>
      </c>
      <c r="I181" s="245">
        <v>0.1188666184524826</v>
      </c>
      <c r="J181" s="242">
        <v>6.1593392263646969E-2</v>
      </c>
      <c r="K181" s="242">
        <v>24.005461355677816</v>
      </c>
      <c r="L181" s="242">
        <v>5.0251256281407036E-3</v>
      </c>
      <c r="M181" s="243">
        <v>93.860232512159143</v>
      </c>
      <c r="N181" s="592">
        <v>27.247569604807502</v>
      </c>
      <c r="O181" s="245">
        <v>0.45022457055148468</v>
      </c>
      <c r="P181" s="245">
        <v>1.511062050691393</v>
      </c>
      <c r="Q181" s="254">
        <v>61.628613853874462</v>
      </c>
      <c r="R181" s="255">
        <v>0</v>
      </c>
      <c r="S181" s="256">
        <v>0</v>
      </c>
      <c r="T181" s="257">
        <v>0</v>
      </c>
      <c r="U181" s="255">
        <v>8.9593609998895526E-3</v>
      </c>
      <c r="V181" s="256">
        <v>1.2164408076687274E-2</v>
      </c>
      <c r="W181" s="257">
        <v>6.4761763471778422E-2</v>
      </c>
      <c r="X181" s="255">
        <v>1.7860524837312108E-2</v>
      </c>
      <c r="Y181" s="256">
        <v>2.4249800023411421E-2</v>
      </c>
      <c r="Z181" s="257">
        <v>6.4341091632518568E-2</v>
      </c>
      <c r="AA181" s="255">
        <v>2.6730142840039994E-2</v>
      </c>
      <c r="AB181" s="256">
        <v>3.6292361191651433E-2</v>
      </c>
      <c r="AC181" s="257">
        <v>6.4113066008253533E-2</v>
      </c>
      <c r="AD181" s="255">
        <v>3.5563545550069769E-2</v>
      </c>
      <c r="AE181" s="256">
        <v>4.8285751710444247E-2</v>
      </c>
      <c r="AF181" s="257">
        <v>6.385128771627431E-2</v>
      </c>
      <c r="AG181" s="255">
        <v>4.43560844816792E-2</v>
      </c>
      <c r="AH181" s="256">
        <v>6.022366018355696E-2</v>
      </c>
      <c r="AI181" s="257">
        <v>6.3555908352427484E-2</v>
      </c>
      <c r="AJ181" s="255">
        <v>5.31031643861994E-2</v>
      </c>
      <c r="AK181" s="256">
        <v>7.2099847496389452E-2</v>
      </c>
      <c r="AL181" s="257">
        <v>6.322731273494471E-2</v>
      </c>
      <c r="AM181" s="255">
        <v>6.1800263068152443E-2</v>
      </c>
      <c r="AN181" s="256">
        <v>8.3908173720971771E-2</v>
      </c>
      <c r="AO181" s="257">
        <v>6.286602892084632E-2</v>
      </c>
      <c r="AP181" s="255">
        <v>7.0442950713609814E-2</v>
      </c>
      <c r="AQ181" s="256">
        <v>9.5642624358688352E-2</v>
      </c>
      <c r="AR181" s="257">
        <v>6.2472724680082886E-2</v>
      </c>
      <c r="AS181" s="255">
        <v>7.9026908509424426E-2</v>
      </c>
      <c r="AT181" s="256">
        <v>0.10729733562019873</v>
      </c>
      <c r="AU181" s="257">
        <v>6.2048202369692038E-2</v>
      </c>
      <c r="AV181" s="255">
        <v>8.7547946339691263E-2</v>
      </c>
      <c r="AW181" s="256">
        <v>0.1188666184524826</v>
      </c>
      <c r="AX181" s="257">
        <v>6.1593392263646969E-2</v>
      </c>
      <c r="AY181" s="243">
        <v>0</v>
      </c>
      <c r="AZ181" s="244">
        <v>0</v>
      </c>
      <c r="BA181" s="244">
        <v>0</v>
      </c>
      <c r="BB181" s="244">
        <v>0</v>
      </c>
      <c r="BC181" s="244">
        <v>0</v>
      </c>
      <c r="BD181" s="244">
        <v>0</v>
      </c>
      <c r="BE181" s="244">
        <v>0</v>
      </c>
      <c r="BF181" s="244">
        <v>0</v>
      </c>
      <c r="BG181" s="244">
        <v>0</v>
      </c>
      <c r="BH181" s="245">
        <v>0</v>
      </c>
      <c r="BK181">
        <v>123</v>
      </c>
      <c r="BL181" s="281">
        <v>0.38693467336683496</v>
      </c>
      <c r="BM181" s="281">
        <v>6904.4623115578033</v>
      </c>
      <c r="BN181" s="282">
        <v>6256.0201005025338</v>
      </c>
      <c r="BO181" s="282">
        <v>145.60301507537798</v>
      </c>
      <c r="BP181" s="282">
        <v>0</v>
      </c>
      <c r="BQ181" s="283">
        <v>0</v>
      </c>
      <c r="BR181" s="284"/>
      <c r="BS181" s="147"/>
      <c r="BT181" s="285">
        <v>0.9029626314866589</v>
      </c>
      <c r="BU181" s="288">
        <v>3.1218848252083362E-2</v>
      </c>
      <c r="BV181" s="287">
        <v>0.80350330791717361</v>
      </c>
      <c r="BW181" s="288">
        <v>0</v>
      </c>
      <c r="BX181" s="286">
        <v>99.584195810067953</v>
      </c>
      <c r="BY181" s="287">
        <v>0.41580418993204776</v>
      </c>
      <c r="BZ181" s="288">
        <v>0</v>
      </c>
      <c r="CA181" s="286">
        <v>0.7676802557882072</v>
      </c>
      <c r="CB181" s="286">
        <v>1.1175827829288365</v>
      </c>
      <c r="CC181" s="287">
        <v>1.2187655225476492</v>
      </c>
      <c r="CD181" s="286">
        <v>0</v>
      </c>
      <c r="CE181" s="286">
        <v>15.701330515120572</v>
      </c>
      <c r="CF181" s="286">
        <v>21.294227643301451</v>
      </c>
      <c r="CG181" s="287">
        <v>22.524008504172105</v>
      </c>
      <c r="CH181" s="288">
        <v>0</v>
      </c>
      <c r="CI181" s="286">
        <v>1.6492185973792821</v>
      </c>
      <c r="CJ181" s="286">
        <v>206.36402089335269</v>
      </c>
      <c r="CK181" s="287"/>
      <c r="CL181" s="288"/>
      <c r="CM181" s="286"/>
      <c r="CN181" s="287"/>
      <c r="CO181" s="289"/>
      <c r="CP181" s="290"/>
      <c r="CQ181" s="289"/>
      <c r="CR181" s="290"/>
      <c r="CS181" s="284"/>
      <c r="CT181" s="147"/>
      <c r="CU181" s="291"/>
      <c r="CV181" s="292"/>
    </row>
    <row r="182" spans="2:100">
      <c r="B182">
        <v>124</v>
      </c>
      <c r="C182" s="243">
        <v>0.9062766455578064</v>
      </c>
      <c r="D182" s="592">
        <v>7.9599883919418662E-2</v>
      </c>
      <c r="E182" s="245">
        <v>6.268417986475483E-3</v>
      </c>
      <c r="F182" s="243">
        <v>5.3034718680086907E-3</v>
      </c>
      <c r="G182" s="245">
        <v>7.2004737089598272E-3</v>
      </c>
      <c r="H182" s="243">
        <v>8.9420851153534167E-2</v>
      </c>
      <c r="I182" s="245">
        <v>0.12140584579089875</v>
      </c>
      <c r="J182" s="242">
        <v>6.2896809299213458E-2</v>
      </c>
      <c r="K182" s="242">
        <v>24.130683049126009</v>
      </c>
      <c r="L182" s="242">
        <v>5.0251256281407036E-3</v>
      </c>
      <c r="M182" s="243">
        <v>93.417634689353122</v>
      </c>
      <c r="N182" s="592">
        <v>27.179989464580505</v>
      </c>
      <c r="O182" s="245">
        <v>0.44728111761306188</v>
      </c>
      <c r="P182" s="245">
        <v>1.5189443298981669</v>
      </c>
      <c r="Q182" s="254">
        <v>62.883480102220737</v>
      </c>
      <c r="R182" s="255">
        <v>0</v>
      </c>
      <c r="S182" s="256">
        <v>0</v>
      </c>
      <c r="T182" s="257">
        <v>0</v>
      </c>
      <c r="U182" s="255">
        <v>9.1510251999755241E-3</v>
      </c>
      <c r="V182" s="256">
        <v>1.2424260560317283E-2</v>
      </c>
      <c r="W182" s="257">
        <v>6.6145185088046968E-2</v>
      </c>
      <c r="X182" s="255">
        <v>1.8242322787764054E-2</v>
      </c>
      <c r="Y182" s="256">
        <v>2.4767429505188156E-2</v>
      </c>
      <c r="Z182" s="257">
        <v>6.5713463627703209E-2</v>
      </c>
      <c r="AA182" s="255">
        <v>2.7301977346570843E-2</v>
      </c>
      <c r="AB182" s="256">
        <v>3.7067637008210107E-2</v>
      </c>
      <c r="AC182" s="257">
        <v>6.5484742368280904E-2</v>
      </c>
      <c r="AD182" s="255">
        <v>3.632500292582707E-2</v>
      </c>
      <c r="AE182" s="256">
        <v>4.9318113691345776E-2</v>
      </c>
      <c r="AF182" s="257">
        <v>6.5219981800037172E-2</v>
      </c>
      <c r="AG182" s="255">
        <v>4.5306432845493669E-2</v>
      </c>
      <c r="AH182" s="256">
        <v>6.1512116339974249E-2</v>
      </c>
      <c r="AI182" s="257">
        <v>6.4919321213677689E-2</v>
      </c>
      <c r="AJ182" s="255">
        <v>5.4241354954559458E-2</v>
      </c>
      <c r="AK182" s="256">
        <v>7.3642975773021147E-2</v>
      </c>
      <c r="AL182" s="257">
        <v>6.4583154754400712E-2</v>
      </c>
      <c r="AM182" s="255">
        <v>6.3124933722050414E-2</v>
      </c>
      <c r="AN182" s="256">
        <v>8.5704126835713573E-2</v>
      </c>
      <c r="AO182" s="257">
        <v>6.4212036245021531E-2</v>
      </c>
      <c r="AP182" s="255">
        <v>7.1952431804182621E-2</v>
      </c>
      <c r="AQ182" s="256">
        <v>9.7689137681100061E-2</v>
      </c>
      <c r="AR182" s="257">
        <v>6.3806675399448842E-2</v>
      </c>
      <c r="AS182" s="255">
        <v>8.0719230829560382E-2</v>
      </c>
      <c r="AT182" s="256">
        <v>0.10959173798991793</v>
      </c>
      <c r="AU182" s="257">
        <v>6.3367932170580482E-2</v>
      </c>
      <c r="AV182" s="255">
        <v>8.9420851153534167E-2</v>
      </c>
      <c r="AW182" s="256">
        <v>0.12140584579089875</v>
      </c>
      <c r="AX182" s="257">
        <v>6.2896809299213458E-2</v>
      </c>
      <c r="AY182" s="243">
        <v>0</v>
      </c>
      <c r="AZ182" s="244">
        <v>0</v>
      </c>
      <c r="BA182" s="244">
        <v>0</v>
      </c>
      <c r="BB182" s="244">
        <v>0</v>
      </c>
      <c r="BC182" s="244">
        <v>0</v>
      </c>
      <c r="BD182" s="244">
        <v>0</v>
      </c>
      <c r="BE182" s="244">
        <v>0</v>
      </c>
      <c r="BF182" s="244">
        <v>0</v>
      </c>
      <c r="BG182" s="244">
        <v>0</v>
      </c>
      <c r="BH182" s="245">
        <v>0</v>
      </c>
      <c r="BK182">
        <v>124</v>
      </c>
      <c r="BL182" s="281">
        <v>0.38190954773869429</v>
      </c>
      <c r="BM182" s="281">
        <v>6814.793969849261</v>
      </c>
      <c r="BN182" s="282">
        <v>6223.6432160804234</v>
      </c>
      <c r="BO182" s="282">
        <v>145.29648241206141</v>
      </c>
      <c r="BP182" s="282">
        <v>0</v>
      </c>
      <c r="BQ182" s="283">
        <v>0</v>
      </c>
      <c r="BR182" s="284"/>
      <c r="BS182" s="147"/>
      <c r="BT182" s="285">
        <v>0.9000082275713317</v>
      </c>
      <c r="BU182" s="288">
        <v>3.11206171508931E-2</v>
      </c>
      <c r="BV182" s="287">
        <v>0.80375739537135793</v>
      </c>
      <c r="BW182" s="288">
        <v>0</v>
      </c>
      <c r="BX182" s="286">
        <v>99.571671665657178</v>
      </c>
      <c r="BY182" s="287">
        <v>0.4283283343428248</v>
      </c>
      <c r="BZ182" s="288">
        <v>0</v>
      </c>
      <c r="CA182" s="286">
        <v>0.76754083482839142</v>
      </c>
      <c r="CB182" s="286">
        <v>1.1176863885444317</v>
      </c>
      <c r="CC182" s="287">
        <v>1.2187286329645366</v>
      </c>
      <c r="CD182" s="286">
        <v>0</v>
      </c>
      <c r="CE182" s="286">
        <v>15.700208741351336</v>
      </c>
      <c r="CF182" s="286">
        <v>21.297299562392766</v>
      </c>
      <c r="CG182" s="287">
        <v>22.525233529756523</v>
      </c>
      <c r="CH182" s="288">
        <v>0</v>
      </c>
      <c r="CI182" s="286">
        <v>1.6439066535790525</v>
      </c>
      <c r="CJ182" s="286">
        <v>207.0195623647528</v>
      </c>
      <c r="CK182" s="287"/>
      <c r="CL182" s="288"/>
      <c r="CM182" s="286"/>
      <c r="CN182" s="287"/>
      <c r="CO182" s="289"/>
      <c r="CP182" s="290"/>
      <c r="CQ182" s="289"/>
      <c r="CR182" s="290"/>
      <c r="CS182" s="284"/>
      <c r="CT182" s="147"/>
      <c r="CU182" s="291"/>
      <c r="CV182" s="292"/>
    </row>
    <row r="183" spans="2:100">
      <c r="B183">
        <v>125</v>
      </c>
      <c r="C183" s="243">
        <v>0.90334236024091119</v>
      </c>
      <c r="D183" s="592">
        <v>8.1448222614940682E-2</v>
      </c>
      <c r="E183" s="245">
        <v>6.2790714828762084E-3</v>
      </c>
      <c r="F183" s="243">
        <v>5.410403677052103E-3</v>
      </c>
      <c r="G183" s="245">
        <v>7.345431606069164E-3</v>
      </c>
      <c r="H183" s="243">
        <v>9.1223808464899969E-2</v>
      </c>
      <c r="I183" s="245">
        <v>0.1238499538890549</v>
      </c>
      <c r="J183" s="242">
        <v>6.4153495563792517E-2</v>
      </c>
      <c r="K183" s="242">
        <v>24.252182627610097</v>
      </c>
      <c r="L183" s="242">
        <v>5.0251256281407036E-3</v>
      </c>
      <c r="M183" s="243">
        <v>92.994035925636723</v>
      </c>
      <c r="N183" s="592">
        <v>27.117451864475996</v>
      </c>
      <c r="O183" s="245">
        <v>0.44441844041707512</v>
      </c>
      <c r="P183" s="245">
        <v>1.5265923146422251</v>
      </c>
      <c r="Q183" s="254">
        <v>64.08889657988243</v>
      </c>
      <c r="R183" s="255">
        <v>0</v>
      </c>
      <c r="S183" s="256">
        <v>0</v>
      </c>
      <c r="T183" s="257">
        <v>0</v>
      </c>
      <c r="U183" s="255">
        <v>9.3351360577036881E-3</v>
      </c>
      <c r="V183" s="256">
        <v>1.267384238555999E-2</v>
      </c>
      <c r="W183" s="257">
        <v>6.7473927023645089E-2</v>
      </c>
      <c r="X183" s="255">
        <v>1.8609132478453035E-2</v>
      </c>
      <c r="Y183" s="256">
        <v>2.5264678576300759E-2</v>
      </c>
      <c r="Z183" s="257">
        <v>6.703201258591121E-2</v>
      </c>
      <c r="AA183" s="255">
        <v>2.7851518647836776E-2</v>
      </c>
      <c r="AB183" s="256">
        <v>3.7812599126487476E-2</v>
      </c>
      <c r="AC183" s="257">
        <v>6.6803535166765099E-2</v>
      </c>
      <c r="AD183" s="255">
        <v>3.7056991056098262E-2</v>
      </c>
      <c r="AE183" s="256">
        <v>5.0310403728986888E-2</v>
      </c>
      <c r="AF183" s="257">
        <v>6.6536724227027791E-2</v>
      </c>
      <c r="AG183" s="255">
        <v>4.6220263104453353E-2</v>
      </c>
      <c r="AH183" s="256">
        <v>6.2750915035838392E-2</v>
      </c>
      <c r="AI183" s="257">
        <v>6.6231701998418144E-2</v>
      </c>
      <c r="AJ183" s="255">
        <v>5.5336103463473618E-2</v>
      </c>
      <c r="AK183" s="256">
        <v>7.512703073549204E-2</v>
      </c>
      <c r="AL183" s="257">
        <v>6.588886796525531E-2</v>
      </c>
      <c r="AM183" s="255">
        <v>6.4399360547067477E-2</v>
      </c>
      <c r="AN183" s="256">
        <v>8.7431756779895745E-2</v>
      </c>
      <c r="AO183" s="257">
        <v>6.5508798508650212E-2</v>
      </c>
      <c r="AP183" s="255">
        <v>7.3404986431195959E-2</v>
      </c>
      <c r="AQ183" s="256">
        <v>9.9658239857726705E-2</v>
      </c>
      <c r="AR183" s="257">
        <v>6.5092242893073263E-2</v>
      </c>
      <c r="AS183" s="255">
        <v>8.2348059919014602E-2</v>
      </c>
      <c r="AT183" s="256">
        <v>0.1117997987087687</v>
      </c>
      <c r="AU183" s="257">
        <v>6.4640117096761804E-2</v>
      </c>
      <c r="AV183" s="255">
        <v>9.1223808464899969E-2</v>
      </c>
      <c r="AW183" s="256">
        <v>0.1238499538890549</v>
      </c>
      <c r="AX183" s="257">
        <v>6.4153495563792517E-2</v>
      </c>
      <c r="AY183" s="243">
        <v>0</v>
      </c>
      <c r="AZ183" s="244">
        <v>0</v>
      </c>
      <c r="BA183" s="244">
        <v>0</v>
      </c>
      <c r="BB183" s="244">
        <v>0</v>
      </c>
      <c r="BC183" s="244">
        <v>0</v>
      </c>
      <c r="BD183" s="244">
        <v>0</v>
      </c>
      <c r="BE183" s="244">
        <v>0</v>
      </c>
      <c r="BF183" s="244">
        <v>0</v>
      </c>
      <c r="BG183" s="244">
        <v>0</v>
      </c>
      <c r="BH183" s="245">
        <v>0</v>
      </c>
      <c r="BK183">
        <v>125</v>
      </c>
      <c r="BL183" s="281">
        <v>0.37688442211055362</v>
      </c>
      <c r="BM183" s="281">
        <v>6725.1256281407186</v>
      </c>
      <c r="BN183" s="282">
        <v>6191.266331658313</v>
      </c>
      <c r="BO183" s="282">
        <v>144.98994974874483</v>
      </c>
      <c r="BP183" s="282">
        <v>0</v>
      </c>
      <c r="BQ183" s="283">
        <v>0</v>
      </c>
      <c r="BR183" s="284"/>
      <c r="BS183" s="147"/>
      <c r="BT183" s="285">
        <v>0.89706328875803576</v>
      </c>
      <c r="BU183" s="288">
        <v>3.1022673645083564E-2</v>
      </c>
      <c r="BV183" s="287">
        <v>0.80401101962055099</v>
      </c>
      <c r="BW183" s="288">
        <v>0</v>
      </c>
      <c r="BX183" s="286">
        <v>99.559195715404812</v>
      </c>
      <c r="BY183" s="287">
        <v>0.44080428459518661</v>
      </c>
      <c r="BZ183" s="288">
        <v>0</v>
      </c>
      <c r="CA183" s="286">
        <v>0.76740121841642872</v>
      </c>
      <c r="CB183" s="286">
        <v>1.1177897311837799</v>
      </c>
      <c r="CC183" s="287">
        <v>1.2186917324227426</v>
      </c>
      <c r="CD183" s="286">
        <v>0</v>
      </c>
      <c r="CE183" s="286">
        <v>15.699083314228886</v>
      </c>
      <c r="CF183" s="286">
        <v>21.300367097271824</v>
      </c>
      <c r="CG183" s="287">
        <v>22.526458627376972</v>
      </c>
      <c r="CH183" s="288">
        <v>0</v>
      </c>
      <c r="CI183" s="286">
        <v>1.6386123913546937</v>
      </c>
      <c r="CJ183" s="286">
        <v>207.67886861967338</v>
      </c>
      <c r="CK183" s="287"/>
      <c r="CL183" s="288"/>
      <c r="CM183" s="286"/>
      <c r="CN183" s="287"/>
      <c r="CO183" s="289"/>
      <c r="CP183" s="290"/>
      <c r="CQ183" s="289"/>
      <c r="CR183" s="290"/>
      <c r="CS183" s="284"/>
      <c r="CT183" s="147"/>
      <c r="CU183" s="291"/>
      <c r="CV183" s="292"/>
    </row>
    <row r="184" spans="2:100">
      <c r="B184">
        <v>126</v>
      </c>
      <c r="C184" s="243">
        <v>0.9004164084065196</v>
      </c>
      <c r="D184" s="592">
        <v>8.3247009546279324E-2</v>
      </c>
      <c r="E184" s="245">
        <v>6.2886238475839962E-3</v>
      </c>
      <c r="F184" s="243">
        <v>5.5132522880781479E-3</v>
      </c>
      <c r="G184" s="245">
        <v>7.484837260468509E-3</v>
      </c>
      <c r="H184" s="243">
        <v>9.2957919735176364E-2</v>
      </c>
      <c r="I184" s="245">
        <v>0.1262004466572357</v>
      </c>
      <c r="J184" s="242">
        <v>6.5364396319451415E-2</v>
      </c>
      <c r="K184" s="242">
        <v>24.369936628818184</v>
      </c>
      <c r="L184" s="242">
        <v>5.0251256281407036E-3</v>
      </c>
      <c r="M184" s="243">
        <v>92.589049168120951</v>
      </c>
      <c r="N184" s="592">
        <v>27.059880080397626</v>
      </c>
      <c r="O184" s="245">
        <v>0.44163584539397188</v>
      </c>
      <c r="P184" s="245">
        <v>1.534004528050926</v>
      </c>
      <c r="Q184" s="254">
        <v>65.245881647824575</v>
      </c>
      <c r="R184" s="255">
        <v>0</v>
      </c>
      <c r="S184" s="256">
        <v>0</v>
      </c>
      <c r="T184" s="257">
        <v>0</v>
      </c>
      <c r="U184" s="255">
        <v>9.5117948278235602E-3</v>
      </c>
      <c r="V184" s="256">
        <v>1.2913291941160716E-2</v>
      </c>
      <c r="W184" s="257">
        <v>6.8748726042674693E-2</v>
      </c>
      <c r="X184" s="255">
        <v>1.8961157153424949E-2</v>
      </c>
      <c r="Y184" s="256">
        <v>2.5741824996915942E-2</v>
      </c>
      <c r="Z184" s="257">
        <v>6.8297480502887045E-2</v>
      </c>
      <c r="AA184" s="255">
        <v>2.8379071544896838E-2</v>
      </c>
      <c r="AB184" s="256">
        <v>3.8527664075171483E-2</v>
      </c>
      <c r="AC184" s="257">
        <v>6.8070183189686689E-2</v>
      </c>
      <c r="AD184" s="255">
        <v>3.7759917118426023E-2</v>
      </c>
      <c r="AE184" s="256">
        <v>5.1263178217211249E-2</v>
      </c>
      <c r="AF184" s="257">
        <v>6.7802259621569577E-2</v>
      </c>
      <c r="AG184" s="255">
        <v>4.7098086837434466E-2</v>
      </c>
      <c r="AH184" s="256">
        <v>6.3940755263440993E-2</v>
      </c>
      <c r="AI184" s="257">
        <v>6.7493809882672576E-2</v>
      </c>
      <c r="AJ184" s="255">
        <v>5.6388029064173263E-2</v>
      </c>
      <c r="AK184" s="256">
        <v>7.6552858264178666E-2</v>
      </c>
      <c r="AL184" s="257">
        <v>6.7145234381015162E-2</v>
      </c>
      <c r="AM184" s="255">
        <v>6.5624274514392456E-2</v>
      </c>
      <c r="AN184" s="256">
        <v>8.9092062073538883E-2</v>
      </c>
      <c r="AO184" s="257">
        <v>6.6757128345809047E-2</v>
      </c>
      <c r="AP184" s="255">
        <v>7.4801462631450766E-2</v>
      </c>
      <c r="AQ184" s="256">
        <v>0.10155108915514396</v>
      </c>
      <c r="AR184" s="257">
        <v>6.6330277631324319E-2</v>
      </c>
      <c r="AS184" s="255">
        <v>8.391436703793459E-2</v>
      </c>
      <c r="AT184" s="256">
        <v>0.11392284413545423</v>
      </c>
      <c r="AU184" s="257">
        <v>6.5865652049371587E-2</v>
      </c>
      <c r="AV184" s="255">
        <v>9.2957919735176364E-2</v>
      </c>
      <c r="AW184" s="256">
        <v>0.1262004466572357</v>
      </c>
      <c r="AX184" s="257">
        <v>6.5364396319451415E-2</v>
      </c>
      <c r="AY184" s="243">
        <v>0</v>
      </c>
      <c r="AZ184" s="244">
        <v>0</v>
      </c>
      <c r="BA184" s="244">
        <v>0</v>
      </c>
      <c r="BB184" s="244">
        <v>0</v>
      </c>
      <c r="BC184" s="244">
        <v>0</v>
      </c>
      <c r="BD184" s="244">
        <v>0</v>
      </c>
      <c r="BE184" s="244">
        <v>0</v>
      </c>
      <c r="BF184" s="244">
        <v>0</v>
      </c>
      <c r="BG184" s="244">
        <v>0</v>
      </c>
      <c r="BH184" s="245">
        <v>0</v>
      </c>
      <c r="BK184">
        <v>126</v>
      </c>
      <c r="BL184" s="281">
        <v>0.37185929648241295</v>
      </c>
      <c r="BM184" s="281">
        <v>6635.4572864321763</v>
      </c>
      <c r="BN184" s="282">
        <v>6158.8894472362026</v>
      </c>
      <c r="BO184" s="282">
        <v>144.68341708542826</v>
      </c>
      <c r="BP184" s="282">
        <v>0</v>
      </c>
      <c r="BQ184" s="283">
        <v>0</v>
      </c>
      <c r="BR184" s="284"/>
      <c r="BS184" s="147"/>
      <c r="BT184" s="285">
        <v>0.89412778455893638</v>
      </c>
      <c r="BU184" s="288">
        <v>3.0925016992168469E-2</v>
      </c>
      <c r="BV184" s="287">
        <v>0.8042641795292198</v>
      </c>
      <c r="BW184" s="288">
        <v>0</v>
      </c>
      <c r="BX184" s="286">
        <v>99.546767761004418</v>
      </c>
      <c r="BY184" s="287">
        <v>0.45323223899559018</v>
      </c>
      <c r="BZ184" s="288">
        <v>0</v>
      </c>
      <c r="CA184" s="286">
        <v>0.7672614047862506</v>
      </c>
      <c r="CB184" s="286">
        <v>1.1178928098301051</v>
      </c>
      <c r="CC184" s="287">
        <v>1.2186548208927863</v>
      </c>
      <c r="CD184" s="286">
        <v>0</v>
      </c>
      <c r="CE184" s="286">
        <v>15.697954202131953</v>
      </c>
      <c r="CF184" s="286">
        <v>21.303430226276802</v>
      </c>
      <c r="CG184" s="287">
        <v>22.527683796810624</v>
      </c>
      <c r="CH184" s="288">
        <v>0</v>
      </c>
      <c r="CI184" s="286">
        <v>1.6333356958682803</v>
      </c>
      <c r="CJ184" s="286">
        <v>208.34195815387028</v>
      </c>
      <c r="CK184" s="287"/>
      <c r="CL184" s="288"/>
      <c r="CM184" s="286"/>
      <c r="CN184" s="287"/>
      <c r="CO184" s="289"/>
      <c r="CP184" s="290"/>
      <c r="CQ184" s="289"/>
      <c r="CR184" s="290"/>
      <c r="CS184" s="284"/>
      <c r="CT184" s="147"/>
      <c r="CU184" s="291"/>
      <c r="CV184" s="292"/>
    </row>
    <row r="185" spans="2:100">
      <c r="B185">
        <v>127</v>
      </c>
      <c r="C185" s="243">
        <v>0.89749876163664599</v>
      </c>
      <c r="D185" s="592">
        <v>8.4996647978353518E-2</v>
      </c>
      <c r="E185" s="245">
        <v>6.2970771358507038E-3</v>
      </c>
      <c r="F185" s="243">
        <v>5.6120862608816388E-3</v>
      </c>
      <c r="G185" s="245">
        <v>7.6187842464314447E-3</v>
      </c>
      <c r="H185" s="243">
        <v>9.4624340938291335E-2</v>
      </c>
      <c r="I185" s="245">
        <v>0.12845890183383563</v>
      </c>
      <c r="J185" s="242">
        <v>6.6530468654418362E-2</v>
      </c>
      <c r="K185" s="242">
        <v>24.483929768713054</v>
      </c>
      <c r="L185" s="242">
        <v>5.0251256281407036E-3</v>
      </c>
      <c r="M185" s="243">
        <v>92.202279640428557</v>
      </c>
      <c r="N185" s="592">
        <v>27.007194205730883</v>
      </c>
      <c r="O185" s="245">
        <v>0.43893250373053755</v>
      </c>
      <c r="P185" s="245">
        <v>1.5411800080461711</v>
      </c>
      <c r="Q185" s="254">
        <v>66.355473672428047</v>
      </c>
      <c r="R185" s="255">
        <v>0</v>
      </c>
      <c r="S185" s="256">
        <v>0</v>
      </c>
      <c r="T185" s="257">
        <v>0</v>
      </c>
      <c r="U185" s="255">
        <v>9.6811119837668397E-3</v>
      </c>
      <c r="V185" s="256">
        <v>1.3142760114716113E-2</v>
      </c>
      <c r="W185" s="257">
        <v>6.9970385451534542E-2</v>
      </c>
      <c r="X185" s="255">
        <v>1.9298617591292658E-2</v>
      </c>
      <c r="Y185" s="256">
        <v>2.6199170299165554E-2</v>
      </c>
      <c r="Z185" s="257">
        <v>6.9510669391001173E-2</v>
      </c>
      <c r="AA185" s="255">
        <v>2.8884965905337269E-2</v>
      </c>
      <c r="AB185" s="256">
        <v>3.9213282363860368E-2</v>
      </c>
      <c r="AC185" s="257">
        <v>6.9285479574153472E-2</v>
      </c>
      <c r="AD185" s="255">
        <v>3.8434220082009724E-2</v>
      </c>
      <c r="AE185" s="256">
        <v>5.2177036644246715E-2</v>
      </c>
      <c r="AF185" s="257">
        <v>6.9017381126963276E-2</v>
      </c>
      <c r="AG185" s="255">
        <v>4.7940453316268339E-2</v>
      </c>
      <c r="AH185" s="256">
        <v>6.5082387104183292E-2</v>
      </c>
      <c r="AI185" s="257">
        <v>6.870644660536783E-2</v>
      </c>
      <c r="AJ185" s="255">
        <v>5.7397793666069584E-2</v>
      </c>
      <c r="AK185" s="256">
        <v>7.7921362187735696E-2</v>
      </c>
      <c r="AL185" s="257">
        <v>6.8353072532528258E-2</v>
      </c>
      <c r="AM185" s="255">
        <v>6.6800453573829702E-2</v>
      </c>
      <c r="AN185" s="256">
        <v>9.068610489654455E-2</v>
      </c>
      <c r="AO185" s="257">
        <v>6.7957868798422735E-2</v>
      </c>
      <c r="AP185" s="255">
        <v>7.6142758789629075E-2</v>
      </c>
      <c r="AQ185" s="256">
        <v>0.10336891205501915</v>
      </c>
      <c r="AR185" s="257">
        <v>6.7521654335933073E-2</v>
      </c>
      <c r="AS185" s="255">
        <v>8.5419176307291178E-2</v>
      </c>
      <c r="AT185" s="256">
        <v>0.11596227223544193</v>
      </c>
      <c r="AU185" s="257">
        <v>6.7045449986379999E-2</v>
      </c>
      <c r="AV185" s="255">
        <v>9.4624340938291335E-2</v>
      </c>
      <c r="AW185" s="256">
        <v>0.12845890183383563</v>
      </c>
      <c r="AX185" s="257">
        <v>6.6530468654418362E-2</v>
      </c>
      <c r="AY185" s="243">
        <v>0</v>
      </c>
      <c r="AZ185" s="244">
        <v>0</v>
      </c>
      <c r="BA185" s="244">
        <v>0</v>
      </c>
      <c r="BB185" s="244">
        <v>0</v>
      </c>
      <c r="BC185" s="244">
        <v>0</v>
      </c>
      <c r="BD185" s="244">
        <v>0</v>
      </c>
      <c r="BE185" s="244">
        <v>0</v>
      </c>
      <c r="BF185" s="244">
        <v>0</v>
      </c>
      <c r="BG185" s="244">
        <v>0</v>
      </c>
      <c r="BH185" s="245">
        <v>0</v>
      </c>
      <c r="BK185">
        <v>127</v>
      </c>
      <c r="BL185" s="281">
        <v>0.36683417085427222</v>
      </c>
      <c r="BM185" s="281">
        <v>6545.7889447236339</v>
      </c>
      <c r="BN185" s="282">
        <v>6126.5125628140922</v>
      </c>
      <c r="BO185" s="282">
        <v>144.37688442211169</v>
      </c>
      <c r="BP185" s="282">
        <v>0</v>
      </c>
      <c r="BQ185" s="283">
        <v>0</v>
      </c>
      <c r="BR185" s="284"/>
      <c r="BS185" s="147"/>
      <c r="BT185" s="285">
        <v>0.89120168450079618</v>
      </c>
      <c r="BU185" s="288">
        <v>3.0827646448062455E-2</v>
      </c>
      <c r="BV185" s="287">
        <v>0.80451687394301941</v>
      </c>
      <c r="BW185" s="288">
        <v>0</v>
      </c>
      <c r="BX185" s="286">
        <v>99.534387604546836</v>
      </c>
      <c r="BY185" s="287">
        <v>0.46561239545317412</v>
      </c>
      <c r="BZ185" s="288">
        <v>0</v>
      </c>
      <c r="CA185" s="286">
        <v>0.76712139215981212</v>
      </c>
      <c r="CB185" s="286">
        <v>1.117995623453345</v>
      </c>
      <c r="CC185" s="287">
        <v>1.2186178983451061</v>
      </c>
      <c r="CD185" s="286">
        <v>0</v>
      </c>
      <c r="CE185" s="286">
        <v>15.696821373217382</v>
      </c>
      <c r="CF185" s="286">
        <v>21.306488927481023</v>
      </c>
      <c r="CG185" s="287">
        <v>22.528909037833589</v>
      </c>
      <c r="CH185" s="288">
        <v>0</v>
      </c>
      <c r="CI185" s="286">
        <v>1.6280764531340031</v>
      </c>
      <c r="CJ185" s="286">
        <v>209.00884954791849</v>
      </c>
      <c r="CK185" s="287"/>
      <c r="CL185" s="288"/>
      <c r="CM185" s="286"/>
      <c r="CN185" s="287"/>
      <c r="CO185" s="289"/>
      <c r="CP185" s="290"/>
      <c r="CQ185" s="289"/>
      <c r="CR185" s="290"/>
      <c r="CS185" s="284"/>
      <c r="CT185" s="147"/>
      <c r="CU185" s="291"/>
      <c r="CV185" s="292"/>
    </row>
    <row r="186" spans="2:100">
      <c r="B186">
        <v>128</v>
      </c>
      <c r="C186" s="243">
        <v>0.89458939358297496</v>
      </c>
      <c r="D186" s="592">
        <v>8.669757406227821E-2</v>
      </c>
      <c r="E186" s="245">
        <v>6.3044354614403275E-3</v>
      </c>
      <c r="F186" s="243">
        <v>5.7069769781624095E-3</v>
      </c>
      <c r="G186" s="245">
        <v>7.747369959401923E-3</v>
      </c>
      <c r="H186" s="243">
        <v>9.6224275644648485E-2</v>
      </c>
      <c r="I186" s="245">
        <v>0.13062696158529075</v>
      </c>
      <c r="J186" s="242">
        <v>6.7652677192387156E-2</v>
      </c>
      <c r="K186" s="242">
        <v>24.594154592160898</v>
      </c>
      <c r="L186" s="242">
        <v>5.0251256281407036E-3</v>
      </c>
      <c r="M186" s="243">
        <v>91.833326518281467</v>
      </c>
      <c r="N186" s="592">
        <v>26.95931161517645</v>
      </c>
      <c r="O186" s="245">
        <v>0.43630746439255419</v>
      </c>
      <c r="P186" s="245">
        <v>1.5481182853526725</v>
      </c>
      <c r="Q186" s="254">
        <v>67.418726654329689</v>
      </c>
      <c r="R186" s="255">
        <v>0</v>
      </c>
      <c r="S186" s="256">
        <v>0</v>
      </c>
      <c r="T186" s="257">
        <v>0</v>
      </c>
      <c r="U186" s="255">
        <v>9.8432063530731161E-3</v>
      </c>
      <c r="V186" s="256">
        <v>1.3362409117085215E-2</v>
      </c>
      <c r="W186" s="257">
        <v>7.1139768840234013E-2</v>
      </c>
      <c r="X186" s="255">
        <v>1.9621750435092931E-2</v>
      </c>
      <c r="Y186" s="256">
        <v>2.663703751625586E-2</v>
      </c>
      <c r="Z186" s="257">
        <v>7.0672435448002516E-2</v>
      </c>
      <c r="AA186" s="255">
        <v>2.9369554237570945E-2</v>
      </c>
      <c r="AB186" s="256">
        <v>3.9869935184922926E-2</v>
      </c>
      <c r="AC186" s="257">
        <v>7.0450266339457362E-2</v>
      </c>
      <c r="AD186" s="255">
        <v>3.90803675681188E-2</v>
      </c>
      <c r="AE186" s="256">
        <v>5.3052617324052663E-2</v>
      </c>
      <c r="AF186" s="257">
        <v>7.0182925238599425E-2</v>
      </c>
      <c r="AG186" s="255">
        <v>4.8747945686245082E-2</v>
      </c>
      <c r="AH186" s="256">
        <v>6.6176606535703439E-2</v>
      </c>
      <c r="AI186" s="257">
        <v>6.9870451547903181E-2</v>
      </c>
      <c r="AJ186" s="255">
        <v>5.8366097464431832E-2</v>
      </c>
      <c r="AK186" s="256">
        <v>7.9233498202942204E-2</v>
      </c>
      <c r="AL186" s="257">
        <v>6.9513232744213393E-2</v>
      </c>
      <c r="AM186" s="255">
        <v>6.7928717549777168E-2</v>
      </c>
      <c r="AN186" s="256">
        <v>9.2215004150112273E-2</v>
      </c>
      <c r="AO186" s="257">
        <v>6.911188874609521E-2</v>
      </c>
      <c r="AP186" s="255">
        <v>7.7429817918771293E-2</v>
      </c>
      <c r="AQ186" s="256">
        <v>0.10511299547926405</v>
      </c>
      <c r="AR186" s="257">
        <v>6.8667267527829617E-2</v>
      </c>
      <c r="AS186" s="255">
        <v>8.6863558386232387E-2</v>
      </c>
      <c r="AT186" s="256">
        <v>0.11791954398683059</v>
      </c>
      <c r="AU186" s="257">
        <v>6.8180437560817542E-2</v>
      </c>
      <c r="AV186" s="255">
        <v>9.6224275644648485E-2</v>
      </c>
      <c r="AW186" s="256">
        <v>0.13062696158529075</v>
      </c>
      <c r="AX186" s="257">
        <v>6.7652677192387156E-2</v>
      </c>
      <c r="AY186" s="243">
        <v>0</v>
      </c>
      <c r="AZ186" s="244">
        <v>0</v>
      </c>
      <c r="BA186" s="244">
        <v>0</v>
      </c>
      <c r="BB186" s="244">
        <v>0</v>
      </c>
      <c r="BC186" s="244">
        <v>0</v>
      </c>
      <c r="BD186" s="244">
        <v>0</v>
      </c>
      <c r="BE186" s="244">
        <v>0</v>
      </c>
      <c r="BF186" s="244">
        <v>0</v>
      </c>
      <c r="BG186" s="244">
        <v>0</v>
      </c>
      <c r="BH186" s="245">
        <v>0</v>
      </c>
      <c r="BK186">
        <v>128</v>
      </c>
      <c r="BL186" s="281">
        <v>0.36180904522613155</v>
      </c>
      <c r="BM186" s="281">
        <v>6456.1206030150915</v>
      </c>
      <c r="BN186" s="282">
        <v>6094.1356783919819</v>
      </c>
      <c r="BO186" s="282">
        <v>144.07035175879511</v>
      </c>
      <c r="BP186" s="282">
        <v>0</v>
      </c>
      <c r="BQ186" s="283">
        <v>0</v>
      </c>
      <c r="BR186" s="284"/>
      <c r="BS186" s="147"/>
      <c r="BT186" s="285">
        <v>0.88828495812153552</v>
      </c>
      <c r="BU186" s="288">
        <v>3.0730561266977884E-2</v>
      </c>
      <c r="BV186" s="287">
        <v>0.80476910168836446</v>
      </c>
      <c r="BW186" s="288">
        <v>0</v>
      </c>
      <c r="BX186" s="286">
        <v>99.52205504850275</v>
      </c>
      <c r="BY186" s="287">
        <v>0.47794495149724781</v>
      </c>
      <c r="BZ186" s="288">
        <v>0</v>
      </c>
      <c r="CA186" s="286">
        <v>0.76698117874693328</v>
      </c>
      <c r="CB186" s="286">
        <v>1.1180981710098723</v>
      </c>
      <c r="CC186" s="287">
        <v>1.2185809647500356</v>
      </c>
      <c r="CD186" s="286">
        <v>0</v>
      </c>
      <c r="CE186" s="286">
        <v>15.695684795417268</v>
      </c>
      <c r="CF186" s="286">
        <v>21.309543178687928</v>
      </c>
      <c r="CG186" s="287">
        <v>22.530134350220681</v>
      </c>
      <c r="CH186" s="288">
        <v>0</v>
      </c>
      <c r="CI186" s="286">
        <v>1.6228345500072756</v>
      </c>
      <c r="CJ186" s="286">
        <v>209.6795614666523</v>
      </c>
      <c r="CK186" s="287"/>
      <c r="CL186" s="288"/>
      <c r="CM186" s="286"/>
      <c r="CN186" s="287"/>
      <c r="CO186" s="289"/>
      <c r="CP186" s="290"/>
      <c r="CQ186" s="289"/>
      <c r="CR186" s="290"/>
      <c r="CS186" s="284"/>
      <c r="CT186" s="147"/>
      <c r="CU186" s="291"/>
      <c r="CV186" s="292"/>
    </row>
    <row r="187" spans="2:100">
      <c r="B187">
        <v>129</v>
      </c>
      <c r="C187" s="243">
        <v>0.89168827988442834</v>
      </c>
      <c r="D187" s="592">
        <v>8.8350254080361484E-2</v>
      </c>
      <c r="E187" s="245">
        <v>6.3107049139482507E-3</v>
      </c>
      <c r="F187" s="243">
        <v>5.7979982588387477E-3</v>
      </c>
      <c r="G187" s="245">
        <v>7.8706950904850054E-3</v>
      </c>
      <c r="H187" s="243">
        <v>9.7758968501276938E-2</v>
      </c>
      <c r="I187" s="245">
        <v>0.13270632364556526</v>
      </c>
      <c r="J187" s="242">
        <v>6.8731990274506993E-2</v>
      </c>
      <c r="K187" s="242">
        <v>24.700611108437911</v>
      </c>
      <c r="L187" s="242">
        <v>5.0251256281407036E-3</v>
      </c>
      <c r="M187" s="243">
        <v>91.481784476201113</v>
      </c>
      <c r="N187" s="592">
        <v>26.916147397004799</v>
      </c>
      <c r="O187" s="245">
        <v>0.43375966659921611</v>
      </c>
      <c r="P187" s="245">
        <v>1.5548193605543352</v>
      </c>
      <c r="Q187" s="254">
        <v>68.436706198465572</v>
      </c>
      <c r="R187" s="255">
        <v>0</v>
      </c>
      <c r="S187" s="256">
        <v>0</v>
      </c>
      <c r="T187" s="257">
        <v>0</v>
      </c>
      <c r="U187" s="255">
        <v>9.9982042712553846E-3</v>
      </c>
      <c r="V187" s="256">
        <v>1.357241133204427E-2</v>
      </c>
      <c r="W187" s="257">
        <v>7.2257793958101613E-2</v>
      </c>
      <c r="X187" s="255">
        <v>1.9930806562863983E-2</v>
      </c>
      <c r="Y187" s="256">
        <v>2.7055768967263954E-2</v>
      </c>
      <c r="Z187" s="257">
        <v>7.1783683387847574E-2</v>
      </c>
      <c r="AA187" s="255">
        <v>2.9833209331813656E-2</v>
      </c>
      <c r="AB187" s="256">
        <v>4.0498131206466711E-2</v>
      </c>
      <c r="AC187" s="257">
        <v>7.1565429106706796E-2</v>
      </c>
      <c r="AD187" s="255">
        <v>3.9698852807514694E-2</v>
      </c>
      <c r="AE187" s="256">
        <v>5.3890593260125144E-2</v>
      </c>
      <c r="AF187" s="257">
        <v>7.1299766857212468E-2</v>
      </c>
      <c r="AG187" s="255">
        <v>4.9521177278909798E-2</v>
      </c>
      <c r="AH187" s="256">
        <v>6.7224250419526205E-2</v>
      </c>
      <c r="AI187" s="257">
        <v>7.0986697069610027E-2</v>
      </c>
      <c r="AJ187" s="255">
        <v>5.9293674641061639E-2</v>
      </c>
      <c r="AK187" s="256">
        <v>8.0490268030485493E-2</v>
      </c>
      <c r="AL187" s="257">
        <v>7.0626592705311395E-2</v>
      </c>
      <c r="AM187" s="255">
        <v>6.9009923256693959E-2</v>
      </c>
      <c r="AN187" s="256">
        <v>9.3679928817362937E-2</v>
      </c>
      <c r="AO187" s="257">
        <v>7.0220078672777242E-2</v>
      </c>
      <c r="AP187" s="255">
        <v>7.866362221281202E-2</v>
      </c>
      <c r="AQ187" s="256">
        <v>0.10678467938590769</v>
      </c>
      <c r="AR187" s="257">
        <v>6.9768027455707579E-2</v>
      </c>
      <c r="AS187" s="255">
        <v>8.824862448035474E-2</v>
      </c>
      <c r="AT187" s="256">
        <v>0.11979617523698541</v>
      </c>
      <c r="AU187" s="257">
        <v>6.9271551185168659E-2</v>
      </c>
      <c r="AV187" s="255">
        <v>9.7758968501276938E-2</v>
      </c>
      <c r="AW187" s="256">
        <v>0.13270632364556526</v>
      </c>
      <c r="AX187" s="257">
        <v>6.8731990274506993E-2</v>
      </c>
      <c r="AY187" s="243">
        <v>0</v>
      </c>
      <c r="AZ187" s="244">
        <v>0</v>
      </c>
      <c r="BA187" s="244">
        <v>0</v>
      </c>
      <c r="BB187" s="244">
        <v>0</v>
      </c>
      <c r="BC187" s="244">
        <v>0</v>
      </c>
      <c r="BD187" s="244">
        <v>0</v>
      </c>
      <c r="BE187" s="244">
        <v>0</v>
      </c>
      <c r="BF187" s="244">
        <v>0</v>
      </c>
      <c r="BG187" s="244">
        <v>0</v>
      </c>
      <c r="BH187" s="245">
        <v>0</v>
      </c>
      <c r="BK187">
        <v>129</v>
      </c>
      <c r="BL187" s="281">
        <v>0.35678391959799088</v>
      </c>
      <c r="BM187" s="281">
        <v>6366.4522613065492</v>
      </c>
      <c r="BN187" s="282">
        <v>6061.7587939698715</v>
      </c>
      <c r="BO187" s="282">
        <v>143.76381909547854</v>
      </c>
      <c r="BP187" s="282">
        <v>0</v>
      </c>
      <c r="BQ187" s="283">
        <v>0</v>
      </c>
      <c r="BR187" s="284"/>
      <c r="BS187" s="147"/>
      <c r="BT187" s="285">
        <v>0.88537757497048086</v>
      </c>
      <c r="BU187" s="288">
        <v>3.0633760701443809E-2</v>
      </c>
      <c r="BV187" s="287">
        <v>0.80502086157238195</v>
      </c>
      <c r="BW187" s="288">
        <v>0</v>
      </c>
      <c r="BX187" s="286">
        <v>99.509769895721206</v>
      </c>
      <c r="BY187" s="287">
        <v>0.49023010427878816</v>
      </c>
      <c r="BZ187" s="288">
        <v>0</v>
      </c>
      <c r="CA187" s="286">
        <v>0.76684076274518931</v>
      </c>
      <c r="CB187" s="286">
        <v>1.1182004514424562</v>
      </c>
      <c r="CC187" s="287">
        <v>1.2185440200778086</v>
      </c>
      <c r="CD187" s="286">
        <v>0</v>
      </c>
      <c r="CE187" s="286">
        <v>15.694544436436942</v>
      </c>
      <c r="CF187" s="286">
        <v>21.312592957429715</v>
      </c>
      <c r="CG187" s="287">
        <v>22.531359733745468</v>
      </c>
      <c r="CH187" s="288">
        <v>0</v>
      </c>
      <c r="CI187" s="286">
        <v>1.6176098741827463</v>
      </c>
      <c r="CJ187" s="286">
        <v>210.35411265885188</v>
      </c>
      <c r="CK187" s="287"/>
      <c r="CL187" s="288"/>
      <c r="CM187" s="286"/>
      <c r="CN187" s="287"/>
      <c r="CO187" s="289"/>
      <c r="CP187" s="290"/>
      <c r="CQ187" s="289"/>
      <c r="CR187" s="290"/>
      <c r="CS187" s="284"/>
      <c r="CT187" s="147"/>
      <c r="CU187" s="291"/>
      <c r="CV187" s="292"/>
    </row>
    <row r="188" spans="2:100">
      <c r="B188">
        <v>130</v>
      </c>
      <c r="C188" s="243">
        <v>0.88879539807257291</v>
      </c>
      <c r="D188" s="592">
        <v>8.9955181879543697E-2</v>
      </c>
      <c r="E188" s="245">
        <v>6.3158934682771006E-3</v>
      </c>
      <c r="F188" s="243">
        <v>5.8852259947076973E-3</v>
      </c>
      <c r="G188" s="245">
        <v>7.9888631327247172E-3</v>
      </c>
      <c r="H188" s="243">
        <v>9.9229699105628344E-2</v>
      </c>
      <c r="I188" s="245">
        <v>0.13469873299159413</v>
      </c>
      <c r="J188" s="242">
        <v>6.9769376583028564E-2</v>
      </c>
      <c r="K188" s="242">
        <v>24.80330641500651</v>
      </c>
      <c r="L188" s="242">
        <v>5.0251256281407036E-3</v>
      </c>
      <c r="M188" s="243">
        <v>91.14724511021808</v>
      </c>
      <c r="N188" s="592">
        <v>26.877614754891933</v>
      </c>
      <c r="O188" s="245">
        <v>0.43128795171310341</v>
      </c>
      <c r="P188" s="245">
        <v>1.5612836804122505</v>
      </c>
      <c r="Q188" s="254">
        <v>69.410485812005192</v>
      </c>
      <c r="R188" s="255">
        <v>0</v>
      </c>
      <c r="S188" s="256">
        <v>0</v>
      </c>
      <c r="T188" s="257">
        <v>0</v>
      </c>
      <c r="U188" s="255">
        <v>1.0146238758156484E-2</v>
      </c>
      <c r="V188" s="256">
        <v>1.3772948196679203E-2</v>
      </c>
      <c r="W188" s="257">
        <v>7.332542675313658E-2</v>
      </c>
      <c r="X188" s="255">
        <v>2.0226049505922914E-2</v>
      </c>
      <c r="Y188" s="256">
        <v>2.7455724107083832E-2</v>
      </c>
      <c r="Z188" s="257">
        <v>7.2845360954734512E-2</v>
      </c>
      <c r="AA188" s="255">
        <v>3.0276321976664206E-2</v>
      </c>
      <c r="AB188" s="256">
        <v>4.1098403468512679E-2</v>
      </c>
      <c r="AC188" s="257">
        <v>7.2631892021068872E-2</v>
      </c>
      <c r="AD188" s="255">
        <v>4.0290191704814723E-2</v>
      </c>
      <c r="AE188" s="256">
        <v>5.4691668155216207E-2</v>
      </c>
      <c r="AF188" s="257">
        <v>7.2368814569505127E-2</v>
      </c>
      <c r="AG188" s="255">
        <v>5.0260788067184564E-2</v>
      </c>
      <c r="AH188" s="256">
        <v>6.8226191682816392E-2</v>
      </c>
      <c r="AI188" s="257">
        <v>7.205608409976702E-2</v>
      </c>
      <c r="AJ188" s="255">
        <v>6.018128924721515E-2</v>
      </c>
      <c r="AK188" s="256">
        <v>8.1692713819190979E-2</v>
      </c>
      <c r="AL188" s="257">
        <v>7.1694053330448843E-2</v>
      </c>
      <c r="AM188" s="255">
        <v>7.004495984166173E-2</v>
      </c>
      <c r="AN188" s="256">
        <v>9.5082091633428845E-2</v>
      </c>
      <c r="AO188" s="257">
        <v>7.1283346758298782E-2</v>
      </c>
      <c r="AP188" s="255">
        <v>7.9845187876269819E-2</v>
      </c>
      <c r="AQ188" s="256">
        <v>0.10838534974252792</v>
      </c>
      <c r="AR188" s="257">
        <v>7.0824856387103022E-2</v>
      </c>
      <c r="AS188" s="255">
        <v>8.9575520682604604E-2</v>
      </c>
      <c r="AT188" s="256">
        <v>0.12159372901217237</v>
      </c>
      <c r="AU188" s="257">
        <v>7.031973349739884E-2</v>
      </c>
      <c r="AV188" s="255">
        <v>9.9229699105628344E-2</v>
      </c>
      <c r="AW188" s="256">
        <v>0.13469873299159413</v>
      </c>
      <c r="AX188" s="257">
        <v>6.9769376583028564E-2</v>
      </c>
      <c r="AY188" s="243">
        <v>0</v>
      </c>
      <c r="AZ188" s="244">
        <v>0</v>
      </c>
      <c r="BA188" s="244">
        <v>0</v>
      </c>
      <c r="BB188" s="244">
        <v>0</v>
      </c>
      <c r="BC188" s="244">
        <v>0</v>
      </c>
      <c r="BD188" s="244">
        <v>0</v>
      </c>
      <c r="BE188" s="244">
        <v>0</v>
      </c>
      <c r="BF188" s="244">
        <v>0</v>
      </c>
      <c r="BG188" s="244">
        <v>0</v>
      </c>
      <c r="BH188" s="245">
        <v>0</v>
      </c>
      <c r="BK188">
        <v>130</v>
      </c>
      <c r="BL188" s="281">
        <v>0.35175879396985021</v>
      </c>
      <c r="BM188" s="281">
        <v>6276.7839195980068</v>
      </c>
      <c r="BN188" s="282">
        <v>6029.3819095477611</v>
      </c>
      <c r="BO188" s="282">
        <v>143.45728643216196</v>
      </c>
      <c r="BP188" s="282">
        <v>0</v>
      </c>
      <c r="BQ188" s="283">
        <v>0</v>
      </c>
      <c r="BR188" s="284"/>
      <c r="BS188" s="147"/>
      <c r="BT188" s="285">
        <v>0.88247950460429658</v>
      </c>
      <c r="BU188" s="288">
        <v>3.0537244002181392E-2</v>
      </c>
      <c r="BV188" s="287">
        <v>0.80527215238256888</v>
      </c>
      <c r="BW188" s="288">
        <v>0</v>
      </c>
      <c r="BX188" s="286">
        <v>99.497531949409435</v>
      </c>
      <c r="BY188" s="287">
        <v>0.50246805059056021</v>
      </c>
      <c r="BZ188" s="288">
        <v>0</v>
      </c>
      <c r="CA188" s="286">
        <v>0.76670014233973716</v>
      </c>
      <c r="CB188" s="286">
        <v>1.1183024636800158</v>
      </c>
      <c r="CC188" s="287">
        <v>1.2185070642985689</v>
      </c>
      <c r="CD188" s="286">
        <v>0</v>
      </c>
      <c r="CE188" s="286">
        <v>15.693400263751821</v>
      </c>
      <c r="CF188" s="286">
        <v>21.315638240962791</v>
      </c>
      <c r="CG188" s="287">
        <v>22.532585188180374</v>
      </c>
      <c r="CH188" s="288">
        <v>0</v>
      </c>
      <c r="CI188" s="286">
        <v>1.6124023141820261</v>
      </c>
      <c r="CJ188" s="286">
        <v>211.03252195670044</v>
      </c>
      <c r="CK188" s="287"/>
      <c r="CL188" s="288"/>
      <c r="CM188" s="286"/>
      <c r="CN188" s="287"/>
      <c r="CO188" s="289"/>
      <c r="CP188" s="290"/>
      <c r="CQ188" s="289"/>
      <c r="CR188" s="290"/>
      <c r="CS188" s="284"/>
      <c r="CT188" s="147"/>
      <c r="CU188" s="291"/>
      <c r="CV188" s="292"/>
    </row>
    <row r="189" spans="2:100">
      <c r="B189">
        <v>131</v>
      </c>
      <c r="C189" s="243">
        <v>0.88591072746999355</v>
      </c>
      <c r="D189" s="592">
        <v>9.1512876478617028E-2</v>
      </c>
      <c r="E189" s="245">
        <v>6.3200108830263613E-3</v>
      </c>
      <c r="F189" s="243">
        <v>5.9687378100254495E-3</v>
      </c>
      <c r="G189" s="245">
        <v>8.1019799185828422E-3</v>
      </c>
      <c r="H189" s="243">
        <v>0.1006377762658253</v>
      </c>
      <c r="I189" s="245">
        <v>0.13660597404479943</v>
      </c>
      <c r="J189" s="242">
        <v>7.0765802174343292E-2</v>
      </c>
      <c r="K189" s="242">
        <v>24.902254312640476</v>
      </c>
      <c r="L189" s="242">
        <v>5.0251256281407036E-3</v>
      </c>
      <c r="M189" s="243">
        <v>90.829298242042796</v>
      </c>
      <c r="N189" s="592">
        <v>26.843625380125022</v>
      </c>
      <c r="O189" s="245">
        <v>0.42889107452682845</v>
      </c>
      <c r="P189" s="245">
        <v>1.5675121136381347</v>
      </c>
      <c r="Q189" s="254">
        <v>70.341143514645452</v>
      </c>
      <c r="R189" s="255">
        <v>0</v>
      </c>
      <c r="S189" s="256">
        <v>0</v>
      </c>
      <c r="T189" s="257">
        <v>0</v>
      </c>
      <c r="U189" s="255">
        <v>1.0287448720049112E-2</v>
      </c>
      <c r="V189" s="256">
        <v>1.396420911692438E-2</v>
      </c>
      <c r="W189" s="257">
        <v>7.4343675598475059E-2</v>
      </c>
      <c r="X189" s="255">
        <v>2.0507753920324383E-2</v>
      </c>
      <c r="Y189" s="256">
        <v>2.7837277448948327E-2</v>
      </c>
      <c r="Z189" s="257">
        <v>7.3858453636408014E-2</v>
      </c>
      <c r="AA189" s="255">
        <v>3.0699298758101599E-2</v>
      </c>
      <c r="AB189" s="256">
        <v>4.1671306391602707E-2</v>
      </c>
      <c r="AC189" s="257">
        <v>7.3650612886205016E-2</v>
      </c>
      <c r="AD189" s="255">
        <v>4.0854920017074518E-2</v>
      </c>
      <c r="AE189" s="256">
        <v>5.5456572576813266E-2</v>
      </c>
      <c r="AF189" s="257">
        <v>7.3391006159441163E-2</v>
      </c>
      <c r="AG189" s="255">
        <v>5.0967441269713386E-2</v>
      </c>
      <c r="AH189" s="256">
        <v>6.9183334703557281E-2</v>
      </c>
      <c r="AI189" s="257">
        <v>7.3079537983376713E-2</v>
      </c>
      <c r="AJ189" s="255">
        <v>6.1029731274470388E-2</v>
      </c>
      <c r="AK189" s="256">
        <v>8.2841912806379064E-2</v>
      </c>
      <c r="AL189" s="257">
        <v>7.2716534900779686E-2</v>
      </c>
      <c r="AM189" s="255">
        <v>7.1034744357730092E-2</v>
      </c>
      <c r="AN189" s="256">
        <v>9.6422743069952507E-2</v>
      </c>
      <c r="AO189" s="257">
        <v>7.2302615280186527E-2</v>
      </c>
      <c r="AP189" s="255">
        <v>8.0975560231968877E-2</v>
      </c>
      <c r="AQ189" s="256">
        <v>0.10991643187835218</v>
      </c>
      <c r="AR189" s="257">
        <v>7.1838685241587527E-2</v>
      </c>
      <c r="AS189" s="255">
        <v>9.084542264406506E-2</v>
      </c>
      <c r="AT189" s="256">
        <v>0.12331380827636787</v>
      </c>
      <c r="AU189" s="257">
        <v>7.1325930202348356E-2</v>
      </c>
      <c r="AV189" s="255">
        <v>0.1006377762658253</v>
      </c>
      <c r="AW189" s="256">
        <v>0.13660597404479943</v>
      </c>
      <c r="AX189" s="257">
        <v>7.0765802174343292E-2</v>
      </c>
      <c r="AY189" s="243">
        <v>0</v>
      </c>
      <c r="AZ189" s="244">
        <v>0</v>
      </c>
      <c r="BA189" s="244">
        <v>0</v>
      </c>
      <c r="BB189" s="244">
        <v>0</v>
      </c>
      <c r="BC189" s="244">
        <v>0</v>
      </c>
      <c r="BD189" s="244">
        <v>0</v>
      </c>
      <c r="BE189" s="244">
        <v>0</v>
      </c>
      <c r="BF189" s="244">
        <v>0</v>
      </c>
      <c r="BG189" s="244">
        <v>0</v>
      </c>
      <c r="BH189" s="245">
        <v>0</v>
      </c>
      <c r="BK189">
        <v>131</v>
      </c>
      <c r="BL189" s="281">
        <v>0.34673366834170949</v>
      </c>
      <c r="BM189" s="281">
        <v>6187.1155778894645</v>
      </c>
      <c r="BN189" s="282">
        <v>5997.0050251256507</v>
      </c>
      <c r="BO189" s="282">
        <v>143.15075376884539</v>
      </c>
      <c r="BP189" s="282">
        <v>0</v>
      </c>
      <c r="BQ189" s="283">
        <v>0</v>
      </c>
      <c r="BR189" s="284"/>
      <c r="BS189" s="147"/>
      <c r="BT189" s="285">
        <v>0.87959071658696797</v>
      </c>
      <c r="BU189" s="288">
        <v>3.0441010418114055E-2</v>
      </c>
      <c r="BV189" s="287">
        <v>0.80552297288668862</v>
      </c>
      <c r="BW189" s="288">
        <v>0</v>
      </c>
      <c r="BX189" s="286">
        <v>99.485341013130267</v>
      </c>
      <c r="BY189" s="287">
        <v>0.51465898686973577</v>
      </c>
      <c r="BZ189" s="288">
        <v>0</v>
      </c>
      <c r="CA189" s="286">
        <v>0.76655931570321023</v>
      </c>
      <c r="CB189" s="286">
        <v>1.1184042066375228</v>
      </c>
      <c r="CC189" s="287">
        <v>1.2184700973823646</v>
      </c>
      <c r="CD189" s="286">
        <v>0</v>
      </c>
      <c r="CE189" s="286">
        <v>15.69225224460544</v>
      </c>
      <c r="CF189" s="286">
        <v>21.318679006265636</v>
      </c>
      <c r="CG189" s="287">
        <v>22.533810713296592</v>
      </c>
      <c r="CH189" s="288">
        <v>0</v>
      </c>
      <c r="CI189" s="286">
        <v>1.6072117593512885</v>
      </c>
      <c r="CJ189" s="286">
        <v>211.71480827540441</v>
      </c>
      <c r="CK189" s="287"/>
      <c r="CL189" s="288"/>
      <c r="CM189" s="286"/>
      <c r="CN189" s="287"/>
      <c r="CO189" s="289"/>
      <c r="CP189" s="290"/>
      <c r="CQ189" s="289"/>
      <c r="CR189" s="290"/>
      <c r="CS189" s="284"/>
      <c r="CT189" s="147"/>
      <c r="CU189" s="291"/>
      <c r="CV189" s="292"/>
    </row>
    <row r="190" spans="2:100">
      <c r="B190">
        <v>132</v>
      </c>
      <c r="C190" s="243">
        <v>0.88303424908303119</v>
      </c>
      <c r="D190" s="592">
        <v>9.302387983815541E-2</v>
      </c>
      <c r="E190" s="245">
        <v>6.3230685963288069E-3</v>
      </c>
      <c r="F190" s="243">
        <v>6.0486127436168323E-3</v>
      </c>
      <c r="G190" s="245">
        <v>8.2101531880815013E-3</v>
      </c>
      <c r="H190" s="243">
        <v>0.10198453264076866</v>
      </c>
      <c r="I190" s="245">
        <v>0.13842986338962265</v>
      </c>
      <c r="J190" s="242">
        <v>7.1722227890785889E-2</v>
      </c>
      <c r="K190" s="242">
        <v>24.9974749149731</v>
      </c>
      <c r="L190" s="242">
        <v>5.0251256281407036E-3</v>
      </c>
      <c r="M190" s="243">
        <v>90.527533110067296</v>
      </c>
      <c r="N190" s="592">
        <v>26.814089795479426</v>
      </c>
      <c r="O190" s="245">
        <v>0.42656771392833254</v>
      </c>
      <c r="P190" s="245">
        <v>1.5735059263167139</v>
      </c>
      <c r="Q190" s="254">
        <v>71.229758746995785</v>
      </c>
      <c r="R190" s="255">
        <v>0</v>
      </c>
      <c r="S190" s="256">
        <v>0</v>
      </c>
      <c r="T190" s="257">
        <v>0</v>
      </c>
      <c r="U190" s="255">
        <v>1.0421978180581257E-2</v>
      </c>
      <c r="V190" s="256">
        <v>1.4146390422450807E-2</v>
      </c>
      <c r="W190" s="257">
        <v>7.5313585728347593E-2</v>
      </c>
      <c r="X190" s="255">
        <v>2.0776204116752697E-2</v>
      </c>
      <c r="Y190" s="256">
        <v>2.8200816566641616E-2</v>
      </c>
      <c r="Z190" s="257">
        <v>7.4823979592234746E-2</v>
      </c>
      <c r="AA190" s="255">
        <v>3.110255994746151E-2</v>
      </c>
      <c r="AB190" s="256">
        <v>4.2217412906724434E-2</v>
      </c>
      <c r="AC190" s="257">
        <v>7.462257852032228E-2</v>
      </c>
      <c r="AD190" s="255">
        <v>4.1393590653637555E-2</v>
      </c>
      <c r="AE190" s="256">
        <v>5.6186060287914459E-2</v>
      </c>
      <c r="AF190" s="257">
        <v>7.4367304353675043E-2</v>
      </c>
      <c r="AG190" s="255">
        <v>5.1641820111160225E-2</v>
      </c>
      <c r="AH190" s="256">
        <v>7.0096610908247009E-2</v>
      </c>
      <c r="AI190" s="257">
        <v>7.4058004578346215E-2</v>
      </c>
      <c r="AJ190" s="255">
        <v>6.1839812919160783E-2</v>
      </c>
      <c r="AK190" s="256">
        <v>8.393897224192573E-2</v>
      </c>
      <c r="AL190" s="257">
        <v>7.3694973477634595E-2</v>
      </c>
      <c r="AM190" s="255">
        <v>7.1980217571779442E-2</v>
      </c>
      <c r="AN190" s="256">
        <v>9.7703165638997266E-2</v>
      </c>
      <c r="AO190" s="257">
        <v>7.3278817312063871E-2</v>
      </c>
      <c r="AP190" s="255">
        <v>8.2055809107865169E-2</v>
      </c>
      <c r="AQ190" s="256">
        <v>0.11137938421640559</v>
      </c>
      <c r="AR190" s="257">
        <v>7.2810450546777497E-2</v>
      </c>
      <c r="AS190" s="255">
        <v>9.2059530572262765E-2</v>
      </c>
      <c r="AT190" s="256">
        <v>0.12495804913594075</v>
      </c>
      <c r="AU190" s="257">
        <v>7.2291087263569656E-2</v>
      </c>
      <c r="AV190" s="255">
        <v>0.10198453264076866</v>
      </c>
      <c r="AW190" s="256">
        <v>0.13842986338962265</v>
      </c>
      <c r="AX190" s="257">
        <v>7.1722227890785889E-2</v>
      </c>
      <c r="AY190" s="243">
        <v>0</v>
      </c>
      <c r="AZ190" s="244">
        <v>0</v>
      </c>
      <c r="BA190" s="244">
        <v>0</v>
      </c>
      <c r="BB190" s="244">
        <v>0</v>
      </c>
      <c r="BC190" s="244">
        <v>0</v>
      </c>
      <c r="BD190" s="244">
        <v>0</v>
      </c>
      <c r="BE190" s="244">
        <v>0</v>
      </c>
      <c r="BF190" s="244">
        <v>0</v>
      </c>
      <c r="BG190" s="244">
        <v>0</v>
      </c>
      <c r="BH190" s="245">
        <v>0</v>
      </c>
      <c r="BK190">
        <v>132</v>
      </c>
      <c r="BL190" s="281">
        <v>0.34170854271356882</v>
      </c>
      <c r="BM190" s="281">
        <v>6097.4472361809221</v>
      </c>
      <c r="BN190" s="282">
        <v>5964.6281407035403</v>
      </c>
      <c r="BO190" s="282">
        <v>142.84422110552882</v>
      </c>
      <c r="BP190" s="282">
        <v>0</v>
      </c>
      <c r="BQ190" s="283">
        <v>0</v>
      </c>
      <c r="BR190" s="284"/>
      <c r="BS190" s="147"/>
      <c r="BT190" s="285">
        <v>0.87671118048670327</v>
      </c>
      <c r="BU190" s="288">
        <v>3.0345059196274719E-2</v>
      </c>
      <c r="BV190" s="287">
        <v>0.80577332183245565</v>
      </c>
      <c r="BW190" s="288">
        <v>0</v>
      </c>
      <c r="BX190" s="286">
        <v>99.47319689078617</v>
      </c>
      <c r="BY190" s="287">
        <v>0.52680310921382822</v>
      </c>
      <c r="BZ190" s="288">
        <v>0</v>
      </c>
      <c r="CA190" s="286">
        <v>0.76641828099554554</v>
      </c>
      <c r="CB190" s="286">
        <v>1.1185056792158092</v>
      </c>
      <c r="CC190" s="287">
        <v>1.2184331192991378</v>
      </c>
      <c r="CD190" s="286">
        <v>0</v>
      </c>
      <c r="CE190" s="286">
        <v>15.691100346006348</v>
      </c>
      <c r="CF190" s="286">
        <v>21.321715230034886</v>
      </c>
      <c r="CG190" s="287">
        <v>22.535036308864015</v>
      </c>
      <c r="CH190" s="288">
        <v>0</v>
      </c>
      <c r="CI190" s="286">
        <v>1.60203809985149</v>
      </c>
      <c r="CJ190" s="286">
        <v>212.40099061262498</v>
      </c>
      <c r="CK190" s="287"/>
      <c r="CL190" s="288"/>
      <c r="CM190" s="286"/>
      <c r="CN190" s="287"/>
      <c r="CO190" s="289"/>
      <c r="CP190" s="290"/>
      <c r="CQ190" s="289"/>
      <c r="CR190" s="290"/>
      <c r="CS190" s="284"/>
      <c r="CT190" s="147"/>
      <c r="CU190" s="291"/>
      <c r="CV190" s="292"/>
    </row>
    <row r="191" spans="2:100">
      <c r="B191">
        <v>133</v>
      </c>
      <c r="C191" s="243">
        <v>0.88016594549123717</v>
      </c>
      <c r="D191" s="592">
        <v>9.4488754781241829E-2</v>
      </c>
      <c r="E191" s="245">
        <v>6.3250796176584911E-3</v>
      </c>
      <c r="F191" s="243">
        <v>6.1249309529430368E-3</v>
      </c>
      <c r="G191" s="245">
        <v>8.3134921868285323E-3</v>
      </c>
      <c r="H191" s="243">
        <v>0.1032713197504786</v>
      </c>
      <c r="I191" s="245">
        <v>0.14017224299590558</v>
      </c>
      <c r="J191" s="242">
        <v>7.2639607120558308E-2</v>
      </c>
      <c r="K191" s="242">
        <v>25.088994255257575</v>
      </c>
      <c r="L191" s="242">
        <v>5.0251256281407036E-3</v>
      </c>
      <c r="M191" s="243">
        <v>90.241539452752505</v>
      </c>
      <c r="N191" s="592">
        <v>26.788917671794437</v>
      </c>
      <c r="O191" s="245">
        <v>0.42431648293934832</v>
      </c>
      <c r="P191" s="245">
        <v>1.57926675715263</v>
      </c>
      <c r="Q191" s="254">
        <v>72.077409561624094</v>
      </c>
      <c r="R191" s="255">
        <v>0</v>
      </c>
      <c r="S191" s="256">
        <v>0</v>
      </c>
      <c r="T191" s="257">
        <v>0</v>
      </c>
      <c r="U191" s="255">
        <v>1.0549975543016111E-2</v>
      </c>
      <c r="V191" s="256">
        <v>1.4319694364220245E-2</v>
      </c>
      <c r="W191" s="257">
        <v>7.62362339011846E-2</v>
      </c>
      <c r="X191" s="255">
        <v>2.1031692652896207E-2</v>
      </c>
      <c r="Y191" s="256">
        <v>2.8546740181881983E-2</v>
      </c>
      <c r="Z191" s="257">
        <v>7.5742984807566527E-2</v>
      </c>
      <c r="AA191" s="255">
        <v>3.1486537483287495E-2</v>
      </c>
      <c r="AB191" s="256">
        <v>4.2737311713173978E-2</v>
      </c>
      <c r="AC191" s="257">
        <v>7.5548800339914082E-2</v>
      </c>
      <c r="AD191" s="255">
        <v>4.1906771102246602E-2</v>
      </c>
      <c r="AE191" s="256">
        <v>5.688090474984641E-2</v>
      </c>
      <c r="AF191" s="257">
        <v>7.5298692801788678E-2</v>
      </c>
      <c r="AG191" s="255">
        <v>5.2284624742815887E-2</v>
      </c>
      <c r="AH191" s="256">
        <v>7.0966974587983428E-2</v>
      </c>
      <c r="AI191" s="257">
        <v>7.4992446599408333E-2</v>
      </c>
      <c r="AJ191" s="255">
        <v>6.2612365043366536E-2</v>
      </c>
      <c r="AK191" s="256">
        <v>8.4985024580035387E-2</v>
      </c>
      <c r="AL191" s="257">
        <v>7.4630317578762526E-2</v>
      </c>
      <c r="AM191" s="255">
        <v>7.2882340007810603E-2</v>
      </c>
      <c r="AN191" s="256">
        <v>9.8924668517540573E-2</v>
      </c>
      <c r="AO191" s="257">
        <v>7.4212893703527294E-2</v>
      </c>
      <c r="AP191" s="255">
        <v>8.3087024501090845E-2</v>
      </c>
      <c r="AQ191" s="256">
        <v>0.11277569238307029</v>
      </c>
      <c r="AR191" s="257">
        <v>7.3741091696890623E-2</v>
      </c>
      <c r="AS191" s="255">
        <v>9.3219064551598924E-2</v>
      </c>
      <c r="AT191" s="256">
        <v>0.12652811448279355</v>
      </c>
      <c r="AU191" s="257">
        <v>7.3216148420176985E-2</v>
      </c>
      <c r="AV191" s="255">
        <v>0.1032713197504786</v>
      </c>
      <c r="AW191" s="256">
        <v>0.14017224299590558</v>
      </c>
      <c r="AX191" s="257">
        <v>7.2639607120558308E-2</v>
      </c>
      <c r="AY191" s="243">
        <v>0</v>
      </c>
      <c r="AZ191" s="244">
        <v>0</v>
      </c>
      <c r="BA191" s="244">
        <v>0</v>
      </c>
      <c r="BB191" s="244">
        <v>0</v>
      </c>
      <c r="BC191" s="244">
        <v>0</v>
      </c>
      <c r="BD191" s="244">
        <v>0</v>
      </c>
      <c r="BE191" s="244">
        <v>0</v>
      </c>
      <c r="BF191" s="244">
        <v>0</v>
      </c>
      <c r="BG191" s="244">
        <v>0</v>
      </c>
      <c r="BH191" s="245">
        <v>0</v>
      </c>
      <c r="BK191">
        <v>133</v>
      </c>
      <c r="BL191" s="281">
        <v>0.33668341708542815</v>
      </c>
      <c r="BM191" s="281">
        <v>6007.7788944723798</v>
      </c>
      <c r="BN191" s="282">
        <v>5932.25125628143</v>
      </c>
      <c r="BO191" s="282">
        <v>142.53768844221224</v>
      </c>
      <c r="BP191" s="282">
        <v>0</v>
      </c>
      <c r="BQ191" s="283">
        <v>0</v>
      </c>
      <c r="BR191" s="284"/>
      <c r="BS191" s="147"/>
      <c r="BT191" s="285">
        <v>0.87384086587357956</v>
      </c>
      <c r="BU191" s="288">
        <v>3.0249389581737975E-2</v>
      </c>
      <c r="BV191" s="287">
        <v>0.80602319794711763</v>
      </c>
      <c r="BW191" s="288">
        <v>0</v>
      </c>
      <c r="BX191" s="286">
        <v>99.461099386606534</v>
      </c>
      <c r="BY191" s="287">
        <v>0.53890061339347017</v>
      </c>
      <c r="BZ191" s="288">
        <v>0</v>
      </c>
      <c r="CA191" s="286">
        <v>0.76627703636384459</v>
      </c>
      <c r="CB191" s="286">
        <v>1.1186068803012912</v>
      </c>
      <c r="CC191" s="287">
        <v>1.2183961300187383</v>
      </c>
      <c r="CD191" s="286">
        <v>0</v>
      </c>
      <c r="CE191" s="286">
        <v>15.689944534725523</v>
      </c>
      <c r="CF191" s="286">
        <v>21.324746888680341</v>
      </c>
      <c r="CG191" s="287">
        <v>22.53626197465136</v>
      </c>
      <c r="CH191" s="288">
        <v>0</v>
      </c>
      <c r="CI191" s="286">
        <v>1.596881226650539</v>
      </c>
      <c r="CJ191" s="286">
        <v>213.09108804779441</v>
      </c>
      <c r="CK191" s="287"/>
      <c r="CL191" s="288"/>
      <c r="CM191" s="286"/>
      <c r="CN191" s="287"/>
      <c r="CO191" s="289"/>
      <c r="CP191" s="290"/>
      <c r="CQ191" s="289"/>
      <c r="CR191" s="290"/>
      <c r="CS191" s="284"/>
      <c r="CT191" s="147"/>
      <c r="CU191" s="291"/>
      <c r="CV191" s="292"/>
    </row>
    <row r="192" spans="2:100">
      <c r="B192">
        <v>134</v>
      </c>
      <c r="C192" s="243">
        <v>0.87730580073587805</v>
      </c>
      <c r="D192" s="592">
        <v>9.5908083053295748E-2</v>
      </c>
      <c r="E192" s="245">
        <v>6.3260584160862443E-3</v>
      </c>
      <c r="F192" s="243">
        <v>6.1977734394346538E-3</v>
      </c>
      <c r="G192" s="245">
        <v>8.4121072929785289E-3</v>
      </c>
      <c r="H192" s="243">
        <v>0.10449950334498607</v>
      </c>
      <c r="I192" s="245">
        <v>0.14183497392914984</v>
      </c>
      <c r="J192" s="242">
        <v>7.35188838756273E-2</v>
      </c>
      <c r="K192" s="242">
        <v>25.176843892876022</v>
      </c>
      <c r="L192" s="242">
        <v>5.0251256281407036E-3</v>
      </c>
      <c r="M192" s="243">
        <v>89.97090849028362</v>
      </c>
      <c r="N192" s="592">
        <v>26.768018118450954</v>
      </c>
      <c r="O192" s="245">
        <v>0.42213593812836309</v>
      </c>
      <c r="P192" s="245">
        <v>1.5847965927015242</v>
      </c>
      <c r="Q192" s="254">
        <v>72.885170080799256</v>
      </c>
      <c r="R192" s="255">
        <v>0</v>
      </c>
      <c r="S192" s="256">
        <v>0</v>
      </c>
      <c r="T192" s="257">
        <v>0</v>
      </c>
      <c r="U192" s="255">
        <v>1.0671592885687415E-2</v>
      </c>
      <c r="V192" s="256">
        <v>1.4484328157303139E-2</v>
      </c>
      <c r="W192" s="257">
        <v>7.7112723303700559E-2</v>
      </c>
      <c r="X192" s="255">
        <v>2.1274518991393064E-2</v>
      </c>
      <c r="Y192" s="256">
        <v>2.8875456341048898E-2</v>
      </c>
      <c r="Z192" s="257">
        <v>7.6616538482783006E-2</v>
      </c>
      <c r="AA192" s="255">
        <v>3.1851673050640412E-2</v>
      </c>
      <c r="AB192" s="256">
        <v>4.323160466919241E-2</v>
      </c>
      <c r="AC192" s="257">
        <v>7.6430310174713398E-2</v>
      </c>
      <c r="AD192" s="255">
        <v>4.239504098481784E-2</v>
      </c>
      <c r="AE192" s="256">
        <v>5.7541895801702755E-2</v>
      </c>
      <c r="AF192" s="257">
        <v>7.6186172289963786E-2</v>
      </c>
      <c r="AG192" s="255">
        <v>5.289656932605824E-2</v>
      </c>
      <c r="AH192" s="256">
        <v>7.1795398936342555E-2</v>
      </c>
      <c r="AI192" s="257">
        <v>7.5883840202537606E-2</v>
      </c>
      <c r="AJ192" s="255">
        <v>6.3348233833481593E-2</v>
      </c>
      <c r="AK192" s="256">
        <v>8.5981222940048105E-2</v>
      </c>
      <c r="AL192" s="257">
        <v>7.5523525106076919E-2</v>
      </c>
      <c r="AM192" s="255">
        <v>7.3742088224489952E-2</v>
      </c>
      <c r="AN192" s="256">
        <v>0.1000885824908893</v>
      </c>
      <c r="AO192" s="257">
        <v>7.5105790325616581E-2</v>
      </c>
      <c r="AP192" s="255">
        <v>8.407031251519867E-2</v>
      </c>
      <c r="AQ192" s="256">
        <v>0.11410686368951826</v>
      </c>
      <c r="AR192" s="257">
        <v>7.4631548493210464E-2</v>
      </c>
      <c r="AS192" s="255">
        <v>9.432526017838308E-2</v>
      </c>
      <c r="AT192" s="256">
        <v>0.12802568806565673</v>
      </c>
      <c r="AU192" s="257">
        <v>7.4102053003320761E-2</v>
      </c>
      <c r="AV192" s="255">
        <v>0.10449950334498607</v>
      </c>
      <c r="AW192" s="256">
        <v>0.14183497392914984</v>
      </c>
      <c r="AX192" s="257">
        <v>7.35188838756273E-2</v>
      </c>
      <c r="AY192" s="243">
        <v>0</v>
      </c>
      <c r="AZ192" s="244">
        <v>0</v>
      </c>
      <c r="BA192" s="244">
        <v>0</v>
      </c>
      <c r="BB192" s="244">
        <v>0</v>
      </c>
      <c r="BC192" s="244">
        <v>0</v>
      </c>
      <c r="BD192" s="244">
        <v>0</v>
      </c>
      <c r="BE192" s="244">
        <v>0</v>
      </c>
      <c r="BF192" s="244">
        <v>0</v>
      </c>
      <c r="BG192" s="244">
        <v>0</v>
      </c>
      <c r="BH192" s="245">
        <v>0</v>
      </c>
      <c r="BK192">
        <v>134</v>
      </c>
      <c r="BL192" s="281">
        <v>0.33165829145728748</v>
      </c>
      <c r="BM192" s="281">
        <v>5918.1105527638374</v>
      </c>
      <c r="BN192" s="282">
        <v>5899.8743718593196</v>
      </c>
      <c r="BO192" s="282">
        <v>142.23115577889567</v>
      </c>
      <c r="BP192" s="282">
        <v>0</v>
      </c>
      <c r="BQ192" s="283">
        <v>0</v>
      </c>
      <c r="BR192" s="284"/>
      <c r="BS192" s="147"/>
      <c r="BT192" s="285">
        <v>0.87097974231979269</v>
      </c>
      <c r="BU192" s="288">
        <v>3.0154000817638409E-2</v>
      </c>
      <c r="BV192" s="287">
        <v>0.80627259993781863</v>
      </c>
      <c r="BW192" s="288">
        <v>0</v>
      </c>
      <c r="BX192" s="286">
        <v>99.44904830514642</v>
      </c>
      <c r="BY192" s="287">
        <v>0.55095169485357887</v>
      </c>
      <c r="BZ192" s="288">
        <v>0</v>
      </c>
      <c r="CA192" s="286">
        <v>0.76613557994224657</v>
      </c>
      <c r="CB192" s="286">
        <v>1.1187078087661184</v>
      </c>
      <c r="CC192" s="287">
        <v>1.2183591295109195</v>
      </c>
      <c r="CD192" s="286">
        <v>0</v>
      </c>
      <c r="CE192" s="286">
        <v>15.688784777294055</v>
      </c>
      <c r="CF192" s="286">
        <v>21.327773958326663</v>
      </c>
      <c r="CG192" s="287">
        <v>22.53748771042611</v>
      </c>
      <c r="CH192" s="288">
        <v>0</v>
      </c>
      <c r="CI192" s="286">
        <v>1.5917410315217089</v>
      </c>
      <c r="CJ192" s="286">
        <v>213.78511974208649</v>
      </c>
      <c r="CK192" s="287"/>
      <c r="CL192" s="288"/>
      <c r="CM192" s="286"/>
      <c r="CN192" s="287"/>
      <c r="CO192" s="289"/>
      <c r="CP192" s="290"/>
      <c r="CQ192" s="289"/>
      <c r="CR192" s="290"/>
      <c r="CS192" s="284"/>
      <c r="CT192" s="147"/>
      <c r="CU192" s="291"/>
      <c r="CV192" s="292"/>
    </row>
    <row r="193" spans="2:100">
      <c r="B193">
        <v>135</v>
      </c>
      <c r="C193" s="243">
        <v>0.87445380020677033</v>
      </c>
      <c r="D193" s="592">
        <v>9.7282463512575246E-2</v>
      </c>
      <c r="E193" s="245">
        <v>6.3260208122253303E-3</v>
      </c>
      <c r="F193" s="243">
        <v>6.2672217944726655E-3</v>
      </c>
      <c r="G193" s="245">
        <v>8.5061096722857266E-3</v>
      </c>
      <c r="H193" s="243">
        <v>0.10567045912136575</v>
      </c>
      <c r="I193" s="245">
        <v>0.14341993053442795</v>
      </c>
      <c r="J193" s="242">
        <v>7.4360991159824918E-2</v>
      </c>
      <c r="K193" s="242">
        <v>25.261060522084581</v>
      </c>
      <c r="L193" s="242">
        <v>5.0251256281407036E-3</v>
      </c>
      <c r="M193" s="243">
        <v>89.715233809887636</v>
      </c>
      <c r="N193" s="592">
        <v>26.751299949196127</v>
      </c>
      <c r="O193" s="245">
        <v>0.42002458839923912</v>
      </c>
      <c r="P193" s="245">
        <v>1.5900977427418712</v>
      </c>
      <c r="Q193" s="254">
        <v>73.654108206619057</v>
      </c>
      <c r="R193" s="255">
        <v>0</v>
      </c>
      <c r="S193" s="256">
        <v>0</v>
      </c>
      <c r="T193" s="257">
        <v>0</v>
      </c>
      <c r="U193" s="255">
        <v>1.0786985292467232E-2</v>
      </c>
      <c r="V193" s="256">
        <v>1.4640503071389999E-2</v>
      </c>
      <c r="W193" s="257">
        <v>7.7944178708892212E-2</v>
      </c>
      <c r="X193" s="255">
        <v>2.1504988226269325E-2</v>
      </c>
      <c r="Y193" s="256">
        <v>2.9187380685200676E-2</v>
      </c>
      <c r="Z193" s="257">
        <v>7.7445728665087005E-2</v>
      </c>
      <c r="AA193" s="255">
        <v>3.219841626130282E-2</v>
      </c>
      <c r="AB193" s="256">
        <v>4.370090432001298E-2</v>
      </c>
      <c r="AC193" s="257">
        <v>7.7268156317536862E-2</v>
      </c>
      <c r="AD193" s="255">
        <v>4.2858989746207728E-2</v>
      </c>
      <c r="AE193" s="256">
        <v>5.8169836520886573E-2</v>
      </c>
      <c r="AF193" s="257">
        <v>7.7030757187270885E-2</v>
      </c>
      <c r="AG193" s="255">
        <v>5.3478379281261222E-2</v>
      </c>
      <c r="AH193" s="256">
        <v>7.2582872312527774E-2</v>
      </c>
      <c r="AI193" s="257">
        <v>7.6733171804504341E-2</v>
      </c>
      <c r="AJ193" s="255">
        <v>6.4048277657590913E-2</v>
      </c>
      <c r="AK193" s="256">
        <v>8.6928736837901616E-2</v>
      </c>
      <c r="AL193" s="257">
        <v>7.6375560515020868E-2</v>
      </c>
      <c r="AM193" s="255">
        <v>7.4560451326200108E-2</v>
      </c>
      <c r="AN193" s="256">
        <v>0.10119625521393313</v>
      </c>
      <c r="AO193" s="257">
        <v>7.5958455567484942E-2</v>
      </c>
      <c r="AP193" s="255">
        <v>8.5006791567251688E-2</v>
      </c>
      <c r="AQ193" s="256">
        <v>0.11537442198038841</v>
      </c>
      <c r="AR193" s="257">
        <v>7.5482758947582065E-2</v>
      </c>
      <c r="AS193" s="255">
        <v>9.537936450389424E-2</v>
      </c>
      <c r="AT193" s="256">
        <v>0.12945246898052465</v>
      </c>
      <c r="AU193" s="257">
        <v>7.4949734028956577E-2</v>
      </c>
      <c r="AV193" s="255">
        <v>0.10567045912136575</v>
      </c>
      <c r="AW193" s="256">
        <v>0.14341993053442795</v>
      </c>
      <c r="AX193" s="257">
        <v>7.4360991159824918E-2</v>
      </c>
      <c r="AY193" s="243">
        <v>0</v>
      </c>
      <c r="AZ193" s="244">
        <v>0</v>
      </c>
      <c r="BA193" s="244">
        <v>0</v>
      </c>
      <c r="BB193" s="244">
        <v>0</v>
      </c>
      <c r="BC193" s="244">
        <v>0</v>
      </c>
      <c r="BD193" s="244">
        <v>0</v>
      </c>
      <c r="BE193" s="244">
        <v>0</v>
      </c>
      <c r="BF193" s="244">
        <v>0</v>
      </c>
      <c r="BG193" s="244">
        <v>0</v>
      </c>
      <c r="BH193" s="245">
        <v>0</v>
      </c>
      <c r="BK193">
        <v>135</v>
      </c>
      <c r="BL193" s="281">
        <v>0.32663316582914675</v>
      </c>
      <c r="BM193" s="281">
        <v>5828.442211055295</v>
      </c>
      <c r="BN193" s="282">
        <v>5867.4974874372092</v>
      </c>
      <c r="BO193" s="282">
        <v>141.9246231155791</v>
      </c>
      <c r="BP193" s="282">
        <v>0</v>
      </c>
      <c r="BQ193" s="283">
        <v>0</v>
      </c>
      <c r="BR193" s="284"/>
      <c r="BS193" s="147"/>
      <c r="BT193" s="285">
        <v>0.86812777939454588</v>
      </c>
      <c r="BU193" s="288">
        <v>3.005889214501075E-2</v>
      </c>
      <c r="BV193" s="287">
        <v>0.80652152649049325</v>
      </c>
      <c r="BW193" s="288">
        <v>0</v>
      </c>
      <c r="BX193" s="286">
        <v>99.437043451261658</v>
      </c>
      <c r="BY193" s="287">
        <v>0.56295654873834167</v>
      </c>
      <c r="BZ193" s="288">
        <v>0</v>
      </c>
      <c r="CA193" s="286">
        <v>0.76599390985174576</v>
      </c>
      <c r="CB193" s="286">
        <v>1.1188084634675461</v>
      </c>
      <c r="CC193" s="287">
        <v>1.2183221177453269</v>
      </c>
      <c r="CD193" s="286">
        <v>0</v>
      </c>
      <c r="CE193" s="286">
        <v>15.687621039999831</v>
      </c>
      <c r="CF193" s="286">
        <v>21.330796414802609</v>
      </c>
      <c r="CG193" s="287">
        <v>22.538713515954409</v>
      </c>
      <c r="CH193" s="288">
        <v>0</v>
      </c>
      <c r="CI193" s="286">
        <v>1.5866174070294257</v>
      </c>
      <c r="CJ193" s="286">
        <v>214.4831049370988</v>
      </c>
      <c r="CK193" s="287"/>
      <c r="CL193" s="288"/>
      <c r="CM193" s="286"/>
      <c r="CN193" s="287"/>
      <c r="CO193" s="289"/>
      <c r="CP193" s="290"/>
      <c r="CQ193" s="289"/>
      <c r="CR193" s="290"/>
      <c r="CS193" s="284"/>
      <c r="CT193" s="147"/>
      <c r="CU193" s="291"/>
      <c r="CV193" s="292"/>
    </row>
    <row r="194" spans="2:100">
      <c r="B194">
        <v>136</v>
      </c>
      <c r="C194" s="243">
        <v>0.87160993053048241</v>
      </c>
      <c r="D194" s="592">
        <v>9.8612510439585868E-2</v>
      </c>
      <c r="E194" s="245">
        <v>6.3249838659946711E-3</v>
      </c>
      <c r="F194" s="243">
        <v>6.3333579651270048E-3</v>
      </c>
      <c r="G194" s="245">
        <v>8.5956109600346317E-3</v>
      </c>
      <c r="H194" s="243">
        <v>0.10678556877389736</v>
      </c>
      <c r="I194" s="245">
        <v>0.14492899507347481</v>
      </c>
      <c r="J194" s="242">
        <v>7.5166849598822708E-2</v>
      </c>
      <c r="K194" s="242">
        <v>25.341685585010964</v>
      </c>
      <c r="L194" s="242">
        <v>5.0251256281407036E-3</v>
      </c>
      <c r="M194" s="243">
        <v>89.474112160865133</v>
      </c>
      <c r="N194" s="592">
        <v>26.738671924297133</v>
      </c>
      <c r="O194" s="245">
        <v>0.41798090317160114</v>
      </c>
      <c r="P194" s="245">
        <v>1.5951728159144951</v>
      </c>
      <c r="Q194" s="254">
        <v>74.385283566941894</v>
      </c>
      <c r="R194" s="255">
        <v>0</v>
      </c>
      <c r="S194" s="256">
        <v>0</v>
      </c>
      <c r="T194" s="257">
        <v>0</v>
      </c>
      <c r="U194" s="255">
        <v>1.0896310219152409E-2</v>
      </c>
      <c r="V194" s="256">
        <v>1.4788433570216745E-2</v>
      </c>
      <c r="W194" s="257">
        <v>7.8731741894448287E-2</v>
      </c>
      <c r="X194" s="255">
        <v>2.1723409879126708E-2</v>
      </c>
      <c r="Y194" s="256">
        <v>2.9482934815070357E-2</v>
      </c>
      <c r="Z194" s="257">
        <v>7.8231658125540574E-2</v>
      </c>
      <c r="AA194" s="255">
        <v>3.2527222935980447E-2</v>
      </c>
      <c r="AB194" s="256">
        <v>4.4145831564787713E-2</v>
      </c>
      <c r="AC194" s="257">
        <v>7.8063399807852096E-2</v>
      </c>
      <c r="AD194" s="255">
        <v>4.3299214476392615E-2</v>
      </c>
      <c r="AE194" s="256">
        <v>5.8765540265290711E-2</v>
      </c>
      <c r="AF194" s="257">
        <v>7.7833472119600011E-2</v>
      </c>
      <c r="AG194" s="255">
        <v>5.4030788701351612E-2</v>
      </c>
      <c r="AH194" s="256">
        <v>7.3330394728657988E-2</v>
      </c>
      <c r="AI194" s="257">
        <v>7.7541435128698905E-2</v>
      </c>
      <c r="AJ194" s="255">
        <v>6.4713364119092717E-2</v>
      </c>
      <c r="AK194" s="256">
        <v>8.7828748184712882E-2</v>
      </c>
      <c r="AL194" s="257">
        <v>7.7187392212755307E-2</v>
      </c>
      <c r="AM194" s="255">
        <v>7.5338427702723657E-2</v>
      </c>
      <c r="AN194" s="256">
        <v>0.10224904678356074</v>
      </c>
      <c r="AO194" s="257">
        <v>7.6771838067547574E-2</v>
      </c>
      <c r="AP194" s="255">
        <v>8.5897588857039853E-2</v>
      </c>
      <c r="AQ194" s="256">
        <v>0.11657990283915906</v>
      </c>
      <c r="AR194" s="257">
        <v>7.6295657328318472E-2</v>
      </c>
      <c r="AS194" s="255">
        <v>9.6382632274369745E-2</v>
      </c>
      <c r="AT194" s="256">
        <v>0.13081016656508324</v>
      </c>
      <c r="AU194" s="257">
        <v>7.576011654241567E-2</v>
      </c>
      <c r="AV194" s="255">
        <v>0.10678556877389736</v>
      </c>
      <c r="AW194" s="256">
        <v>0.14492899507347481</v>
      </c>
      <c r="AX194" s="257">
        <v>7.5166849598822708E-2</v>
      </c>
      <c r="AY194" s="243">
        <v>0</v>
      </c>
      <c r="AZ194" s="244">
        <v>0</v>
      </c>
      <c r="BA194" s="244">
        <v>0</v>
      </c>
      <c r="BB194" s="244">
        <v>0</v>
      </c>
      <c r="BC194" s="244">
        <v>0</v>
      </c>
      <c r="BD194" s="244">
        <v>0</v>
      </c>
      <c r="BE194" s="244">
        <v>0</v>
      </c>
      <c r="BF194" s="244">
        <v>0</v>
      </c>
      <c r="BG194" s="244">
        <v>0</v>
      </c>
      <c r="BH194" s="245">
        <v>0</v>
      </c>
      <c r="BK194">
        <v>136</v>
      </c>
      <c r="BL194" s="281">
        <v>0.32160804020100608</v>
      </c>
      <c r="BM194" s="281">
        <v>5738.7738693467527</v>
      </c>
      <c r="BN194" s="282">
        <v>5835.1206030150988</v>
      </c>
      <c r="BO194" s="282">
        <v>141.61809045226252</v>
      </c>
      <c r="BP194" s="282">
        <v>0</v>
      </c>
      <c r="BQ194" s="283">
        <v>0</v>
      </c>
      <c r="BR194" s="284"/>
      <c r="BS194" s="147"/>
      <c r="BT194" s="285">
        <v>0.86528494666448863</v>
      </c>
      <c r="BU194" s="288">
        <v>2.9964062802814353E-2</v>
      </c>
      <c r="BV194" s="287">
        <v>0.80676997627029923</v>
      </c>
      <c r="BW194" s="288">
        <v>0</v>
      </c>
      <c r="BX194" s="286">
        <v>99.425084630108515</v>
      </c>
      <c r="BY194" s="287">
        <v>0.57491536989148651</v>
      </c>
      <c r="BZ194" s="288">
        <v>0</v>
      </c>
      <c r="CA194" s="286">
        <v>0.76585202420006449</v>
      </c>
      <c r="CB194" s="286">
        <v>1.1189088432481185</v>
      </c>
      <c r="CC194" s="287">
        <v>1.218285094691512</v>
      </c>
      <c r="CD194" s="286">
        <v>0</v>
      </c>
      <c r="CE194" s="286">
        <v>15.686453288885204</v>
      </c>
      <c r="CF194" s="286">
        <v>21.333814233643249</v>
      </c>
      <c r="CG194" s="287">
        <v>22.539939391001198</v>
      </c>
      <c r="CH194" s="288">
        <v>0</v>
      </c>
      <c r="CI194" s="286">
        <v>1.5815102465282638</v>
      </c>
      <c r="CJ194" s="286">
        <v>215.18506295483732</v>
      </c>
      <c r="CK194" s="287"/>
      <c r="CL194" s="288"/>
      <c r="CM194" s="286"/>
      <c r="CN194" s="287"/>
      <c r="CO194" s="289"/>
      <c r="CP194" s="290"/>
      <c r="CQ194" s="289"/>
      <c r="CR194" s="290"/>
      <c r="CS194" s="284"/>
      <c r="CT194" s="147"/>
      <c r="CU194" s="291"/>
      <c r="CV194" s="292"/>
    </row>
    <row r="195" spans="2:100">
      <c r="B195">
        <v>137</v>
      </c>
      <c r="C195" s="243">
        <v>0.86877417945930746</v>
      </c>
      <c r="D195" s="592">
        <v>9.9898851957617316E-2</v>
      </c>
      <c r="E195" s="245">
        <v>6.3229657686296736E-3</v>
      </c>
      <c r="F195" s="243">
        <v>6.3962640388882065E-3</v>
      </c>
      <c r="G195" s="245">
        <v>8.6807229688049391E-3</v>
      </c>
      <c r="H195" s="243">
        <v>0.10784621636446631</v>
      </c>
      <c r="I195" s="245">
        <v>0.14636405279736645</v>
      </c>
      <c r="J195" s="242">
        <v>7.5937366306376555E-2</v>
      </c>
      <c r="K195" s="242">
        <v>25.418764890888902</v>
      </c>
      <c r="L195" s="242">
        <v>5.0251256281407036E-3</v>
      </c>
      <c r="M195" s="243">
        <v>89.247144164828256</v>
      </c>
      <c r="N195" s="592">
        <v>26.730042970596596</v>
      </c>
      <c r="O195" s="245">
        <v>0.41600331996379847</v>
      </c>
      <c r="P195" s="245">
        <v>1.6000246957546731</v>
      </c>
      <c r="Q195" s="254">
        <v>75.079745682680937</v>
      </c>
      <c r="R195" s="255">
        <v>0</v>
      </c>
      <c r="S195" s="256">
        <v>0</v>
      </c>
      <c r="T195" s="257">
        <v>0</v>
      </c>
      <c r="U195" s="255">
        <v>1.0999726896676474E-2</v>
      </c>
      <c r="V195" s="256">
        <v>1.4928336501123888E-2</v>
      </c>
      <c r="W195" s="257">
        <v>7.9476567328065642E-2</v>
      </c>
      <c r="X195" s="255">
        <v>2.1930096766406282E-2</v>
      </c>
      <c r="Y195" s="256">
        <v>2.9762544752819128E-2</v>
      </c>
      <c r="Z195" s="257">
        <v>7.8975440484319481E-2</v>
      </c>
      <c r="AA195" s="255">
        <v>3.2838553489795454E-2</v>
      </c>
      <c r="AB195" s="256">
        <v>4.4567013464119946E-2</v>
      </c>
      <c r="AC195" s="257">
        <v>7.8817110948789154E-2</v>
      </c>
      <c r="AD195" s="255">
        <v>4.3716317866843511E-2</v>
      </c>
      <c r="AE195" s="256">
        <v>5.9329827898137961E-2</v>
      </c>
      <c r="AF195" s="257">
        <v>7.8595348867480277E-2</v>
      </c>
      <c r="AG195" s="255">
        <v>5.4554537929785374E-2</v>
      </c>
      <c r="AH195" s="256">
        <v>7.4038974560835066E-2</v>
      </c>
      <c r="AI195" s="257">
        <v>7.8309628469871856E-2</v>
      </c>
      <c r="AJ195" s="255">
        <v>6.5344367304818712E-2</v>
      </c>
      <c r="AK195" s="256">
        <v>8.8682447550048712E-2</v>
      </c>
      <c r="AL195" s="257">
        <v>7.7959990174145066E-2</v>
      </c>
      <c r="AM195" s="255">
        <v>7.6077021993783939E-2</v>
      </c>
      <c r="AN195" s="256">
        <v>0.10324832561704403</v>
      </c>
      <c r="AO195" s="257">
        <v>7.7546884664396021E-2</v>
      </c>
      <c r="AP195" s="255">
        <v>8.674383709210938E-2</v>
      </c>
      <c r="AQ195" s="256">
        <v>0.11772484914156754</v>
      </c>
      <c r="AR195" s="257">
        <v>7.7071172430129772E-2</v>
      </c>
      <c r="AS195" s="255">
        <v>9.7336322458567118E-2</v>
      </c>
      <c r="AT195" s="256">
        <v>0.13210049568434579</v>
      </c>
      <c r="AU195" s="257">
        <v>7.6534116192756796E-2</v>
      </c>
      <c r="AV195" s="255">
        <v>0.10784621636446631</v>
      </c>
      <c r="AW195" s="256">
        <v>0.14636405279736645</v>
      </c>
      <c r="AX195" s="257">
        <v>7.5937366306376555E-2</v>
      </c>
      <c r="AY195" s="243">
        <v>0</v>
      </c>
      <c r="AZ195" s="244">
        <v>0</v>
      </c>
      <c r="BA195" s="244">
        <v>0</v>
      </c>
      <c r="BB195" s="244">
        <v>0</v>
      </c>
      <c r="BC195" s="244">
        <v>0</v>
      </c>
      <c r="BD195" s="244">
        <v>0</v>
      </c>
      <c r="BE195" s="244">
        <v>0</v>
      </c>
      <c r="BF195" s="244">
        <v>0</v>
      </c>
      <c r="BG195" s="244">
        <v>0</v>
      </c>
      <c r="BH195" s="245">
        <v>0</v>
      </c>
      <c r="BK195">
        <v>137</v>
      </c>
      <c r="BL195" s="281">
        <v>0.31658291457286541</v>
      </c>
      <c r="BM195" s="281">
        <v>5649.1055276382103</v>
      </c>
      <c r="BN195" s="282">
        <v>5802.7437185929884</v>
      </c>
      <c r="BO195" s="282">
        <v>141.31155778894595</v>
      </c>
      <c r="BP195" s="282">
        <v>0</v>
      </c>
      <c r="BQ195" s="283">
        <v>0</v>
      </c>
      <c r="BR195" s="284"/>
      <c r="BS195" s="147"/>
      <c r="BT195" s="285">
        <v>0.86245121369067868</v>
      </c>
      <c r="BU195" s="288">
        <v>2.9869512027841799E-2</v>
      </c>
      <c r="BV195" s="287">
        <v>0.80701794792114712</v>
      </c>
      <c r="BW195" s="288">
        <v>0</v>
      </c>
      <c r="BX195" s="286">
        <v>99.41317164712801</v>
      </c>
      <c r="BY195" s="287">
        <v>0.58682835287198631</v>
      </c>
      <c r="BZ195" s="288">
        <v>0</v>
      </c>
      <c r="CA195" s="286">
        <v>0.76570992108148916</v>
      </c>
      <c r="CB195" s="286">
        <v>1.1190089469353783</v>
      </c>
      <c r="CC195" s="287">
        <v>1.2182480603189336</v>
      </c>
      <c r="CD195" s="286">
        <v>0</v>
      </c>
      <c r="CE195" s="286">
        <v>15.685281489743991</v>
      </c>
      <c r="CF195" s="286">
        <v>21.336827390084622</v>
      </c>
      <c r="CG195" s="287">
        <v>22.54116533533022</v>
      </c>
      <c r="CH195" s="288">
        <v>0</v>
      </c>
      <c r="CI195" s="286">
        <v>1.5764194441538617</v>
      </c>
      <c r="CJ195" s="286">
        <v>215.8910131969146</v>
      </c>
      <c r="CK195" s="287"/>
      <c r="CL195" s="288"/>
      <c r="CM195" s="286"/>
      <c r="CN195" s="287"/>
      <c r="CO195" s="289"/>
      <c r="CP195" s="290"/>
      <c r="CQ195" s="289"/>
      <c r="CR195" s="290"/>
      <c r="CS195" s="284"/>
      <c r="CT195" s="147"/>
      <c r="CU195" s="291"/>
      <c r="CV195" s="292"/>
    </row>
    <row r="196" spans="2:100">
      <c r="B196">
        <v>138</v>
      </c>
      <c r="C196" s="243">
        <v>0.8659465357620304</v>
      </c>
      <c r="D196" s="592">
        <v>0.10114212855545809</v>
      </c>
      <c r="E196" s="245">
        <v>6.3199857357026934E-3</v>
      </c>
      <c r="F196" s="243">
        <v>6.4560220465136667E-3</v>
      </c>
      <c r="G196" s="245">
        <v>8.7615574208730687E-3</v>
      </c>
      <c r="H196" s="243">
        <v>0.1088537849983911</v>
      </c>
      <c r="I196" s="245">
        <v>0.14772698743459226</v>
      </c>
      <c r="J196" s="242">
        <v>7.6673433962133081E-2</v>
      </c>
      <c r="K196" s="242">
        <v>25.492348243202411</v>
      </c>
      <c r="L196" s="242">
        <v>5.0251256281407036E-3</v>
      </c>
      <c r="M196" s="243">
        <v>89.033934946700469</v>
      </c>
      <c r="N196" s="592">
        <v>26.725322380610933</v>
      </c>
      <c r="O196" s="245">
        <v>0.41409025139817635</v>
      </c>
      <c r="P196" s="245">
        <v>1.6046565172221368</v>
      </c>
      <c r="Q196" s="254">
        <v>75.738532341444511</v>
      </c>
      <c r="R196" s="255">
        <v>0</v>
      </c>
      <c r="S196" s="256">
        <v>0</v>
      </c>
      <c r="T196" s="257">
        <v>0</v>
      </c>
      <c r="U196" s="255">
        <v>1.1097395771499843E-2</v>
      </c>
      <c r="V196" s="256">
        <v>1.5060430335217877E-2</v>
      </c>
      <c r="W196" s="257">
        <v>8.0179818122164695E-2</v>
      </c>
      <c r="X196" s="255">
        <v>2.212536393804659E-2</v>
      </c>
      <c r="Y196" s="256">
        <v>3.0026639500958997E-2</v>
      </c>
      <c r="Z196" s="257">
        <v>7.9678196583885155E-2</v>
      </c>
      <c r="AA196" s="255">
        <v>3.3132871420990674E-2</v>
      </c>
      <c r="AB196" s="256">
        <v>4.4965081188063354E-2</v>
      </c>
      <c r="AC196" s="257">
        <v>7.9530366054660462E-2</v>
      </c>
      <c r="AD196" s="255">
        <v>4.4110906300215365E-2</v>
      </c>
      <c r="AE196" s="256">
        <v>5.9863525194247535E-2</v>
      </c>
      <c r="AF196" s="257">
        <v>7.9317423481964591E-2</v>
      </c>
      <c r="AG196" s="255">
        <v>5.5050371300839132E-2</v>
      </c>
      <c r="AH196" s="256">
        <v>7.4709625481088227E-2</v>
      </c>
      <c r="AI196" s="257">
        <v>7.9038752168902257E-2</v>
      </c>
      <c r="AJ196" s="255">
        <v>6.5942165223886892E-2</v>
      </c>
      <c r="AK196" s="256">
        <v>8.9491030684720113E-2</v>
      </c>
      <c r="AL196" s="257">
        <v>7.8694323763496735E-2</v>
      </c>
      <c r="AM196" s="255">
        <v>7.6777242272573612E-2</v>
      </c>
      <c r="AN196" s="256">
        <v>0.10419546462836149</v>
      </c>
      <c r="AO196" s="257">
        <v>7.8284538552230776E-2</v>
      </c>
      <c r="AP196" s="255">
        <v>8.7546671460190087E-2</v>
      </c>
      <c r="AQ196" s="256">
        <v>0.1188108069455833</v>
      </c>
      <c r="AR196" s="257">
        <v>7.7810226049630921E-2</v>
      </c>
      <c r="AS196" s="255">
        <v>9.8241695051500419E-2</v>
      </c>
      <c r="AT196" s="256">
        <v>0.13332517239194347</v>
      </c>
      <c r="AU196" s="257">
        <v>7.7272638015290551E-2</v>
      </c>
      <c r="AV196" s="255">
        <v>0.1088537849983911</v>
      </c>
      <c r="AW196" s="256">
        <v>0.14772698743459226</v>
      </c>
      <c r="AX196" s="257">
        <v>7.6673433962133081E-2</v>
      </c>
      <c r="AY196" s="243">
        <v>0</v>
      </c>
      <c r="AZ196" s="244">
        <v>0</v>
      </c>
      <c r="BA196" s="244">
        <v>0</v>
      </c>
      <c r="BB196" s="244">
        <v>0</v>
      </c>
      <c r="BC196" s="244">
        <v>0</v>
      </c>
      <c r="BD196" s="244">
        <v>0</v>
      </c>
      <c r="BE196" s="244">
        <v>0</v>
      </c>
      <c r="BF196" s="244">
        <v>0</v>
      </c>
      <c r="BG196" s="244">
        <v>0</v>
      </c>
      <c r="BH196" s="245">
        <v>0</v>
      </c>
      <c r="BK196">
        <v>138</v>
      </c>
      <c r="BL196" s="281">
        <v>0.31155778894472475</v>
      </c>
      <c r="BM196" s="281">
        <v>5559.437185929668</v>
      </c>
      <c r="BN196" s="282">
        <v>5770.3668341708781</v>
      </c>
      <c r="BO196" s="282">
        <v>141.00502512562937</v>
      </c>
      <c r="BP196" s="282">
        <v>0</v>
      </c>
      <c r="BQ196" s="283">
        <v>0</v>
      </c>
      <c r="BR196" s="284"/>
      <c r="BS196" s="147"/>
      <c r="BT196" s="285">
        <v>0.8596265500263286</v>
      </c>
      <c r="BU196" s="288">
        <v>2.9775239054653686E-2</v>
      </c>
      <c r="BV196" s="287">
        <v>0.80726544006525169</v>
      </c>
      <c r="BW196" s="288">
        <v>0</v>
      </c>
      <c r="BX196" s="286">
        <v>99.401304308033616</v>
      </c>
      <c r="BY196" s="287">
        <v>0.59869569196638062</v>
      </c>
      <c r="BZ196" s="288">
        <v>0</v>
      </c>
      <c r="CA196" s="286">
        <v>0.76556759857671619</v>
      </c>
      <c r="CB196" s="286">
        <v>1.119108773341581</v>
      </c>
      <c r="CC196" s="287">
        <v>1.2182110145969343</v>
      </c>
      <c r="CD196" s="286">
        <v>0</v>
      </c>
      <c r="CE196" s="286">
        <v>15.684105608118667</v>
      </c>
      <c r="CF196" s="286">
        <v>21.339835859058368</v>
      </c>
      <c r="CG196" s="287">
        <v>22.542391348703809</v>
      </c>
      <c r="CH196" s="288">
        <v>0</v>
      </c>
      <c r="CI196" s="286">
        <v>1.5713448948157225</v>
      </c>
      <c r="CJ196" s="286">
        <v>216.60097514371427</v>
      </c>
      <c r="CK196" s="287"/>
      <c r="CL196" s="288"/>
      <c r="CM196" s="286"/>
      <c r="CN196" s="287"/>
      <c r="CO196" s="289"/>
      <c r="CP196" s="290"/>
      <c r="CQ196" s="289"/>
      <c r="CR196" s="290"/>
      <c r="CS196" s="284"/>
      <c r="CT196" s="147"/>
      <c r="CU196" s="291"/>
      <c r="CV196" s="292"/>
    </row>
    <row r="197" spans="2:100">
      <c r="B197">
        <v>139</v>
      </c>
      <c r="C197" s="243">
        <v>0.86312698911746355</v>
      </c>
      <c r="D197" s="592">
        <v>0.10234299170386529</v>
      </c>
      <c r="E197" s="245">
        <v>6.3160639015336084E-3</v>
      </c>
      <c r="F197" s="243">
        <v>6.5127137820747303E-3</v>
      </c>
      <c r="G197" s="245">
        <v>8.8382257040056072E-3</v>
      </c>
      <c r="H197" s="243">
        <v>0.10980965379027079</v>
      </c>
      <c r="I197" s="245">
        <v>0.14901967707353361</v>
      </c>
      <c r="J197" s="242">
        <v>7.7375930077639737E-2</v>
      </c>
      <c r="K197" s="242">
        <v>25.562489076176981</v>
      </c>
      <c r="L197" s="242">
        <v>5.0251256281407036E-3</v>
      </c>
      <c r="M197" s="243">
        <v>88.834094692087803</v>
      </c>
      <c r="N197" s="592">
        <v>26.724419991959593</v>
      </c>
      <c r="O197" s="245">
        <v>0.412240091650317</v>
      </c>
      <c r="P197" s="245">
        <v>1.6090716438194304</v>
      </c>
      <c r="Q197" s="254">
        <v>76.362668162775236</v>
      </c>
      <c r="R197" s="255">
        <v>0</v>
      </c>
      <c r="S197" s="256">
        <v>0</v>
      </c>
      <c r="T197" s="257">
        <v>0</v>
      </c>
      <c r="U197" s="255">
        <v>1.1189477983185609E-2</v>
      </c>
      <c r="V197" s="256">
        <v>1.5184934458134782E-2</v>
      </c>
      <c r="W197" s="257">
        <v>8.0842662258005432E-2</v>
      </c>
      <c r="X197" s="255">
        <v>2.2309527687243477E-2</v>
      </c>
      <c r="Y197" s="256">
        <v>3.0275649698028987E-2</v>
      </c>
      <c r="Z197" s="257">
        <v>8.034105110785944E-2</v>
      </c>
      <c r="AA197" s="255">
        <v>3.341064190195657E-2</v>
      </c>
      <c r="AB197" s="256">
        <v>4.5340668103355478E-2</v>
      </c>
      <c r="AC197" s="257">
        <v>8.0204244424644244E-2</v>
      </c>
      <c r="AD197" s="255">
        <v>4.44835880715308E-2</v>
      </c>
      <c r="AE197" s="256">
        <v>6.0367460425223E-2</v>
      </c>
      <c r="AF197" s="257">
        <v>8.0000733611802766E-2</v>
      </c>
      <c r="AG197" s="255">
        <v>5.551903503909953E-2</v>
      </c>
      <c r="AH197" s="256">
        <v>7.5343363605922226E-2</v>
      </c>
      <c r="AI197" s="257">
        <v>7.9729806288184019E-2</v>
      </c>
      <c r="AJ197" s="255">
        <v>6.6507637432490177E-2</v>
      </c>
      <c r="AK197" s="256">
        <v>9.0255695296541011E-2</v>
      </c>
      <c r="AL197" s="257">
        <v>7.9391359749874615E-2</v>
      </c>
      <c r="AM197" s="255">
        <v>7.7440097441403399E-2</v>
      </c>
      <c r="AN197" s="256">
        <v>0.10509183769308424</v>
      </c>
      <c r="AO197" s="257">
        <v>7.8985737625814179E-2</v>
      </c>
      <c r="AP197" s="255">
        <v>8.8307226839689931E-2</v>
      </c>
      <c r="AQ197" s="256">
        <v>0.11983932170520889</v>
      </c>
      <c r="AR197" s="257">
        <v>7.8513731648597027E-2</v>
      </c>
      <c r="AS197" s="255">
        <v>9.9100008142170876E-2</v>
      </c>
      <c r="AT197" s="256">
        <v>0.13448590995047191</v>
      </c>
      <c r="AU197" s="257">
        <v>7.7976575401650691E-2</v>
      </c>
      <c r="AV197" s="255">
        <v>0.10980965379027079</v>
      </c>
      <c r="AW197" s="256">
        <v>0.14901967707353361</v>
      </c>
      <c r="AX197" s="257">
        <v>7.7375930077639737E-2</v>
      </c>
      <c r="AY197" s="243">
        <v>0</v>
      </c>
      <c r="AZ197" s="244">
        <v>0</v>
      </c>
      <c r="BA197" s="244">
        <v>0</v>
      </c>
      <c r="BB197" s="244">
        <v>0</v>
      </c>
      <c r="BC197" s="244">
        <v>0</v>
      </c>
      <c r="BD197" s="244">
        <v>0</v>
      </c>
      <c r="BE197" s="244">
        <v>0</v>
      </c>
      <c r="BF197" s="244">
        <v>0</v>
      </c>
      <c r="BG197" s="244">
        <v>0</v>
      </c>
      <c r="BH197" s="245">
        <v>0</v>
      </c>
      <c r="BK197">
        <v>139</v>
      </c>
      <c r="BL197" s="281">
        <v>0.30653266331658402</v>
      </c>
      <c r="BM197" s="281">
        <v>5469.7688442211256</v>
      </c>
      <c r="BN197" s="282">
        <v>5737.9899497487677</v>
      </c>
      <c r="BO197" s="282">
        <v>140.6984924623128</v>
      </c>
      <c r="BP197" s="282">
        <v>0</v>
      </c>
      <c r="BQ197" s="283">
        <v>0</v>
      </c>
      <c r="BR197" s="284"/>
      <c r="BS197" s="147"/>
      <c r="BT197" s="285">
        <v>0.85681092521593083</v>
      </c>
      <c r="BU197" s="288">
        <v>2.9681243115558927E-2</v>
      </c>
      <c r="BV197" s="287">
        <v>0.80751245130333871</v>
      </c>
      <c r="BW197" s="288">
        <v>0</v>
      </c>
      <c r="BX197" s="286">
        <v>99.389482418805258</v>
      </c>
      <c r="BY197" s="287">
        <v>0.61051758119475363</v>
      </c>
      <c r="BZ197" s="288">
        <v>0</v>
      </c>
      <c r="CA197" s="286">
        <v>0.76542505475270373</v>
      </c>
      <c r="CB197" s="286">
        <v>1.1192083212637607</v>
      </c>
      <c r="CC197" s="287">
        <v>1.2181739574947723</v>
      </c>
      <c r="CD197" s="286">
        <v>0</v>
      </c>
      <c r="CE197" s="286">
        <v>15.682925609297612</v>
      </c>
      <c r="CF197" s="286">
        <v>21.342839615192162</v>
      </c>
      <c r="CG197" s="287">
        <v>22.543617430883177</v>
      </c>
      <c r="CH197" s="288">
        <v>0</v>
      </c>
      <c r="CI197" s="286">
        <v>1.5662864941934318</v>
      </c>
      <c r="CJ197" s="286">
        <v>217.31496835413344</v>
      </c>
      <c r="CK197" s="287"/>
      <c r="CL197" s="288"/>
      <c r="CM197" s="286"/>
      <c r="CN197" s="287"/>
      <c r="CO197" s="289"/>
      <c r="CP197" s="290"/>
      <c r="CQ197" s="289"/>
      <c r="CR197" s="290"/>
      <c r="CS197" s="284"/>
      <c r="CT197" s="147"/>
      <c r="CU197" s="291"/>
      <c r="CV197" s="292"/>
    </row>
    <row r="198" spans="2:100">
      <c r="B198">
        <v>140</v>
      </c>
      <c r="C198" s="243">
        <v>0.86031553001011662</v>
      </c>
      <c r="D198" s="592">
        <v>0.10350210255941682</v>
      </c>
      <c r="E198" s="245">
        <v>6.3112212188560779E-3</v>
      </c>
      <c r="F198" s="243">
        <v>6.5664206393625142E-3</v>
      </c>
      <c r="G198" s="245">
        <v>8.9108386494962059E-3</v>
      </c>
      <c r="H198" s="243">
        <v>0.11071519510565411</v>
      </c>
      <c r="I198" s="245">
        <v>0.15024399041998537</v>
      </c>
      <c r="J198" s="242">
        <v>7.8045716429463965E-2</v>
      </c>
      <c r="K198" s="242">
        <v>25.62924410194443</v>
      </c>
      <c r="L198" s="242">
        <v>5.0251256281407036E-3</v>
      </c>
      <c r="M198" s="243">
        <v>88.64723913602262</v>
      </c>
      <c r="N198" s="592">
        <v>26.727246348498099</v>
      </c>
      <c r="O198" s="245">
        <v>0.41045122236266529</v>
      </c>
      <c r="P198" s="245">
        <v>1.6132736453821399</v>
      </c>
      <c r="Q198" s="254">
        <v>76.95316334162996</v>
      </c>
      <c r="R198" s="255">
        <v>0</v>
      </c>
      <c r="S198" s="256">
        <v>0</v>
      </c>
      <c r="T198" s="257">
        <v>0</v>
      </c>
      <c r="U198" s="255">
        <v>1.1276134879056186E-2</v>
      </c>
      <c r="V198" s="256">
        <v>1.5302068511252261E-2</v>
      </c>
      <c r="W198" s="257">
        <v>8.1466269078383544E-2</v>
      </c>
      <c r="X198" s="255">
        <v>2.2482904630862225E-2</v>
      </c>
      <c r="Y198" s="256">
        <v>3.0510006370392081E-2</v>
      </c>
      <c r="Z198" s="257">
        <v>8.0965129443054049E-2</v>
      </c>
      <c r="AA198" s="255">
        <v>3.3672330471547746E-2</v>
      </c>
      <c r="AB198" s="256">
        <v>4.5694407998450426E-2</v>
      </c>
      <c r="AC198" s="257">
        <v>8.0839825538358792E-2</v>
      </c>
      <c r="AD198" s="255">
        <v>4.4834971738956557E-2</v>
      </c>
      <c r="AE198" s="256">
        <v>6.0842462120938745E-2</v>
      </c>
      <c r="AF198" s="257">
        <v>8.0646316035580215E-2</v>
      </c>
      <c r="AG198" s="255">
        <v>5.5961275315063543E-2</v>
      </c>
      <c r="AH198" s="256">
        <v>7.5941204857229133E-2</v>
      </c>
      <c r="AI198" s="257">
        <v>8.0383788479016574E-2</v>
      </c>
      <c r="AJ198" s="255">
        <v>6.7041662840009869E-2</v>
      </c>
      <c r="AK198" s="256">
        <v>9.0977638072734027E-2</v>
      </c>
      <c r="AL198" s="257">
        <v>8.0052060504937517E-2</v>
      </c>
      <c r="AM198" s="255">
        <v>7.8066594832986988E-2</v>
      </c>
      <c r="AN198" s="256">
        <v>0.10593881639295587</v>
      </c>
      <c r="AO198" s="257">
        <v>7.9651413001360721E-2</v>
      </c>
      <c r="AP198" s="255">
        <v>8.9026635239547069E-2</v>
      </c>
      <c r="AQ198" s="256">
        <v>0.12081193479621082</v>
      </c>
      <c r="AR198" s="257">
        <v>7.9182593188838676E-2</v>
      </c>
      <c r="AS198" s="255">
        <v>9.9912515234007418E-2</v>
      </c>
      <c r="AT198" s="256">
        <v>0.13558441519549147</v>
      </c>
      <c r="AU198" s="257">
        <v>7.8646809238763465E-2</v>
      </c>
      <c r="AV198" s="255">
        <v>0.11071519510565411</v>
      </c>
      <c r="AW198" s="256">
        <v>0.15024399041998537</v>
      </c>
      <c r="AX198" s="257">
        <v>7.8045716429463965E-2</v>
      </c>
      <c r="AY198" s="243">
        <v>0</v>
      </c>
      <c r="AZ198" s="244">
        <v>0</v>
      </c>
      <c r="BA198" s="244">
        <v>0</v>
      </c>
      <c r="BB198" s="244">
        <v>0</v>
      </c>
      <c r="BC198" s="244">
        <v>0</v>
      </c>
      <c r="BD198" s="244">
        <v>0</v>
      </c>
      <c r="BE198" s="244">
        <v>0</v>
      </c>
      <c r="BF198" s="244">
        <v>0</v>
      </c>
      <c r="BG198" s="244">
        <v>0</v>
      </c>
      <c r="BH198" s="245">
        <v>0</v>
      </c>
      <c r="BK198">
        <v>140</v>
      </c>
      <c r="BL198" s="281">
        <v>0.30150753768844335</v>
      </c>
      <c r="BM198" s="281">
        <v>5380.1005025125833</v>
      </c>
      <c r="BN198" s="282">
        <v>5705.6130653266573</v>
      </c>
      <c r="BO198" s="282">
        <v>140.39195979899623</v>
      </c>
      <c r="BP198" s="282">
        <v>0</v>
      </c>
      <c r="BQ198" s="283">
        <v>0</v>
      </c>
      <c r="BR198" s="284"/>
      <c r="BS198" s="147"/>
      <c r="BT198" s="285">
        <v>0.85400430879126144</v>
      </c>
      <c r="BU198" s="288">
        <v>2.9587523440491231E-2</v>
      </c>
      <c r="BV198" s="287">
        <v>0.80775898021376913</v>
      </c>
      <c r="BW198" s="288">
        <v>0</v>
      </c>
      <c r="BX198" s="286">
        <v>99.377705785669221</v>
      </c>
      <c r="BY198" s="287">
        <v>0.62229421433078003</v>
      </c>
      <c r="BZ198" s="288">
        <v>0</v>
      </c>
      <c r="CA198" s="286">
        <v>0.76528228766249251</v>
      </c>
      <c r="CB198" s="286">
        <v>1.1193075894832061</v>
      </c>
      <c r="CC198" s="287">
        <v>1.2181368889815929</v>
      </c>
      <c r="CD198" s="286">
        <v>0</v>
      </c>
      <c r="CE198" s="286">
        <v>15.681741458311894</v>
      </c>
      <c r="CF198" s="286">
        <v>21.345838632800543</v>
      </c>
      <c r="CG198" s="287">
        <v>22.544843581628129</v>
      </c>
      <c r="CH198" s="288">
        <v>0</v>
      </c>
      <c r="CI198" s="286">
        <v>1.561244138725427</v>
      </c>
      <c r="CJ198" s="286">
        <v>218.03301246433514</v>
      </c>
      <c r="CK198" s="287"/>
      <c r="CL198" s="288"/>
      <c r="CM198" s="286"/>
      <c r="CN198" s="287"/>
      <c r="CO198" s="289"/>
      <c r="CP198" s="290"/>
      <c r="CQ198" s="289"/>
      <c r="CR198" s="290"/>
      <c r="CS198" s="284"/>
      <c r="CT198" s="147"/>
      <c r="CU198" s="291"/>
      <c r="CV198" s="292"/>
    </row>
    <row r="199" spans="2:100">
      <c r="B199">
        <v>141</v>
      </c>
      <c r="C199" s="243">
        <v>0.85751214962963118</v>
      </c>
      <c r="D199" s="592">
        <v>0.10462013074763384</v>
      </c>
      <c r="E199" s="245">
        <v>6.3054793588568359E-3</v>
      </c>
      <c r="F199" s="243">
        <v>6.6172234636901767E-3</v>
      </c>
      <c r="G199" s="245">
        <v>8.9795063311361358E-3</v>
      </c>
      <c r="H199" s="243">
        <v>0.11157177206230511</v>
      </c>
      <c r="I199" s="245">
        <v>0.15140178340763594</v>
      </c>
      <c r="J199" s="242">
        <v>7.8683638638981951E-2</v>
      </c>
      <c r="K199" s="242">
        <v>25.692672969372079</v>
      </c>
      <c r="L199" s="242">
        <v>5.0251256281407036E-3</v>
      </c>
      <c r="M199" s="243">
        <v>88.472989988419968</v>
      </c>
      <c r="N199" s="592">
        <v>26.733712844188673</v>
      </c>
      <c r="O199" s="245">
        <v>0.40872201805030167</v>
      </c>
      <c r="P199" s="245">
        <v>1.617266276603351</v>
      </c>
      <c r="Q199" s="254">
        <v>77.511012555983996</v>
      </c>
      <c r="R199" s="255">
        <v>0</v>
      </c>
      <c r="S199" s="256">
        <v>0</v>
      </c>
      <c r="T199" s="257">
        <v>0</v>
      </c>
      <c r="U199" s="255">
        <v>1.1357527565297511E-2</v>
      </c>
      <c r="V199" s="256">
        <v>1.5412051782481137E-2</v>
      </c>
      <c r="W199" s="257">
        <v>8.2051806044282222E-2</v>
      </c>
      <c r="X199" s="255">
        <v>2.2645810859080677E-2</v>
      </c>
      <c r="Y199" s="256">
        <v>3.0730139778206426E-2</v>
      </c>
      <c r="Z199" s="257">
        <v>8.155155477891593E-2</v>
      </c>
      <c r="AA199" s="255">
        <v>3.3918401826316356E-2</v>
      </c>
      <c r="AB199" s="256">
        <v>4.6026933443106009E-2</v>
      </c>
      <c r="AC199" s="257">
        <v>8.1438186466415222E-2</v>
      </c>
      <c r="AD199" s="255">
        <v>4.5165664600637451E-2</v>
      </c>
      <c r="AE199" s="256">
        <v>6.1289357002495222E-2</v>
      </c>
      <c r="AF199" s="257">
        <v>8.1255204390384042E-2</v>
      </c>
      <c r="AG199" s="255">
        <v>5.6377836451904195E-2</v>
      </c>
      <c r="AH199" s="256">
        <v>7.650416252881348E-2</v>
      </c>
      <c r="AI199" s="257">
        <v>8.1001692030777908E-2</v>
      </c>
      <c r="AJ199" s="255">
        <v>6.7545117689826573E-2</v>
      </c>
      <c r="AK199" s="256">
        <v>9.1658051939944432E-2</v>
      </c>
      <c r="AL199" s="257">
        <v>8.0677382371112646E-2</v>
      </c>
      <c r="AM199" s="255">
        <v>7.8657738008766437E-2</v>
      </c>
      <c r="AN199" s="256">
        <v>0.10673776702845161</v>
      </c>
      <c r="AO199" s="257">
        <v>8.0282487699119026E-2</v>
      </c>
      <c r="AP199" s="255">
        <v>8.9706023457585299E-2</v>
      </c>
      <c r="AQ199" s="256">
        <v>0.12173018033899492</v>
      </c>
      <c r="AR199" s="257">
        <v>7.9817704122349939E-2</v>
      </c>
      <c r="AS199" s="255">
        <v>0.10068046280461669</v>
      </c>
      <c r="AT199" s="256">
        <v>0.13662238522493708</v>
      </c>
      <c r="AU199" s="257">
        <v>7.9284207198291934E-2</v>
      </c>
      <c r="AV199" s="255">
        <v>0.11157177206230511</v>
      </c>
      <c r="AW199" s="256">
        <v>0.15140178340763594</v>
      </c>
      <c r="AX199" s="257">
        <v>7.8683638638981951E-2</v>
      </c>
      <c r="AY199" s="243">
        <v>0</v>
      </c>
      <c r="AZ199" s="244">
        <v>0</v>
      </c>
      <c r="BA199" s="244">
        <v>0</v>
      </c>
      <c r="BB199" s="244">
        <v>0</v>
      </c>
      <c r="BC199" s="244">
        <v>0</v>
      </c>
      <c r="BD199" s="244">
        <v>0</v>
      </c>
      <c r="BE199" s="244">
        <v>0</v>
      </c>
      <c r="BF199" s="244">
        <v>0</v>
      </c>
      <c r="BG199" s="244">
        <v>0</v>
      </c>
      <c r="BH199" s="245">
        <v>0</v>
      </c>
      <c r="BK199">
        <v>141</v>
      </c>
      <c r="BL199" s="281">
        <v>0.29648241206030268</v>
      </c>
      <c r="BM199" s="281">
        <v>5290.4321608040409</v>
      </c>
      <c r="BN199" s="282">
        <v>5673.2361809045469</v>
      </c>
      <c r="BO199" s="282">
        <v>140.08542713567965</v>
      </c>
      <c r="BP199" s="282">
        <v>0</v>
      </c>
      <c r="BQ199" s="283">
        <v>0</v>
      </c>
      <c r="BR199" s="284"/>
      <c r="BS199" s="147"/>
      <c r="BT199" s="285">
        <v>0.85120667027077523</v>
      </c>
      <c r="BU199" s="288">
        <v>2.9494079256998117E-2</v>
      </c>
      <c r="BV199" s="287">
        <v>0.80800502535276053</v>
      </c>
      <c r="BW199" s="288">
        <v>0</v>
      </c>
      <c r="BX199" s="286">
        <v>99.365974215093487</v>
      </c>
      <c r="BY199" s="287">
        <v>0.63402578490651174</v>
      </c>
      <c r="BZ199" s="288">
        <v>0</v>
      </c>
      <c r="CA199" s="286">
        <v>0.76513929534505754</v>
      </c>
      <c r="CB199" s="286">
        <v>1.1194065767655601</v>
      </c>
      <c r="CC199" s="287">
        <v>1.2180998090264439</v>
      </c>
      <c r="CD199" s="286">
        <v>0</v>
      </c>
      <c r="CE199" s="286">
        <v>15.680553119932538</v>
      </c>
      <c r="CF199" s="286">
        <v>21.348832885885617</v>
      </c>
      <c r="CG199" s="287">
        <v>22.546069800697232</v>
      </c>
      <c r="CH199" s="288">
        <v>0</v>
      </c>
      <c r="CI199" s="286">
        <v>1.5562177256061163</v>
      </c>
      <c r="CJ199" s="286">
        <v>218.7551271874454</v>
      </c>
      <c r="CK199" s="287"/>
      <c r="CL199" s="288"/>
      <c r="CM199" s="286"/>
      <c r="CN199" s="287"/>
      <c r="CO199" s="289"/>
      <c r="CP199" s="290"/>
      <c r="CQ199" s="289"/>
      <c r="CR199" s="290"/>
      <c r="CS199" s="284"/>
      <c r="CT199" s="147"/>
      <c r="CU199" s="291"/>
      <c r="CV199" s="292"/>
    </row>
    <row r="200" spans="2:100">
      <c r="B200">
        <v>142</v>
      </c>
      <c r="C200" s="243">
        <v>0.85471683977350366</v>
      </c>
      <c r="D200" s="592">
        <v>0.1056977532198157</v>
      </c>
      <c r="E200" s="245">
        <v>6.2988606164648964E-3</v>
      </c>
      <c r="F200" s="243">
        <v>6.6652024182316128E-3</v>
      </c>
      <c r="G200" s="245">
        <v>9.0443378839467417E-3</v>
      </c>
      <c r="H200" s="243">
        <v>0.11238073627656478</v>
      </c>
      <c r="I200" s="245">
        <v>0.1524948961417488</v>
      </c>
      <c r="J200" s="242">
        <v>7.9290525880656382E-2</v>
      </c>
      <c r="K200" s="242">
        <v>25.752837935470918</v>
      </c>
      <c r="L200" s="242">
        <v>5.0251256281407036E-3</v>
      </c>
      <c r="M200" s="243">
        <v>88.310975300995736</v>
      </c>
      <c r="N200" s="592">
        <v>26.743731851081094</v>
      </c>
      <c r="O200" s="245">
        <v>0.40705085102196048</v>
      </c>
      <c r="P200" s="245">
        <v>1.6210534563499126</v>
      </c>
      <c r="Q200" s="254">
        <v>78.037194026085317</v>
      </c>
      <c r="R200" s="255">
        <v>0</v>
      </c>
      <c r="S200" s="256">
        <v>0</v>
      </c>
      <c r="T200" s="257">
        <v>0</v>
      </c>
      <c r="U200" s="255">
        <v>1.1433816493880125E-2</v>
      </c>
      <c r="V200" s="256">
        <v>1.5515102645769581E-2</v>
      </c>
      <c r="W200" s="257">
        <v>8.2600435750863579E-2</v>
      </c>
      <c r="X200" s="255">
        <v>2.2798561152895049E-2</v>
      </c>
      <c r="Y200" s="256">
        <v>3.0936478353693096E-2</v>
      </c>
      <c r="Z200" s="257">
        <v>8.2101445439008297E-2</v>
      </c>
      <c r="AA200" s="255">
        <v>3.4149318708434878E-2</v>
      </c>
      <c r="AB200" s="256">
        <v>4.6338874279472191E-2</v>
      </c>
      <c r="AC200" s="257">
        <v>8.2000399489691747E-2</v>
      </c>
      <c r="AD200" s="255">
        <v>4.5476271294327505E-2</v>
      </c>
      <c r="AE200" s="256">
        <v>6.1708968082180356E-2</v>
      </c>
      <c r="AF200" s="257">
        <v>8.1828427089492117E-2</v>
      </c>
      <c r="AG200" s="255">
        <v>5.6769459278896477E-2</v>
      </c>
      <c r="AH200" s="256">
        <v>7.7033245052371552E-2</v>
      </c>
      <c r="AI200" s="257">
        <v>8.1584504092846094E-2</v>
      </c>
      <c r="AJ200" s="255">
        <v>6.8018873708839606E-2</v>
      </c>
      <c r="AK200" s="256">
        <v>9.2298123553682831E-2</v>
      </c>
      <c r="AL200" s="257">
        <v>8.1268274189349329E-2</v>
      </c>
      <c r="AM200" s="255">
        <v>7.9214524746550774E-2</v>
      </c>
      <c r="AN200" s="256">
        <v>0.10749004788877062</v>
      </c>
      <c r="AO200" s="257">
        <v>8.0879875475045979E-2</v>
      </c>
      <c r="AP200" s="255">
        <v>9.0346510947644884E-2</v>
      </c>
      <c r="AQ200" s="256">
        <v>0.12259558230535932</v>
      </c>
      <c r="AR200" s="257">
        <v>8.0419946522242547E-2</v>
      </c>
      <c r="AS200" s="255">
        <v>0.10140508809285408</v>
      </c>
      <c r="AT200" s="256">
        <v>0.13760150439759483</v>
      </c>
      <c r="AU200" s="257">
        <v>7.9889623160187662E-2</v>
      </c>
      <c r="AV200" s="255">
        <v>0.11238073627656478</v>
      </c>
      <c r="AW200" s="256">
        <v>0.1524948961417488</v>
      </c>
      <c r="AX200" s="257">
        <v>7.9290525880656382E-2</v>
      </c>
      <c r="AY200" s="243">
        <v>0</v>
      </c>
      <c r="AZ200" s="244">
        <v>0</v>
      </c>
      <c r="BA200" s="244">
        <v>0</v>
      </c>
      <c r="BB200" s="244">
        <v>0</v>
      </c>
      <c r="BC200" s="244">
        <v>0</v>
      </c>
      <c r="BD200" s="244">
        <v>0</v>
      </c>
      <c r="BE200" s="244">
        <v>0</v>
      </c>
      <c r="BF200" s="244">
        <v>0</v>
      </c>
      <c r="BG200" s="244">
        <v>0</v>
      </c>
      <c r="BH200" s="245">
        <v>0</v>
      </c>
      <c r="BK200">
        <v>142</v>
      </c>
      <c r="BL200" s="281">
        <v>0.29145728643216201</v>
      </c>
      <c r="BM200" s="281">
        <v>5200.7638190954985</v>
      </c>
      <c r="BN200" s="282">
        <v>5640.8592964824365</v>
      </c>
      <c r="BO200" s="282">
        <v>139.77889447236308</v>
      </c>
      <c r="BP200" s="282">
        <v>0</v>
      </c>
      <c r="BQ200" s="283">
        <v>0</v>
      </c>
      <c r="BR200" s="284"/>
      <c r="BS200" s="147"/>
      <c r="BT200" s="285">
        <v>0.84841797915703976</v>
      </c>
      <c r="BU200" s="288">
        <v>2.9400909790164749E-2</v>
      </c>
      <c r="BV200" s="287">
        <v>0.80825058525388394</v>
      </c>
      <c r="BW200" s="288">
        <v>0</v>
      </c>
      <c r="BX200" s="286">
        <v>99.354287513773968</v>
      </c>
      <c r="BY200" s="287">
        <v>0.64571248622603006</v>
      </c>
      <c r="BZ200" s="288">
        <v>0</v>
      </c>
      <c r="CA200" s="286">
        <v>0.76499607582514662</v>
      </c>
      <c r="CB200" s="286">
        <v>1.1195052818604754</v>
      </c>
      <c r="CC200" s="287">
        <v>1.2180627175982814</v>
      </c>
      <c r="CD200" s="286">
        <v>0</v>
      </c>
      <c r="CE200" s="286">
        <v>15.679360558667531</v>
      </c>
      <c r="CF200" s="286">
        <v>21.351822348130955</v>
      </c>
      <c r="CG200" s="287">
        <v>22.547296087847844</v>
      </c>
      <c r="CH200" s="288">
        <v>0</v>
      </c>
      <c r="CI200" s="286">
        <v>1.551207152778227</v>
      </c>
      <c r="CJ200" s="286">
        <v>219.48133231257918</v>
      </c>
      <c r="CK200" s="287"/>
      <c r="CL200" s="288"/>
      <c r="CM200" s="286"/>
      <c r="CN200" s="287"/>
      <c r="CO200" s="289"/>
      <c r="CP200" s="290"/>
      <c r="CQ200" s="289"/>
      <c r="CR200" s="290"/>
      <c r="CS200" s="284"/>
      <c r="CT200" s="147"/>
      <c r="CU200" s="291"/>
      <c r="CV200" s="292"/>
    </row>
    <row r="201" spans="2:100">
      <c r="B201">
        <v>143</v>
      </c>
      <c r="C201" s="243">
        <v>0.85192959275348989</v>
      </c>
      <c r="D201" s="592">
        <v>0.10673565317763248</v>
      </c>
      <c r="E201" s="245">
        <v>6.2913878190596906E-3</v>
      </c>
      <c r="F201" s="243">
        <v>6.7104368640138311E-3</v>
      </c>
      <c r="G201" s="245">
        <v>9.1054413414715617E-3</v>
      </c>
      <c r="H201" s="243">
        <v>0.11314342583992493</v>
      </c>
      <c r="I201" s="245">
        <v>0.15352515015577542</v>
      </c>
      <c r="J201" s="242">
        <v>7.9867190701960356E-2</v>
      </c>
      <c r="K201" s="242">
        <v>25.809803550084919</v>
      </c>
      <c r="L201" s="242">
        <v>5.0251256281407036E-3</v>
      </c>
      <c r="M201" s="243">
        <v>88.160829780278789</v>
      </c>
      <c r="N201" s="592">
        <v>26.757216832453764</v>
      </c>
      <c r="O201" s="245">
        <v>0.40543609584308932</v>
      </c>
      <c r="P201" s="245">
        <v>1.6246392478147023</v>
      </c>
      <c r="Q201" s="254">
        <v>78.532668713099312</v>
      </c>
      <c r="R201" s="255">
        <v>0</v>
      </c>
      <c r="S201" s="256">
        <v>0</v>
      </c>
      <c r="T201" s="257">
        <v>0</v>
      </c>
      <c r="U201" s="255">
        <v>1.1505161084377644E-2</v>
      </c>
      <c r="V201" s="256">
        <v>1.5611438048061791E-2</v>
      </c>
      <c r="W201" s="257">
        <v>8.3113313196101823E-2</v>
      </c>
      <c r="X201" s="255">
        <v>2.2941468267607606E-2</v>
      </c>
      <c r="Y201" s="256">
        <v>3.1129447729128006E-2</v>
      </c>
      <c r="Z201" s="257">
        <v>8.2615912437529956E-2</v>
      </c>
      <c r="AA201" s="255">
        <v>3.4365540887401243E-2</v>
      </c>
      <c r="AB201" s="256">
        <v>4.663085624070773E-2</v>
      </c>
      <c r="AC201" s="257">
        <v>8.2527529919871778E-2</v>
      </c>
      <c r="AD201" s="255">
        <v>4.576739251576855E-2</v>
      </c>
      <c r="AE201" s="256">
        <v>6.2102112924905417E-2</v>
      </c>
      <c r="AF201" s="257">
        <v>8.2367005420788258E-2</v>
      </c>
      <c r="AG201" s="255">
        <v>5.7136879626154005E-2</v>
      </c>
      <c r="AH201" s="256">
        <v>7.7529453955621705E-2</v>
      </c>
      <c r="AI201" s="257">
        <v>8.2133204059839079E-2</v>
      </c>
      <c r="AJ201" s="255">
        <v>6.8463796418858427E-2</v>
      </c>
      <c r="AK201" s="256">
        <v>9.2899031007868713E-2</v>
      </c>
      <c r="AL201" s="257">
        <v>8.1825675975674819E-2</v>
      </c>
      <c r="AM201" s="255">
        <v>7.9737945208938663E-2</v>
      </c>
      <c r="AN201" s="256">
        <v>0.1081970067676309</v>
      </c>
      <c r="AO201" s="257">
        <v>8.1444479789313518E-2</v>
      </c>
      <c r="AP201" s="255">
        <v>9.0949207885053493E-2</v>
      </c>
      <c r="AQ201" s="256">
        <v>0.1234096518949009</v>
      </c>
      <c r="AR201" s="257">
        <v>8.0990190340659851E-2</v>
      </c>
      <c r="AS201" s="255">
        <v>0.10208761710065956</v>
      </c>
      <c r="AT201" s="256">
        <v>0.13852344162353908</v>
      </c>
      <c r="AU201" s="257">
        <v>8.0463896755000611E-2</v>
      </c>
      <c r="AV201" s="255">
        <v>0.11314342583992493</v>
      </c>
      <c r="AW201" s="256">
        <v>0.15352515015577542</v>
      </c>
      <c r="AX201" s="257">
        <v>7.9867190701960356E-2</v>
      </c>
      <c r="AY201" s="243">
        <v>0</v>
      </c>
      <c r="AZ201" s="244">
        <v>0</v>
      </c>
      <c r="BA201" s="244">
        <v>0</v>
      </c>
      <c r="BB201" s="244">
        <v>0</v>
      </c>
      <c r="BC201" s="244">
        <v>0</v>
      </c>
      <c r="BD201" s="244">
        <v>0</v>
      </c>
      <c r="BE201" s="244">
        <v>0</v>
      </c>
      <c r="BF201" s="244">
        <v>0</v>
      </c>
      <c r="BG201" s="244">
        <v>0</v>
      </c>
      <c r="BH201" s="245">
        <v>0</v>
      </c>
      <c r="BK201">
        <v>143</v>
      </c>
      <c r="BL201" s="281">
        <v>0.28643216080402129</v>
      </c>
      <c r="BM201" s="281">
        <v>5111.0954773869562</v>
      </c>
      <c r="BN201" s="282">
        <v>5608.4824120603262</v>
      </c>
      <c r="BO201" s="282">
        <v>139.4723618090465</v>
      </c>
      <c r="BP201" s="282">
        <v>0</v>
      </c>
      <c r="BQ201" s="283">
        <v>0</v>
      </c>
      <c r="BR201" s="284"/>
      <c r="BS201" s="147"/>
      <c r="BT201" s="285">
        <v>0.8456382049344312</v>
      </c>
      <c r="BU201" s="288">
        <v>2.9308014262546048E-2</v>
      </c>
      <c r="BV201" s="287">
        <v>0.80849565842784965</v>
      </c>
      <c r="BW201" s="288">
        <v>0</v>
      </c>
      <c r="BX201" s="286">
        <v>99.342645488622225</v>
      </c>
      <c r="BY201" s="287">
        <v>0.65735451137777723</v>
      </c>
      <c r="BZ201" s="288">
        <v>0</v>
      </c>
      <c r="CA201" s="286">
        <v>0.76485262711310209</v>
      </c>
      <c r="CB201" s="286">
        <v>1.1196037035014741</v>
      </c>
      <c r="CC201" s="287">
        <v>1.2180256146659356</v>
      </c>
      <c r="CD201" s="286">
        <v>0</v>
      </c>
      <c r="CE201" s="286">
        <v>15.67816373875864</v>
      </c>
      <c r="CF201" s="286">
        <v>21.354806992898475</v>
      </c>
      <c r="CG201" s="287">
        <v>22.548522442835822</v>
      </c>
      <c r="CH201" s="288">
        <v>0</v>
      </c>
      <c r="CI201" s="286">
        <v>1.5462123189259742</v>
      </c>
      <c r="CJ201" s="286">
        <v>220.21164770411761</v>
      </c>
      <c r="CK201" s="287"/>
      <c r="CL201" s="288"/>
      <c r="CM201" s="286"/>
      <c r="CN201" s="287"/>
      <c r="CO201" s="289"/>
      <c r="CP201" s="290"/>
      <c r="CQ201" s="289"/>
      <c r="CR201" s="290"/>
      <c r="CS201" s="284"/>
      <c r="CT201" s="147"/>
      <c r="CU201" s="291"/>
      <c r="CV201" s="292"/>
    </row>
    <row r="202" spans="2:100">
      <c r="B202">
        <v>144</v>
      </c>
      <c r="C202" s="243">
        <v>0.84915040130599651</v>
      </c>
      <c r="D202" s="592">
        <v>0.10773451906007314</v>
      </c>
      <c r="E202" s="245">
        <v>6.2830842388836849E-3</v>
      </c>
      <c r="F202" s="243">
        <v>6.7530052526936215E-3</v>
      </c>
      <c r="G202" s="245">
        <v>9.1629234904454984E-3</v>
      </c>
      <c r="H202" s="243">
        <v>0.11386116351115548</v>
      </c>
      <c r="I202" s="245">
        <v>0.1544943459609591</v>
      </c>
      <c r="J202" s="242">
        <v>8.0414428939511437E-2</v>
      </c>
      <c r="K202" s="242">
        <v>25.863636354393339</v>
      </c>
      <c r="L202" s="242">
        <v>5.0251256281407036E-3</v>
      </c>
      <c r="M202" s="243">
        <v>88.022195051210943</v>
      </c>
      <c r="N202" s="592">
        <v>26.77408244222616</v>
      </c>
      <c r="O202" s="245">
        <v>0.40387613336737643</v>
      </c>
      <c r="P202" s="245">
        <v>1.6280278395383729</v>
      </c>
      <c r="Q202" s="254">
        <v>78.998379645474543</v>
      </c>
      <c r="R202" s="255">
        <v>0</v>
      </c>
      <c r="S202" s="256">
        <v>0</v>
      </c>
      <c r="T202" s="257">
        <v>0</v>
      </c>
      <c r="U202" s="255">
        <v>1.1571719379595155E-2</v>
      </c>
      <c r="V202" s="256">
        <v>1.5701273042227026E-2</v>
      </c>
      <c r="W202" s="257">
        <v>8.3591583294156752E-2</v>
      </c>
      <c r="X202" s="255">
        <v>2.3074842280127499E-2</v>
      </c>
      <c r="Y202" s="256">
        <v>3.1309469851599679E-2</v>
      </c>
      <c r="Z202" s="257">
        <v>8.3096057253024422E-2</v>
      </c>
      <c r="AA202" s="255">
        <v>3.4567524232256008E-2</v>
      </c>
      <c r="AB202" s="256">
        <v>4.6903499692665315E-2</v>
      </c>
      <c r="AC202" s="257">
        <v>8.3020634113252473E-2</v>
      </c>
      <c r="AD202" s="255">
        <v>4.6039623851370684E-2</v>
      </c>
      <c r="AE202" s="256">
        <v>6.2469602065055377E-2</v>
      </c>
      <c r="AF202" s="257">
        <v>8.2871951817383147E-2</v>
      </c>
      <c r="AG202" s="255">
        <v>5.7480826954939189E-2</v>
      </c>
      <c r="AH202" s="256">
        <v>7.7993782004768822E-2</v>
      </c>
      <c r="AI202" s="257">
        <v>8.2648762110818785E-2</v>
      </c>
      <c r="AJ202" s="255">
        <v>6.8880743602691169E-2</v>
      </c>
      <c r="AK202" s="256">
        <v>9.3461941754702682E-2</v>
      </c>
      <c r="AL202" s="257">
        <v>8.235051773614166E-2</v>
      </c>
      <c r="AM202" s="255">
        <v>8.0228980283745185E-2</v>
      </c>
      <c r="AN202" s="256">
        <v>0.10885997871291303</v>
      </c>
      <c r="AO202" s="257">
        <v>8.1977192900033788E-2</v>
      </c>
      <c r="AP202" s="255">
        <v>9.1515213419874189E-2</v>
      </c>
      <c r="AQ202" s="256">
        <v>0.12417388516669979</v>
      </c>
      <c r="AR202" s="257">
        <v>8.1529292780776558E-2</v>
      </c>
      <c r="AS202" s="255">
        <v>0.10272926279713385</v>
      </c>
      <c r="AT202" s="256">
        <v>0.13938984792948933</v>
      </c>
      <c r="AU202" s="257">
        <v>8.1007853010758357E-2</v>
      </c>
      <c r="AV202" s="255">
        <v>0.11386116351115548</v>
      </c>
      <c r="AW202" s="256">
        <v>0.1544943459609591</v>
      </c>
      <c r="AX202" s="257">
        <v>8.0414428939511437E-2</v>
      </c>
      <c r="AY202" s="243">
        <v>0</v>
      </c>
      <c r="AZ202" s="244">
        <v>0</v>
      </c>
      <c r="BA202" s="244">
        <v>0</v>
      </c>
      <c r="BB202" s="244">
        <v>0</v>
      </c>
      <c r="BC202" s="244">
        <v>0</v>
      </c>
      <c r="BD202" s="244">
        <v>0</v>
      </c>
      <c r="BE202" s="244">
        <v>0</v>
      </c>
      <c r="BF202" s="244">
        <v>0</v>
      </c>
      <c r="BG202" s="244">
        <v>0</v>
      </c>
      <c r="BH202" s="245">
        <v>0</v>
      </c>
      <c r="BK202">
        <v>144</v>
      </c>
      <c r="BL202" s="281">
        <v>0.28140703517588062</v>
      </c>
      <c r="BM202" s="281">
        <v>5021.4271356784138</v>
      </c>
      <c r="BN202" s="282">
        <v>5576.1055276382158</v>
      </c>
      <c r="BO202" s="282">
        <v>139.16582914572993</v>
      </c>
      <c r="BP202" s="282">
        <v>0</v>
      </c>
      <c r="BQ202" s="283">
        <v>0</v>
      </c>
      <c r="BR202" s="284"/>
      <c r="BS202" s="147"/>
      <c r="BT202" s="285">
        <v>0.84286731706711382</v>
      </c>
      <c r="BU202" s="288">
        <v>2.9215391894108489E-2</v>
      </c>
      <c r="BV202" s="287">
        <v>0.80874024336223083</v>
      </c>
      <c r="BW202" s="288">
        <v>0</v>
      </c>
      <c r="BX202" s="286">
        <v>99.33104794675431</v>
      </c>
      <c r="BY202" s="287">
        <v>0.66895205324568785</v>
      </c>
      <c r="BZ202" s="288">
        <v>0</v>
      </c>
      <c r="CA202" s="286">
        <v>0.76470894720470306</v>
      </c>
      <c r="CB202" s="286">
        <v>1.1197018404057382</v>
      </c>
      <c r="CC202" s="287">
        <v>1.2179885001981559</v>
      </c>
      <c r="CD202" s="286">
        <v>0</v>
      </c>
      <c r="CE202" s="286">
        <v>15.676962624178438</v>
      </c>
      <c r="CF202" s="286">
        <v>21.357786793224331</v>
      </c>
      <c r="CG202" s="287">
        <v>22.549748865415914</v>
      </c>
      <c r="CH202" s="288">
        <v>0</v>
      </c>
      <c r="CI202" s="286">
        <v>1.541233123468976</v>
      </c>
      <c r="CJ202" s="286">
        <v>220.94609330087451</v>
      </c>
      <c r="CK202" s="287"/>
      <c r="CL202" s="288"/>
      <c r="CM202" s="286"/>
      <c r="CN202" s="287"/>
      <c r="CO202" s="289"/>
      <c r="CP202" s="290"/>
      <c r="CQ202" s="289"/>
      <c r="CR202" s="290"/>
      <c r="CS202" s="284"/>
      <c r="CT202" s="147"/>
      <c r="CU202" s="291"/>
      <c r="CV202" s="292"/>
    </row>
    <row r="203" spans="2:100">
      <c r="B203">
        <v>145</v>
      </c>
      <c r="C203" s="243">
        <v>0.84637925850651419</v>
      </c>
      <c r="D203" s="592">
        <v>0.10869504358801645</v>
      </c>
      <c r="E203" s="245">
        <v>6.2739735097464555E-3</v>
      </c>
      <c r="F203" s="243">
        <v>6.7929850312853897E-3</v>
      </c>
      <c r="G203" s="245">
        <v>9.2168897417057184E-3</v>
      </c>
      <c r="H203" s="243">
        <v>0.11453525510993831</v>
      </c>
      <c r="I203" s="245">
        <v>0.15540426086978773</v>
      </c>
      <c r="J203" s="242">
        <v>8.0933019717505134E-2</v>
      </c>
      <c r="K203" s="242">
        <v>25.914404593625619</v>
      </c>
      <c r="L203" s="242">
        <v>5.0251256281407036E-3</v>
      </c>
      <c r="M203" s="243">
        <v>87.894719875424599</v>
      </c>
      <c r="N203" s="592">
        <v>26.794244611706326</v>
      </c>
      <c r="O203" s="245">
        <v>0.40236935436266597</v>
      </c>
      <c r="P203" s="245">
        <v>1.6312235273257345</v>
      </c>
      <c r="Q203" s="254">
        <v>79.435251362126209</v>
      </c>
      <c r="R203" s="255">
        <v>0</v>
      </c>
      <c r="S203" s="256">
        <v>0</v>
      </c>
      <c r="T203" s="257">
        <v>0</v>
      </c>
      <c r="U203" s="255">
        <v>1.1633647733812761E-2</v>
      </c>
      <c r="V203" s="256">
        <v>1.5784820364326223E-2</v>
      </c>
      <c r="W203" s="257">
        <v>8.4036378624795002E-2</v>
      </c>
      <c r="X203" s="255">
        <v>2.3198989997743735E-2</v>
      </c>
      <c r="Y203" s="256">
        <v>3.1476962181333945E-2</v>
      </c>
      <c r="Z203" s="257">
        <v>8.3542969810941448E-2</v>
      </c>
      <c r="AA203" s="255">
        <v>3.4755719870841327E-2</v>
      </c>
      <c r="AB203" s="256">
        <v>4.7157418493904632E-2</v>
      </c>
      <c r="AC203" s="257">
        <v>8.3480757669616656E-2</v>
      </c>
      <c r="AD203" s="255">
        <v>4.629355472055962E-2</v>
      </c>
      <c r="AE203" s="256">
        <v>6.2812237572424046E-2</v>
      </c>
      <c r="AF203" s="257">
        <v>8.3344268291980494E-2</v>
      </c>
      <c r="AG203" s="255">
        <v>5.7802023117669549E-2</v>
      </c>
      <c r="AH203" s="256">
        <v>7.8427211523278695E-2</v>
      </c>
      <c r="AI203" s="257">
        <v>8.3132137893439068E-2</v>
      </c>
      <c r="AJ203" s="255">
        <v>6.9270563917699202E-2</v>
      </c>
      <c r="AK203" s="256">
        <v>9.3988010724999474E-2</v>
      </c>
      <c r="AL203" s="257">
        <v>8.2843718410350972E-2</v>
      </c>
      <c r="AM203" s="255">
        <v>8.0688600087716111E-2</v>
      </c>
      <c r="AN203" s="256">
        <v>0.1094802839982618</v>
      </c>
      <c r="AO203" s="257">
        <v>8.2478895071431968E-2</v>
      </c>
      <c r="AP203" s="255">
        <v>9.2045614107583898E-2</v>
      </c>
      <c r="AQ203" s="256">
        <v>0.12488976091217165</v>
      </c>
      <c r="AR203" s="257">
        <v>8.2038097771069615E-2</v>
      </c>
      <c r="AS203" s="255">
        <v>0.10333122351272986</v>
      </c>
      <c r="AT203" s="256">
        <v>0.14020235428255698</v>
      </c>
      <c r="AU203" s="257">
        <v>8.1522302091535714E-2</v>
      </c>
      <c r="AV203" s="255">
        <v>0.11453525510993831</v>
      </c>
      <c r="AW203" s="256">
        <v>0.15540426086978773</v>
      </c>
      <c r="AX203" s="257">
        <v>8.0933019717505134E-2</v>
      </c>
      <c r="AY203" s="243">
        <v>0</v>
      </c>
      <c r="AZ203" s="244">
        <v>0</v>
      </c>
      <c r="BA203" s="244">
        <v>0</v>
      </c>
      <c r="BB203" s="244">
        <v>0</v>
      </c>
      <c r="BC203" s="244">
        <v>0</v>
      </c>
      <c r="BD203" s="244">
        <v>0</v>
      </c>
      <c r="BE203" s="244">
        <v>0</v>
      </c>
      <c r="BF203" s="244">
        <v>0</v>
      </c>
      <c r="BG203" s="244">
        <v>0</v>
      </c>
      <c r="BH203" s="245">
        <v>0</v>
      </c>
      <c r="BK203">
        <v>145</v>
      </c>
      <c r="BL203" s="281">
        <v>0.27638190954773995</v>
      </c>
      <c r="BM203" s="281">
        <v>4931.7587939698715</v>
      </c>
      <c r="BN203" s="282">
        <v>5543.7286432161054</v>
      </c>
      <c r="BO203" s="282">
        <v>138.85929648241336</v>
      </c>
      <c r="BP203" s="282">
        <v>0</v>
      </c>
      <c r="BQ203" s="283">
        <v>0</v>
      </c>
      <c r="BR203" s="284"/>
      <c r="BS203" s="147"/>
      <c r="BT203" s="285">
        <v>0.84010528499676873</v>
      </c>
      <c r="BU203" s="288">
        <v>2.9123041902163048E-2</v>
      </c>
      <c r="BV203" s="287">
        <v>0.80898433852112306</v>
      </c>
      <c r="BW203" s="288">
        <v>0</v>
      </c>
      <c r="BX203" s="286">
        <v>99.319494695478539</v>
      </c>
      <c r="BY203" s="287">
        <v>0.6805053045214573</v>
      </c>
      <c r="BZ203" s="288">
        <v>0</v>
      </c>
      <c r="CA203" s="286">
        <v>0.76456503408098841</v>
      </c>
      <c r="CB203" s="286">
        <v>1.1197996912738917</v>
      </c>
      <c r="CC203" s="287">
        <v>1.2179513741635786</v>
      </c>
      <c r="CD203" s="286">
        <v>0</v>
      </c>
      <c r="CE203" s="286">
        <v>15.675757178627153</v>
      </c>
      <c r="CF203" s="286">
        <v>21.360761721814601</v>
      </c>
      <c r="CG203" s="287">
        <v>22.55097535534145</v>
      </c>
      <c r="CH203" s="288">
        <v>0</v>
      </c>
      <c r="CI203" s="286">
        <v>1.5362694665556116</v>
      </c>
      <c r="CJ203" s="286">
        <v>221.6846891152002</v>
      </c>
      <c r="CK203" s="287"/>
      <c r="CL203" s="288"/>
      <c r="CM203" s="286"/>
      <c r="CN203" s="287"/>
      <c r="CO203" s="289"/>
      <c r="CP203" s="290"/>
      <c r="CQ203" s="289"/>
      <c r="CR203" s="290"/>
      <c r="CS203" s="284"/>
      <c r="CT203" s="147"/>
      <c r="CU203" s="291"/>
      <c r="CV203" s="292"/>
    </row>
    <row r="204" spans="2:100">
      <c r="B204">
        <v>146</v>
      </c>
      <c r="C204" s="243">
        <v>0.8436161576883372</v>
      </c>
      <c r="D204" s="592">
        <v>0.10961792286193141</v>
      </c>
      <c r="E204" s="245">
        <v>6.2640795476225364E-3</v>
      </c>
      <c r="F204" s="243">
        <v>6.8304525580231319E-3</v>
      </c>
      <c r="G204" s="245">
        <v>9.267444016233313E-3</v>
      </c>
      <c r="H204" s="243">
        <v>0.11516698809823164</v>
      </c>
      <c r="I204" s="245">
        <v>0.15625664707456349</v>
      </c>
      <c r="J204" s="242">
        <v>8.1423725515835724E-2</v>
      </c>
      <c r="K204" s="242">
        <v>25.962177944240572</v>
      </c>
      <c r="L204" s="242">
        <v>5.0251256281407036E-3</v>
      </c>
      <c r="M204" s="243">
        <v>87.778060328227539</v>
      </c>
      <c r="N204" s="592">
        <v>26.817620624648981</v>
      </c>
      <c r="O204" s="245">
        <v>0.40091416275744851</v>
      </c>
      <c r="P204" s="245">
        <v>1.6342306970726119</v>
      </c>
      <c r="Q204" s="254">
        <v>79.844189462074866</v>
      </c>
      <c r="R204" s="255">
        <v>0</v>
      </c>
      <c r="S204" s="256">
        <v>0</v>
      </c>
      <c r="T204" s="257">
        <v>0</v>
      </c>
      <c r="U204" s="255">
        <v>1.169110053231487E-2</v>
      </c>
      <c r="V204" s="256">
        <v>1.5862290053404775E-2</v>
      </c>
      <c r="W204" s="257">
        <v>8.4448817409214991E-2</v>
      </c>
      <c r="X204" s="255">
        <v>2.331421442579849E-2</v>
      </c>
      <c r="Y204" s="256">
        <v>3.1632336970082046E-2</v>
      </c>
      <c r="Z204" s="257">
        <v>8.3957726666041857E-2</v>
      </c>
      <c r="AA204" s="255">
        <v>3.493057343234085E-2</v>
      </c>
      <c r="AB204" s="256">
        <v>4.7393218968910571E-2</v>
      </c>
      <c r="AC204" s="257">
        <v>8.390893380754702E-2</v>
      </c>
      <c r="AD204" s="255">
        <v>4.652976742284208E-2</v>
      </c>
      <c r="AE204" s="256">
        <v>6.3130811760494385E-2</v>
      </c>
      <c r="AF204" s="257">
        <v>8.3784945026381591E-2</v>
      </c>
      <c r="AG204" s="255">
        <v>5.8101181241441299E-2</v>
      </c>
      <c r="AH204" s="256">
        <v>7.8830712878550521E-2</v>
      </c>
      <c r="AI204" s="257">
        <v>8.35842793441334E-2</v>
      </c>
      <c r="AJ204" s="255">
        <v>6.9634095649334815E-2</v>
      </c>
      <c r="AK204" s="256">
        <v>9.4478378638796601E-2</v>
      </c>
      <c r="AL204" s="257">
        <v>8.3306184934110919E-2</v>
      </c>
      <c r="AM204" s="255">
        <v>8.1117762624643999E-2</v>
      </c>
      <c r="AN204" s="256">
        <v>0.11005922630455456</v>
      </c>
      <c r="AO204" s="257">
        <v>8.2950453886320136E-2</v>
      </c>
      <c r="AP204" s="255">
        <v>9.2541482506781958E-2</v>
      </c>
      <c r="AQ204" s="256">
        <v>0.12555873875493972</v>
      </c>
      <c r="AR204" s="257">
        <v>8.2517435530910566E-2</v>
      </c>
      <c r="AS204" s="255">
        <v>0.10389468151152777</v>
      </c>
      <c r="AT204" s="256">
        <v>0.14096256965601972</v>
      </c>
      <c r="AU204" s="257">
        <v>8.2008039115922582E-2</v>
      </c>
      <c r="AV204" s="255">
        <v>0.11516698809823164</v>
      </c>
      <c r="AW204" s="256">
        <v>0.15625664707456349</v>
      </c>
      <c r="AX204" s="257">
        <v>8.1423725515835724E-2</v>
      </c>
      <c r="AY204" s="243">
        <v>0</v>
      </c>
      <c r="AZ204" s="244">
        <v>0</v>
      </c>
      <c r="BA204" s="244">
        <v>0</v>
      </c>
      <c r="BB204" s="244">
        <v>0</v>
      </c>
      <c r="BC204" s="244">
        <v>0</v>
      </c>
      <c r="BD204" s="244">
        <v>0</v>
      </c>
      <c r="BE204" s="244">
        <v>0</v>
      </c>
      <c r="BF204" s="244">
        <v>0</v>
      </c>
      <c r="BG204" s="244">
        <v>0</v>
      </c>
      <c r="BH204" s="245">
        <v>0</v>
      </c>
      <c r="BK204">
        <v>146</v>
      </c>
      <c r="BL204" s="281">
        <v>0.27135678391959928</v>
      </c>
      <c r="BM204" s="281">
        <v>4842.0904522613291</v>
      </c>
      <c r="BN204" s="282">
        <v>5511.351758793995</v>
      </c>
      <c r="BO204" s="282">
        <v>138.55276381909678</v>
      </c>
      <c r="BP204" s="282">
        <v>0</v>
      </c>
      <c r="BQ204" s="283">
        <v>0</v>
      </c>
      <c r="BR204" s="284"/>
      <c r="BS204" s="147"/>
      <c r="BT204" s="285">
        <v>0.83735207814071566</v>
      </c>
      <c r="BU204" s="288">
        <v>2.9030963501311298E-2</v>
      </c>
      <c r="BV204" s="287">
        <v>0.8092279423449602</v>
      </c>
      <c r="BW204" s="288">
        <v>0</v>
      </c>
      <c r="BX204" s="286">
        <v>99.30798554228501</v>
      </c>
      <c r="BY204" s="287">
        <v>0.69201445771498704</v>
      </c>
      <c r="BZ204" s="288">
        <v>0</v>
      </c>
      <c r="CA204" s="286">
        <v>0.76442088570809008</v>
      </c>
      <c r="CB204" s="286">
        <v>1.1198972547898469</v>
      </c>
      <c r="CC204" s="287">
        <v>1.2179142365307405</v>
      </c>
      <c r="CD204" s="286">
        <v>0</v>
      </c>
      <c r="CE204" s="286">
        <v>15.674547365529538</v>
      </c>
      <c r="CF204" s="286">
        <v>21.363731751042039</v>
      </c>
      <c r="CG204" s="287">
        <v>22.552201912364499</v>
      </c>
      <c r="CH204" s="288">
        <v>0</v>
      </c>
      <c r="CI204" s="286">
        <v>1.5313212490574923</v>
      </c>
      <c r="CJ204" s="286">
        <v>222.42745523218815</v>
      </c>
      <c r="CK204" s="287"/>
      <c r="CL204" s="288"/>
      <c r="CM204" s="286"/>
      <c r="CN204" s="287"/>
      <c r="CO204" s="289"/>
      <c r="CP204" s="290"/>
      <c r="CQ204" s="289"/>
      <c r="CR204" s="290"/>
      <c r="CS204" s="284"/>
      <c r="CT204" s="147"/>
      <c r="CU204" s="291"/>
      <c r="CV204" s="292"/>
    </row>
    <row r="205" spans="2:100">
      <c r="B205">
        <v>147</v>
      </c>
      <c r="C205" s="243">
        <v>0.84086109236516826</v>
      </c>
      <c r="D205" s="592">
        <v>0.1105038555092229</v>
      </c>
      <c r="E205" s="245">
        <v>6.2534264765775616E-3</v>
      </c>
      <c r="F205" s="243">
        <v>6.8654830285994643E-3</v>
      </c>
      <c r="G205" s="245">
        <v>9.3146886452947688E-3</v>
      </c>
      <c r="H205" s="243">
        <v>0.11575763033660004</v>
      </c>
      <c r="I205" s="245">
        <v>0.15705322996370677</v>
      </c>
      <c r="J205" s="242">
        <v>8.1887292296800099E-2</v>
      </c>
      <c r="K205" s="242">
        <v>26.00702725573516</v>
      </c>
      <c r="L205" s="242">
        <v>5.0251256281407036E-3</v>
      </c>
      <c r="M205" s="243">
        <v>87.671879937867701</v>
      </c>
      <c r="N205" s="592">
        <v>26.844129181618211</v>
      </c>
      <c r="O205" s="245">
        <v>0.39950897853213591</v>
      </c>
      <c r="P205" s="245">
        <v>1.6370538085135877</v>
      </c>
      <c r="Q205" s="254">
        <v>80.226080251137034</v>
      </c>
      <c r="R205" s="255">
        <v>0</v>
      </c>
      <c r="S205" s="256">
        <v>0</v>
      </c>
      <c r="T205" s="257">
        <v>0</v>
      </c>
      <c r="U205" s="255">
        <v>1.1744229940860388E-2</v>
      </c>
      <c r="V205" s="256">
        <v>1.5933889111976893E-2</v>
      </c>
      <c r="W205" s="257">
        <v>8.4830001702508775E-2</v>
      </c>
      <c r="X205" s="255">
        <v>2.3420814291685358E-2</v>
      </c>
      <c r="Y205" s="256">
        <v>3.1776000616058987E-2</v>
      </c>
      <c r="Z205" s="257">
        <v>8.4341389375709314E-2</v>
      </c>
      <c r="AA205" s="255">
        <v>3.5092524369372526E-2</v>
      </c>
      <c r="AB205" s="256">
        <v>4.7611498989431761E-2</v>
      </c>
      <c r="AC205" s="257">
        <v>8.4306181907815692E-2</v>
      </c>
      <c r="AD205" s="255">
        <v>4.674883628473632E-2</v>
      </c>
      <c r="AE205" s="256">
        <v>6.3426106030446058E-2</v>
      </c>
      <c r="AF205" s="257">
        <v>8.4194959107965456E-2</v>
      </c>
      <c r="AG205" s="255">
        <v>5.8379004729078109E-2</v>
      </c>
      <c r="AH205" s="256">
        <v>7.9205243128316838E-2</v>
      </c>
      <c r="AI205" s="257">
        <v>8.4006121636077236E-2</v>
      </c>
      <c r="AJ205" s="255">
        <v>6.99721655974819E-2</v>
      </c>
      <c r="AK205" s="256">
        <v>9.4934170496450657E-2</v>
      </c>
      <c r="AL205" s="257">
        <v>8.373881141261981E-2</v>
      </c>
      <c r="AM205" s="255">
        <v>8.1517412589445767E-2</v>
      </c>
      <c r="AN205" s="256">
        <v>0.11059809109973373</v>
      </c>
      <c r="AO205" s="257">
        <v>8.3392723653742562E-2</v>
      </c>
      <c r="AP205" s="255">
        <v>9.3003875934140584E-2</v>
      </c>
      <c r="AQ205" s="256">
        <v>0.12618225746439077</v>
      </c>
      <c r="AR205" s="257">
        <v>8.2968122217716142E-2</v>
      </c>
      <c r="AS205" s="255">
        <v>0.10442080173036385</v>
      </c>
      <c r="AT205" s="256">
        <v>0.14167207932182643</v>
      </c>
      <c r="AU205" s="257">
        <v>8.2465844044950859E-2</v>
      </c>
      <c r="AV205" s="255">
        <v>0.11575763033660004</v>
      </c>
      <c r="AW205" s="256">
        <v>0.15705322996370677</v>
      </c>
      <c r="AX205" s="257">
        <v>8.1887292296800099E-2</v>
      </c>
      <c r="AY205" s="243">
        <v>0</v>
      </c>
      <c r="AZ205" s="244">
        <v>0</v>
      </c>
      <c r="BA205" s="244">
        <v>0</v>
      </c>
      <c r="BB205" s="244">
        <v>0</v>
      </c>
      <c r="BC205" s="244">
        <v>0</v>
      </c>
      <c r="BD205" s="244">
        <v>0</v>
      </c>
      <c r="BE205" s="244">
        <v>0</v>
      </c>
      <c r="BF205" s="244">
        <v>0</v>
      </c>
      <c r="BG205" s="244">
        <v>0</v>
      </c>
      <c r="BH205" s="245">
        <v>0</v>
      </c>
      <c r="BK205">
        <v>147</v>
      </c>
      <c r="BL205" s="281">
        <v>0.26633165829145855</v>
      </c>
      <c r="BM205" s="281">
        <v>4752.4221105527868</v>
      </c>
      <c r="BN205" s="282">
        <v>5478.9748743718847</v>
      </c>
      <c r="BO205" s="282">
        <v>138.24623115578021</v>
      </c>
      <c r="BP205" s="282">
        <v>0</v>
      </c>
      <c r="BQ205" s="283">
        <v>0</v>
      </c>
      <c r="BR205" s="284"/>
      <c r="BS205" s="147"/>
      <c r="BT205" s="285">
        <v>0.8346076658885917</v>
      </c>
      <c r="BU205" s="288">
        <v>2.8939155903343339E-2</v>
      </c>
      <c r="BV205" s="287">
        <v>0.80947105325002167</v>
      </c>
      <c r="BW205" s="288">
        <v>0</v>
      </c>
      <c r="BX205" s="286">
        <v>99.296520294828809</v>
      </c>
      <c r="BY205" s="287">
        <v>0.70347970517119585</v>
      </c>
      <c r="BZ205" s="288">
        <v>0</v>
      </c>
      <c r="CA205" s="286">
        <v>0.76427650003704406</v>
      </c>
      <c r="CB205" s="286">
        <v>1.1199945296204965</v>
      </c>
      <c r="CC205" s="287">
        <v>1.2178770872680666</v>
      </c>
      <c r="CD205" s="286">
        <v>0</v>
      </c>
      <c r="CE205" s="286">
        <v>15.673333148031483</v>
      </c>
      <c r="CF205" s="286">
        <v>21.366696852940294</v>
      </c>
      <c r="CG205" s="287">
        <v>22.553428536235735</v>
      </c>
      <c r="CH205" s="288">
        <v>0</v>
      </c>
      <c r="CI205" s="286">
        <v>1.5263883725604561</v>
      </c>
      <c r="CJ205" s="286">
        <v>223.17441180856997</v>
      </c>
      <c r="CK205" s="287"/>
      <c r="CL205" s="288"/>
      <c r="CM205" s="286"/>
      <c r="CN205" s="287"/>
      <c r="CO205" s="289"/>
      <c r="CP205" s="290"/>
      <c r="CQ205" s="289"/>
      <c r="CR205" s="290"/>
      <c r="CS205" s="284"/>
      <c r="CT205" s="147"/>
      <c r="CU205" s="291"/>
      <c r="CV205" s="292"/>
    </row>
    <row r="206" spans="2:100">
      <c r="B206">
        <v>148</v>
      </c>
      <c r="C206" s="243">
        <v>0.83811405615850676</v>
      </c>
      <c r="D206" s="592">
        <v>0.11135354187684023</v>
      </c>
      <c r="E206" s="245">
        <v>6.2420385570338688E-3</v>
      </c>
      <c r="F206" s="243">
        <v>6.8981504119930677E-3</v>
      </c>
      <c r="G206" s="245">
        <v>9.3587242836107917E-3</v>
      </c>
      <c r="H206" s="243">
        <v>0.11630842900221296</v>
      </c>
      <c r="I206" s="245">
        <v>0.15779570665771181</v>
      </c>
      <c r="J206" s="242">
        <v>8.2324449680020964E-2</v>
      </c>
      <c r="K206" s="242">
        <v>26.049024307061703</v>
      </c>
      <c r="L206" s="242">
        <v>5.0251256281407036E-3</v>
      </c>
      <c r="M206" s="243">
        <v>87.575849790703629</v>
      </c>
      <c r="N206" s="592">
        <v>26.873690454429084</v>
      </c>
      <c r="O206" s="245">
        <v>0.39815224028180463</v>
      </c>
      <c r="P206" s="245">
        <v>1.6396973798892931</v>
      </c>
      <c r="Q206" s="254">
        <v>80.581790476200013</v>
      </c>
      <c r="R206" s="255">
        <v>0</v>
      </c>
      <c r="S206" s="256">
        <v>0</v>
      </c>
      <c r="T206" s="257">
        <v>0</v>
      </c>
      <c r="U206" s="255">
        <v>1.1793185683538274E-2</v>
      </c>
      <c r="V206" s="256">
        <v>1.5999821205083298E-2</v>
      </c>
      <c r="W206" s="257">
        <v>8.5181015791483614E-2</v>
      </c>
      <c r="X206" s="255">
        <v>2.3519083622209766E-2</v>
      </c>
      <c r="Y206" s="256">
        <v>3.1908353091398001E-2</v>
      </c>
      <c r="Z206" s="257">
        <v>8.4695003053969348E-2</v>
      </c>
      <c r="AA206" s="255">
        <v>3.5242005355375951E-2</v>
      </c>
      <c r="AB206" s="256">
        <v>4.7812847158141956E-2</v>
      </c>
      <c r="AC206" s="257">
        <v>8.4673506215460284E-2</v>
      </c>
      <c r="AD206" s="255">
        <v>4.6951326901077534E-2</v>
      </c>
      <c r="AE206" s="256">
        <v>6.3698889843416262E-2</v>
      </c>
      <c r="AF206" s="257">
        <v>8.4575273404218582E-2</v>
      </c>
      <c r="AG206" s="255">
        <v>5.8636186371004373E-2</v>
      </c>
      <c r="AH206" s="256">
        <v>7.955174481765101E-2</v>
      </c>
      <c r="AI206" s="257">
        <v>8.4398586246161728E-2</v>
      </c>
      <c r="AJ206" s="255">
        <v>7.0285588087677417E-2</v>
      </c>
      <c r="AK206" s="256">
        <v>9.5356494239440634E-2</v>
      </c>
      <c r="AL206" s="257">
        <v>8.4142478395332412E-2</v>
      </c>
      <c r="AM206" s="255">
        <v>8.1888480309021378E-2</v>
      </c>
      <c r="AN206" s="256">
        <v>0.11109814420451242</v>
      </c>
      <c r="AO206" s="257">
        <v>8.3806544902687616E-2</v>
      </c>
      <c r="AP206" s="255">
        <v>9.3433835366105861E-2</v>
      </c>
      <c r="AQ206" s="256">
        <v>0.12676173346864192</v>
      </c>
      <c r="AR206" s="257">
        <v>8.3390959646175739E-2</v>
      </c>
      <c r="AS206" s="255">
        <v>0.10491073067294911</v>
      </c>
      <c r="AT206" s="256">
        <v>0.14233244335369635</v>
      </c>
      <c r="AU206" s="257">
        <v>8.2896481629559884E-2</v>
      </c>
      <c r="AV206" s="255">
        <v>0.11630842900221296</v>
      </c>
      <c r="AW206" s="256">
        <v>0.15779570665771181</v>
      </c>
      <c r="AX206" s="257">
        <v>8.2324449680020964E-2</v>
      </c>
      <c r="AY206" s="243">
        <v>0</v>
      </c>
      <c r="AZ206" s="244">
        <v>0</v>
      </c>
      <c r="BA206" s="244">
        <v>0</v>
      </c>
      <c r="BB206" s="244">
        <v>0</v>
      </c>
      <c r="BC206" s="244">
        <v>0</v>
      </c>
      <c r="BD206" s="244">
        <v>0</v>
      </c>
      <c r="BE206" s="244">
        <v>0</v>
      </c>
      <c r="BF206" s="244">
        <v>0</v>
      </c>
      <c r="BG206" s="244">
        <v>0</v>
      </c>
      <c r="BH206" s="245">
        <v>0</v>
      </c>
      <c r="BK206">
        <v>148</v>
      </c>
      <c r="BL206" s="281">
        <v>0.26130653266331788</v>
      </c>
      <c r="BM206" s="281">
        <v>4662.7537688442444</v>
      </c>
      <c r="BN206" s="282">
        <v>5446.5979899497743</v>
      </c>
      <c r="BO206" s="282">
        <v>137.93969849246363</v>
      </c>
      <c r="BP206" s="282">
        <v>0</v>
      </c>
      <c r="BQ206" s="283">
        <v>0</v>
      </c>
      <c r="BR206" s="284"/>
      <c r="BS206" s="147"/>
      <c r="BT206" s="285">
        <v>0.83187201760147389</v>
      </c>
      <c r="BU206" s="288">
        <v>2.8847618317216776E-2</v>
      </c>
      <c r="BV206" s="287">
        <v>0.80971366962834357</v>
      </c>
      <c r="BW206" s="288">
        <v>0</v>
      </c>
      <c r="BX206" s="286">
        <v>99.285098760923859</v>
      </c>
      <c r="BY206" s="287">
        <v>0.7149012390761319</v>
      </c>
      <c r="BZ206" s="288">
        <v>0</v>
      </c>
      <c r="CA206" s="286">
        <v>0.76413187500362822</v>
      </c>
      <c r="CB206" s="286">
        <v>1.1200915144156096</v>
      </c>
      <c r="CC206" s="287">
        <v>1.2178399263438884</v>
      </c>
      <c r="CD206" s="286">
        <v>0</v>
      </c>
      <c r="CE206" s="286">
        <v>15.672114488997005</v>
      </c>
      <c r="CF206" s="286">
        <v>21.369656999201464</v>
      </c>
      <c r="CG206" s="287">
        <v>22.55465522670459</v>
      </c>
      <c r="CH206" s="288">
        <v>0</v>
      </c>
      <c r="CI206" s="286">
        <v>1.5214707393616014</v>
      </c>
      <c r="CJ206" s="286">
        <v>223.92557907196573</v>
      </c>
      <c r="CK206" s="287"/>
      <c r="CL206" s="288"/>
      <c r="CM206" s="286"/>
      <c r="CN206" s="287"/>
      <c r="CO206" s="289"/>
      <c r="CP206" s="290"/>
      <c r="CQ206" s="289"/>
      <c r="CR206" s="290"/>
      <c r="CS206" s="284"/>
      <c r="CT206" s="147"/>
      <c r="CU206" s="291"/>
      <c r="CV206" s="292"/>
    </row>
    <row r="207" spans="2:100">
      <c r="B207">
        <v>149</v>
      </c>
      <c r="C207" s="243">
        <v>0.83537504272897545</v>
      </c>
      <c r="D207" s="592">
        <v>0.11216768326681485</v>
      </c>
      <c r="E207" s="245">
        <v>6.2299401202746685E-3</v>
      </c>
      <c r="F207" s="243">
        <v>6.9285273952084557E-3</v>
      </c>
      <c r="G207" s="245">
        <v>9.3996498346319186E-3</v>
      </c>
      <c r="H207" s="243">
        <v>0.11682060965711223</v>
      </c>
      <c r="I207" s="245">
        <v>0.15848574474923291</v>
      </c>
      <c r="J207" s="242">
        <v>8.2735911156900752E-2</v>
      </c>
      <c r="K207" s="242">
        <v>26.08824157762896</v>
      </c>
      <c r="L207" s="242">
        <v>5.0251256281407036E-3</v>
      </c>
      <c r="M207" s="243">
        <v>87.489648605381916</v>
      </c>
      <c r="N207" s="592">
        <v>26.906226131658954</v>
      </c>
      <c r="O207" s="245">
        <v>0.39684240747183652</v>
      </c>
      <c r="P207" s="245">
        <v>1.6421659735317087</v>
      </c>
      <c r="Q207" s="254">
        <v>80.912167139081262</v>
      </c>
      <c r="R207" s="255">
        <v>0</v>
      </c>
      <c r="S207" s="256">
        <v>0</v>
      </c>
      <c r="T207" s="257">
        <v>0</v>
      </c>
      <c r="U207" s="255">
        <v>1.1838114847600986E-2</v>
      </c>
      <c r="V207" s="256">
        <v>1.6060286396003841E-2</v>
      </c>
      <c r="W207" s="257">
        <v>8.550292478762922E-2</v>
      </c>
      <c r="X207" s="255">
        <v>2.3609311371653091E-2</v>
      </c>
      <c r="Y207" s="256">
        <v>3.2029787438497333E-2</v>
      </c>
      <c r="Z207" s="257">
        <v>8.5019595097135997E-2</v>
      </c>
      <c r="AA207" s="255">
        <v>3.5379441753503875E-2</v>
      </c>
      <c r="AB207" s="256">
        <v>4.799784208945701E-2</v>
      </c>
      <c r="AC207" s="257">
        <v>8.5011894692331183E-2</v>
      </c>
      <c r="AD207" s="255">
        <v>4.7137795465848134E-2</v>
      </c>
      <c r="AE207" s="256">
        <v>6.3949919814402623E-2</v>
      </c>
      <c r="AF207" s="257">
        <v>8.4926835567628589E-2</v>
      </c>
      <c r="AG207" s="255">
        <v>5.8873407562066681E-2</v>
      </c>
      <c r="AH207" s="256">
        <v>7.9871144918573E-2</v>
      </c>
      <c r="AI207" s="257">
        <v>8.4762580133534784E-2</v>
      </c>
      <c r="AJ207" s="255">
        <v>7.0575164100310478E-2</v>
      </c>
      <c r="AK207" s="256">
        <v>9.5746439571470457E-2</v>
      </c>
      <c r="AL207" s="257">
        <v>8.4518052245064007E-2</v>
      </c>
      <c r="AM207" s="255">
        <v>8.2231880811937927E-2</v>
      </c>
      <c r="AN207" s="256">
        <v>0.11156063053311324</v>
      </c>
      <c r="AO207" s="257">
        <v>8.4192743954242061E-2</v>
      </c>
      <c r="AP207" s="255">
        <v>9.3832384478297809E-2</v>
      </c>
      <c r="AQ207" s="256">
        <v>0.12729855955458982</v>
      </c>
      <c r="AR207" s="257">
        <v>8.3786735071622612E-2</v>
      </c>
      <c r="AS207" s="255">
        <v>0.10536559544877945</v>
      </c>
      <c r="AT207" s="256">
        <v>0.14294519532692354</v>
      </c>
      <c r="AU207" s="257">
        <v>8.3300701409294992E-2</v>
      </c>
      <c r="AV207" s="255">
        <v>0.11682060965711223</v>
      </c>
      <c r="AW207" s="256">
        <v>0.15848574474923291</v>
      </c>
      <c r="AX207" s="257">
        <v>8.2735911156900752E-2</v>
      </c>
      <c r="AY207" s="243">
        <v>0</v>
      </c>
      <c r="AZ207" s="244">
        <v>0</v>
      </c>
      <c r="BA207" s="244">
        <v>0</v>
      </c>
      <c r="BB207" s="244">
        <v>0</v>
      </c>
      <c r="BC207" s="244">
        <v>0</v>
      </c>
      <c r="BD207" s="244">
        <v>0</v>
      </c>
      <c r="BE207" s="244">
        <v>0</v>
      </c>
      <c r="BF207" s="244">
        <v>0</v>
      </c>
      <c r="BG207" s="244">
        <v>0</v>
      </c>
      <c r="BH207" s="245">
        <v>0</v>
      </c>
      <c r="BK207">
        <v>149</v>
      </c>
      <c r="BL207" s="281">
        <v>0.25628140703517721</v>
      </c>
      <c r="BM207" s="281">
        <v>4573.085427135702</v>
      </c>
      <c r="BN207" s="282">
        <v>5414.2211055276639</v>
      </c>
      <c r="BO207" s="282">
        <v>137.63316582914706</v>
      </c>
      <c r="BP207" s="282">
        <v>0</v>
      </c>
      <c r="BQ207" s="283">
        <v>0</v>
      </c>
      <c r="BR207" s="284"/>
      <c r="BS207" s="147"/>
      <c r="BT207" s="285">
        <v>0.82914510260870178</v>
      </c>
      <c r="BU207" s="288">
        <v>2.875634994895928E-2</v>
      </c>
      <c r="BV207" s="287">
        <v>0.80995578984733452</v>
      </c>
      <c r="BW207" s="288">
        <v>0</v>
      </c>
      <c r="BX207" s="286">
        <v>99.273720748526955</v>
      </c>
      <c r="BY207" s="287">
        <v>0.72627925147305428</v>
      </c>
      <c r="BZ207" s="288">
        <v>0</v>
      </c>
      <c r="CA207" s="286">
        <v>0.76398700852817147</v>
      </c>
      <c r="CB207" s="286">
        <v>1.1201882078075889</v>
      </c>
      <c r="CC207" s="287">
        <v>1.2178027537264267</v>
      </c>
      <c r="CD207" s="286">
        <v>0</v>
      </c>
      <c r="CE207" s="286">
        <v>15.67089135100476</v>
      </c>
      <c r="CF207" s="286">
        <v>21.372612161171283</v>
      </c>
      <c r="CG207" s="287">
        <v>22.555881983519111</v>
      </c>
      <c r="CH207" s="288">
        <v>0</v>
      </c>
      <c r="CI207" s="286">
        <v>1.516568252460861</v>
      </c>
      <c r="CJ207" s="286">
        <v>224.68097731980785</v>
      </c>
      <c r="CK207" s="287"/>
      <c r="CL207" s="288"/>
      <c r="CM207" s="286"/>
      <c r="CN207" s="287"/>
      <c r="CO207" s="289"/>
      <c r="CP207" s="290"/>
      <c r="CQ207" s="289"/>
      <c r="CR207" s="290"/>
      <c r="CS207" s="284"/>
      <c r="CT207" s="147"/>
      <c r="CU207" s="291"/>
      <c r="CV207" s="292"/>
    </row>
    <row r="208" spans="2:100">
      <c r="B208">
        <v>150</v>
      </c>
      <c r="C208" s="243">
        <v>0.83264404571198214</v>
      </c>
      <c r="D208" s="592">
        <v>0.11294698121147624</v>
      </c>
      <c r="E208" s="245">
        <v>6.2171555062663364E-3</v>
      </c>
      <c r="F208" s="243">
        <v>6.956685336233585E-3</v>
      </c>
      <c r="G208" s="245">
        <v>9.4375623869767285E-3</v>
      </c>
      <c r="H208" s="243">
        <v>0.11729537545503915</v>
      </c>
      <c r="I208" s="245">
        <v>0.15912498123138075</v>
      </c>
      <c r="J208" s="242">
        <v>8.31223743366509E-2</v>
      </c>
      <c r="K208" s="242">
        <v>26.124752032715421</v>
      </c>
      <c r="L208" s="242">
        <v>5.0251256281407036E-3</v>
      </c>
      <c r="M208" s="243">
        <v>87.41296277907044</v>
      </c>
      <c r="N208" s="592">
        <v>26.941659455891891</v>
      </c>
      <c r="O208" s="245">
        <v>0.39557796241060622</v>
      </c>
      <c r="P208" s="245">
        <v>1.6444641823566593</v>
      </c>
      <c r="Q208" s="254">
        <v>81.218037381998002</v>
      </c>
      <c r="R208" s="255">
        <v>0</v>
      </c>
      <c r="S208" s="256">
        <v>0</v>
      </c>
      <c r="T208" s="257">
        <v>0</v>
      </c>
      <c r="U208" s="255">
        <v>1.1879161713709068E-2</v>
      </c>
      <c r="V208" s="256">
        <v>1.611548091649238E-2</v>
      </c>
      <c r="W208" s="257">
        <v>8.5796773403877744E-2</v>
      </c>
      <c r="X208" s="255">
        <v>2.3691781097588748E-2</v>
      </c>
      <c r="Y208" s="256">
        <v>3.2140689331241895E-2</v>
      </c>
      <c r="Z208" s="257">
        <v>8.5316174071051951E-2</v>
      </c>
      <c r="AA208" s="255">
        <v>3.5505251152826087E-2</v>
      </c>
      <c r="AB208" s="256">
        <v>4.8167051781803132E-2</v>
      </c>
      <c r="AC208" s="257">
        <v>8.5322318011127343E-2</v>
      </c>
      <c r="AD208" s="255">
        <v>4.7308788187203715E-2</v>
      </c>
      <c r="AE208" s="256">
        <v>6.4179938920556526E-2</v>
      </c>
      <c r="AF208" s="257">
        <v>8.5250577162702512E-2</v>
      </c>
      <c r="AG208" s="255">
        <v>5.9091337616899983E-2</v>
      </c>
      <c r="AH208" s="256">
        <v>8.0164353903540292E-2</v>
      </c>
      <c r="AI208" s="257">
        <v>8.5098995021930857E-2</v>
      </c>
      <c r="AJ208" s="255">
        <v>7.0841680510352348E-2</v>
      </c>
      <c r="AK208" s="256">
        <v>9.6105076929740102E-2</v>
      </c>
      <c r="AL208" s="257">
        <v>8.4866384593784816E-2</v>
      </c>
      <c r="AM208" s="255">
        <v>8.2548513018454589E-2</v>
      </c>
      <c r="AN208" s="256">
        <v>0.11198677299749975</v>
      </c>
      <c r="AO208" s="257">
        <v>8.4552132564679847E-2</v>
      </c>
      <c r="AP208" s="255">
        <v>9.4200528813075224E-2</v>
      </c>
      <c r="AQ208" s="256">
        <v>0.12779410374207351</v>
      </c>
      <c r="AR208" s="257">
        <v>8.4156221029954292E-2</v>
      </c>
      <c r="AS208" s="255">
        <v>0.10578650294622861</v>
      </c>
      <c r="AT208" s="256">
        <v>0.14351184120046098</v>
      </c>
      <c r="AU208" s="257">
        <v>8.3679237754477706E-2</v>
      </c>
      <c r="AV208" s="255">
        <v>0.11729537545503915</v>
      </c>
      <c r="AW208" s="256">
        <v>0.15912498123138075</v>
      </c>
      <c r="AX208" s="257">
        <v>8.31223743366509E-2</v>
      </c>
      <c r="AY208" s="243">
        <v>0</v>
      </c>
      <c r="AZ208" s="244">
        <v>0</v>
      </c>
      <c r="BA208" s="244">
        <v>0</v>
      </c>
      <c r="BB208" s="244">
        <v>0</v>
      </c>
      <c r="BC208" s="244">
        <v>0</v>
      </c>
      <c r="BD208" s="244">
        <v>0</v>
      </c>
      <c r="BE208" s="244">
        <v>0</v>
      </c>
      <c r="BF208" s="244">
        <v>0</v>
      </c>
      <c r="BG208" s="244">
        <v>0</v>
      </c>
      <c r="BH208" s="245">
        <v>0</v>
      </c>
      <c r="BK208">
        <v>150</v>
      </c>
      <c r="BL208" s="281">
        <v>0.25125628140703654</v>
      </c>
      <c r="BM208" s="281">
        <v>4483.4170854271597</v>
      </c>
      <c r="BN208" s="282">
        <v>5381.8442211055535</v>
      </c>
      <c r="BO208" s="282">
        <v>137.32663316583049</v>
      </c>
      <c r="BP208" s="282">
        <v>0</v>
      </c>
      <c r="BQ208" s="283">
        <v>0</v>
      </c>
      <c r="BR208" s="284"/>
      <c r="BS208" s="147"/>
      <c r="BT208" s="285">
        <v>0.8264268902057168</v>
      </c>
      <c r="BU208" s="288">
        <v>2.8665350001604473E-2</v>
      </c>
      <c r="BV208" s="287">
        <v>0.81019741224934516</v>
      </c>
      <c r="BW208" s="288">
        <v>0</v>
      </c>
      <c r="BX208" s="286">
        <v>99.262386065725735</v>
      </c>
      <c r="BY208" s="287">
        <v>0.73761393427427213</v>
      </c>
      <c r="BZ208" s="288">
        <v>0</v>
      </c>
      <c r="CA208" s="286">
        <v>0.76384189851537276</v>
      </c>
      <c r="CB208" s="286">
        <v>1.1202846084111788</v>
      </c>
      <c r="CC208" s="287">
        <v>1.2177655693837934</v>
      </c>
      <c r="CD208" s="286">
        <v>0</v>
      </c>
      <c r="CE208" s="286">
        <v>15.669663696344783</v>
      </c>
      <c r="CF208" s="286">
        <v>21.375562309843701</v>
      </c>
      <c r="CG208" s="287">
        <v>22.557108806425976</v>
      </c>
      <c r="CH208" s="288">
        <v>0</v>
      </c>
      <c r="CI208" s="286">
        <v>1.5116808155550798</v>
      </c>
      <c r="CJ208" s="286">
        <v>225.44062691822597</v>
      </c>
      <c r="CK208" s="287"/>
      <c r="CL208" s="288"/>
      <c r="CM208" s="286"/>
      <c r="CN208" s="287"/>
      <c r="CO208" s="289"/>
      <c r="CP208" s="290"/>
      <c r="CQ208" s="289"/>
      <c r="CR208" s="290"/>
      <c r="CS208" s="284"/>
      <c r="CT208" s="147"/>
      <c r="CU208" s="291"/>
      <c r="CV208" s="292"/>
    </row>
    <row r="209" spans="2:100">
      <c r="B209">
        <v>151</v>
      </c>
      <c r="C209" s="243">
        <v>0.82992105865763532</v>
      </c>
      <c r="D209" s="592">
        <v>0.11369213678586323</v>
      </c>
      <c r="E209" s="245">
        <v>6.2037090057949218E-3</v>
      </c>
      <c r="F209" s="243">
        <v>6.9826942245700824E-3</v>
      </c>
      <c r="G209" s="245">
        <v>9.4725571611547852E-3</v>
      </c>
      <c r="H209" s="243">
        <v>0.1177339064759419</v>
      </c>
      <c r="I209" s="245">
        <v>0.15971502159942788</v>
      </c>
      <c r="J209" s="242">
        <v>8.3484521216941929E-2</v>
      </c>
      <c r="K209" s="242">
        <v>26.158628923062366</v>
      </c>
      <c r="L209" s="242">
        <v>5.0251256281407036E-3</v>
      </c>
      <c r="M209" s="243">
        <v>87.345486408570281</v>
      </c>
      <c r="N209" s="592">
        <v>26.979915253475117</v>
      </c>
      <c r="O209" s="245">
        <v>0.39435741196069185</v>
      </c>
      <c r="P209" s="245">
        <v>1.6465966172488797</v>
      </c>
      <c r="Q209" s="254">
        <v>81.500208437384941</v>
      </c>
      <c r="R209" s="255">
        <v>0</v>
      </c>
      <c r="S209" s="256">
        <v>0</v>
      </c>
      <c r="T209" s="257">
        <v>0</v>
      </c>
      <c r="U209" s="255">
        <v>1.1916467610055426E-2</v>
      </c>
      <c r="V209" s="256">
        <v>1.616559696944906E-2</v>
      </c>
      <c r="W209" s="257">
        <v>8.606358490405587E-2</v>
      </c>
      <c r="X209" s="255">
        <v>2.3766770681576264E-2</v>
      </c>
      <c r="Y209" s="256">
        <v>3.2241436697186897E-2</v>
      </c>
      <c r="Z209" s="257">
        <v>8.5585728750189938E-2</v>
      </c>
      <c r="AA209" s="255">
        <v>3.5619842967781937E-2</v>
      </c>
      <c r="AB209" s="256">
        <v>4.8321033075803314E-2</v>
      </c>
      <c r="AC209" s="257">
        <v>8.5605728682296031E-2</v>
      </c>
      <c r="AD209" s="255">
        <v>4.7464840781553407E-2</v>
      </c>
      <c r="AE209" s="256">
        <v>6.4389675816866762E-2</v>
      </c>
      <c r="AF209" s="257">
        <v>8.5547412907299891E-2</v>
      </c>
      <c r="AG209" s="255">
        <v>5.9290633177695923E-2</v>
      </c>
      <c r="AH209" s="256">
        <v>8.0432264944461943E-2</v>
      </c>
      <c r="AI209" s="257">
        <v>8.5408706778536389E-2</v>
      </c>
      <c r="AJ209" s="255">
        <v>7.1085909430518401E-2</v>
      </c>
      <c r="AK209" s="256">
        <v>9.6433456596721603E-2</v>
      </c>
      <c r="AL209" s="257">
        <v>8.5188311878175743E-2</v>
      </c>
      <c r="AM209" s="255">
        <v>8.2839259042853219E-2</v>
      </c>
      <c r="AN209" s="256">
        <v>0.11237777156416281</v>
      </c>
      <c r="AO209" s="257">
        <v>8.4885507632704027E-2</v>
      </c>
      <c r="AP209" s="255">
        <v>9.4539255066293751E-2</v>
      </c>
      <c r="AQ209" s="256">
        <v>0.12824970831994245</v>
      </c>
      <c r="AR209" s="257">
        <v>8.4500175227330346E-2</v>
      </c>
      <c r="AS209" s="255">
        <v>0.10617453912990667</v>
      </c>
      <c r="AT209" s="256">
        <v>0.14403385836778912</v>
      </c>
      <c r="AU209" s="257">
        <v>8.4032809945001868E-2</v>
      </c>
      <c r="AV209" s="255">
        <v>0.1177339064759419</v>
      </c>
      <c r="AW209" s="256">
        <v>0.15971502159942788</v>
      </c>
      <c r="AX209" s="257">
        <v>8.3484521216941929E-2</v>
      </c>
      <c r="AY209" s="243">
        <v>0</v>
      </c>
      <c r="AZ209" s="244">
        <v>0</v>
      </c>
      <c r="BA209" s="244">
        <v>0</v>
      </c>
      <c r="BB209" s="244">
        <v>0</v>
      </c>
      <c r="BC209" s="244">
        <v>0</v>
      </c>
      <c r="BD209" s="244">
        <v>0</v>
      </c>
      <c r="BE209" s="244">
        <v>0</v>
      </c>
      <c r="BF209" s="244">
        <v>0</v>
      </c>
      <c r="BG209" s="244">
        <v>0</v>
      </c>
      <c r="BH209" s="245">
        <v>0</v>
      </c>
      <c r="BK209">
        <v>151</v>
      </c>
      <c r="BL209" s="281">
        <v>0.24623115577889584</v>
      </c>
      <c r="BM209" s="281">
        <v>4393.7487437186173</v>
      </c>
      <c r="BN209" s="282">
        <v>5349.4673366834431</v>
      </c>
      <c r="BO209" s="282">
        <v>137.02010050251391</v>
      </c>
      <c r="BP209" s="282">
        <v>0</v>
      </c>
      <c r="BQ209" s="283">
        <v>0</v>
      </c>
      <c r="BR209" s="284"/>
      <c r="BS209" s="147"/>
      <c r="BT209" s="285">
        <v>0.8237173496518414</v>
      </c>
      <c r="BU209" s="288">
        <v>2.8574617675126077E-2</v>
      </c>
      <c r="BV209" s="287">
        <v>0.81043853515155306</v>
      </c>
      <c r="BW209" s="288">
        <v>0</v>
      </c>
      <c r="BX209" s="286">
        <v>99.251094520727079</v>
      </c>
      <c r="BY209" s="287">
        <v>0.74890547927291384</v>
      </c>
      <c r="BZ209" s="288">
        <v>0</v>
      </c>
      <c r="CA209" s="286">
        <v>0.76369654285412036</v>
      </c>
      <c r="CB209" s="286">
        <v>1.1203807148233642</v>
      </c>
      <c r="CC209" s="287">
        <v>1.2177283732840016</v>
      </c>
      <c r="CD209" s="286">
        <v>0</v>
      </c>
      <c r="CE209" s="286">
        <v>15.668431487015075</v>
      </c>
      <c r="CF209" s="286">
        <v>21.378507415858266</v>
      </c>
      <c r="CG209" s="287">
        <v>22.558335695170562</v>
      </c>
      <c r="CH209" s="288">
        <v>0</v>
      </c>
      <c r="CI209" s="286">
        <v>1.5068083330320747</v>
      </c>
      <c r="CJ209" s="286">
        <v>226.20454830115216</v>
      </c>
      <c r="CK209" s="287"/>
      <c r="CL209" s="288"/>
      <c r="CM209" s="286"/>
      <c r="CN209" s="287"/>
      <c r="CO209" s="289"/>
      <c r="CP209" s="290"/>
      <c r="CQ209" s="289"/>
      <c r="CR209" s="290"/>
      <c r="CS209" s="284"/>
      <c r="CT209" s="147"/>
      <c r="CU209" s="291"/>
      <c r="CV209" s="292"/>
    </row>
    <row r="210" spans="2:100">
      <c r="B210">
        <v>152</v>
      </c>
      <c r="C210" s="243">
        <v>0.82720607497480925</v>
      </c>
      <c r="D210" s="592">
        <v>0.11440384995512644</v>
      </c>
      <c r="E210" s="245">
        <v>6.1896248068432635E-3</v>
      </c>
      <c r="F210" s="243">
        <v>7.0066226487297016E-3</v>
      </c>
      <c r="G210" s="245">
        <v>9.5047274657494175E-3</v>
      </c>
      <c r="H210" s="243">
        <v>0.11813735917793941</v>
      </c>
      <c r="I210" s="245">
        <v>0.1602574391120149</v>
      </c>
      <c r="J210" s="242">
        <v>8.3823018473159608E-2</v>
      </c>
      <c r="K210" s="242">
        <v>26.189945598356086</v>
      </c>
      <c r="L210" s="242">
        <v>5.0251256281407036E-3</v>
      </c>
      <c r="M210" s="243">
        <v>87.28692128886</v>
      </c>
      <c r="N210" s="592">
        <v>27.020919957470866</v>
      </c>
      <c r="O210" s="245">
        <v>0.39317928900924359</v>
      </c>
      <c r="P210" s="245">
        <v>1.6485678953213576</v>
      </c>
      <c r="Q210" s="254">
        <v>81.759467635392198</v>
      </c>
      <c r="R210" s="255">
        <v>0</v>
      </c>
      <c r="S210" s="256">
        <v>0</v>
      </c>
      <c r="T210" s="257">
        <v>0</v>
      </c>
      <c r="U210" s="255">
        <v>1.195017078884867E-2</v>
      </c>
      <c r="V210" s="256">
        <v>1.621082256195985E-2</v>
      </c>
      <c r="W210" s="257">
        <v>8.6304360214008516E-2</v>
      </c>
      <c r="X210" s="255">
        <v>2.3834552091888402E-2</v>
      </c>
      <c r="Y210" s="256">
        <v>3.2332399396830469E-2</v>
      </c>
      <c r="Z210" s="257">
        <v>8.5829227299017249E-2</v>
      </c>
      <c r="AA210" s="255">
        <v>3.5723618096874021E-2</v>
      </c>
      <c r="AB210" s="256">
        <v>4.8460331192926524E-2</v>
      </c>
      <c r="AC210" s="257">
        <v>8.5863060305371497E-2</v>
      </c>
      <c r="AD210" s="255">
        <v>4.7606478041649768E-2</v>
      </c>
      <c r="AE210" s="256">
        <v>6.4579844252366111E-2</v>
      </c>
      <c r="AF210" s="257">
        <v>8.5818240020764144E-2</v>
      </c>
      <c r="AG210" s="255">
        <v>5.947193770838205E-2</v>
      </c>
      <c r="AH210" s="256">
        <v>8.0675753229079578E-2</v>
      </c>
      <c r="AI210" s="257">
        <v>8.5692574882531278E-2</v>
      </c>
      <c r="AJ210" s="255">
        <v>7.1308607650984915E-2</v>
      </c>
      <c r="AK210" s="256">
        <v>9.6732607943078613E-2</v>
      </c>
      <c r="AL210" s="257">
        <v>8.5484654948529429E-2</v>
      </c>
      <c r="AM210" s="255">
        <v>8.3104983600346141E-2</v>
      </c>
      <c r="AN210" s="256">
        <v>0.11273480245294382</v>
      </c>
      <c r="AO210" s="257">
        <v>8.5193650964684245E-2</v>
      </c>
      <c r="AP210" s="255">
        <v>9.4849530484695202E-2</v>
      </c>
      <c r="AQ210" s="256">
        <v>0.12866668903237771</v>
      </c>
      <c r="AR210" s="257">
        <v>8.4819340473612434E-2</v>
      </c>
      <c r="AS210" s="255">
        <v>0.10653076845289186</v>
      </c>
      <c r="AT210" s="256">
        <v>0.14451269486378962</v>
      </c>
      <c r="AU210" s="257">
        <v>8.4362122279754134E-2</v>
      </c>
      <c r="AV210" s="255">
        <v>0.11813735917793941</v>
      </c>
      <c r="AW210" s="256">
        <v>0.1602574391120149</v>
      </c>
      <c r="AX210" s="257">
        <v>8.3823018473159608E-2</v>
      </c>
      <c r="AY210" s="243">
        <v>0</v>
      </c>
      <c r="AZ210" s="244">
        <v>0</v>
      </c>
      <c r="BA210" s="244">
        <v>0</v>
      </c>
      <c r="BB210" s="244">
        <v>0</v>
      </c>
      <c r="BC210" s="244">
        <v>0</v>
      </c>
      <c r="BD210" s="244">
        <v>0</v>
      </c>
      <c r="BE210" s="244">
        <v>0</v>
      </c>
      <c r="BF210" s="244">
        <v>0</v>
      </c>
      <c r="BG210" s="244">
        <v>0</v>
      </c>
      <c r="BH210" s="245">
        <v>0</v>
      </c>
      <c r="BK210">
        <v>152</v>
      </c>
      <c r="BL210" s="281">
        <v>0.24120603015075515</v>
      </c>
      <c r="BM210" s="281">
        <v>4304.080402010075</v>
      </c>
      <c r="BN210" s="282">
        <v>5317.0904522613328</v>
      </c>
      <c r="BO210" s="282">
        <v>136.71356783919734</v>
      </c>
      <c r="BP210" s="282">
        <v>0</v>
      </c>
      <c r="BQ210" s="283">
        <v>0</v>
      </c>
      <c r="BR210" s="284"/>
      <c r="BS210" s="147"/>
      <c r="BT210" s="285">
        <v>0.82101645016796709</v>
      </c>
      <c r="BU210" s="288">
        <v>2.8484152166368543E-2</v>
      </c>
      <c r="BV210" s="287">
        <v>0.81067915684553493</v>
      </c>
      <c r="BW210" s="288">
        <v>0</v>
      </c>
      <c r="BX210" s="286">
        <v>99.239845921844619</v>
      </c>
      <c r="BY210" s="287">
        <v>0.76015407815537961</v>
      </c>
      <c r="BZ210" s="288">
        <v>0</v>
      </c>
      <c r="CA210" s="286">
        <v>0.76355093941729635</v>
      </c>
      <c r="CB210" s="286">
        <v>1.1204765256230782</v>
      </c>
      <c r="CC210" s="287">
        <v>1.2176911653949503</v>
      </c>
      <c r="CD210" s="286">
        <v>0</v>
      </c>
      <c r="CE210" s="286">
        <v>15.667194684718156</v>
      </c>
      <c r="CF210" s="286">
        <v>21.381447449494669</v>
      </c>
      <c r="CG210" s="287">
        <v>22.559562649496836</v>
      </c>
      <c r="CH210" s="288">
        <v>0</v>
      </c>
      <c r="CI210" s="286">
        <v>1.5019507099645313</v>
      </c>
      <c r="CJ210" s="286">
        <v>226.97276196913589</v>
      </c>
      <c r="CK210" s="287"/>
      <c r="CL210" s="288"/>
      <c r="CM210" s="286"/>
      <c r="CN210" s="287"/>
      <c r="CO210" s="289"/>
      <c r="CP210" s="290"/>
      <c r="CQ210" s="289"/>
      <c r="CR210" s="290"/>
      <c r="CS210" s="284"/>
      <c r="CT210" s="147"/>
      <c r="CU210" s="291"/>
      <c r="CV210" s="292"/>
    </row>
    <row r="211" spans="2:100">
      <c r="B211">
        <v>153</v>
      </c>
      <c r="C211" s="243">
        <v>0.82449908787914805</v>
      </c>
      <c r="D211" s="592">
        <v>0.11508281895506094</v>
      </c>
      <c r="E211" s="245">
        <v>6.174926945332615E-3</v>
      </c>
      <c r="F211" s="243">
        <v>7.0285377701295188E-3</v>
      </c>
      <c r="G211" s="245">
        <v>9.5341646622888743E-3</v>
      </c>
      <c r="H211" s="243">
        <v>0.11850686595717316</v>
      </c>
      <c r="I211" s="245">
        <v>0.16075377419884934</v>
      </c>
      <c r="J211" s="242">
        <v>8.4138517761099971E-2</v>
      </c>
      <c r="K211" s="242">
        <v>26.218775334258126</v>
      </c>
      <c r="L211" s="242">
        <v>5.0251256281407036E-3</v>
      </c>
      <c r="M211" s="243">
        <v>87.236976891465673</v>
      </c>
      <c r="N211" s="592">
        <v>27.064601624445206</v>
      </c>
      <c r="O211" s="245">
        <v>0.39204215371689977</v>
      </c>
      <c r="P211" s="245">
        <v>1.6503826290274743</v>
      </c>
      <c r="Q211" s="254">
        <v>81.996582462956923</v>
      </c>
      <c r="R211" s="255">
        <v>0</v>
      </c>
      <c r="S211" s="256">
        <v>0</v>
      </c>
      <c r="T211" s="257">
        <v>0</v>
      </c>
      <c r="U211" s="255">
        <v>1.1980406323661867E-2</v>
      </c>
      <c r="V211" s="256">
        <v>1.6251341366671532E-2</v>
      </c>
      <c r="W211" s="257">
        <v>8.6520077183576988E-2</v>
      </c>
      <c r="X211" s="255">
        <v>2.3895391185483852E-2</v>
      </c>
      <c r="Y211" s="256">
        <v>3.2413938956183629E-2</v>
      </c>
      <c r="Z211" s="257">
        <v>8.6047616586254011E-2</v>
      </c>
      <c r="AA211" s="255">
        <v>3.5816968636688998E-2</v>
      </c>
      <c r="AB211" s="256">
        <v>4.8585479349275297E-2</v>
      </c>
      <c r="AC211" s="257">
        <v>8.6095226936592842E-2</v>
      </c>
      <c r="AD211" s="255">
        <v>4.7734213473780943E-2</v>
      </c>
      <c r="AE211" s="256">
        <v>6.4751142580185522E-2</v>
      </c>
      <c r="AF211" s="257">
        <v>8.6063937671658569E-2</v>
      </c>
      <c r="AG211" s="255">
        <v>5.9635881069412471E-2</v>
      </c>
      <c r="AH211" s="256">
        <v>8.0895675386827556E-2</v>
      </c>
      <c r="AI211" s="257">
        <v>8.5951441976850576E-2</v>
      </c>
      <c r="AJ211" s="255">
        <v>7.1510516169041888E-2</v>
      </c>
      <c r="AK211" s="256">
        <v>9.7003538792728494E-2</v>
      </c>
      <c r="AL211" s="257">
        <v>8.5756218745068516E-2</v>
      </c>
      <c r="AM211" s="255">
        <v>8.3346533511172813E-2</v>
      </c>
      <c r="AN211" s="256">
        <v>0.11305901746784749</v>
      </c>
      <c r="AO211" s="257">
        <v>8.5477329092317186E-2</v>
      </c>
      <c r="AP211" s="255">
        <v>9.5132302365799115E-2</v>
      </c>
      <c r="AQ211" s="256">
        <v>0.12904633440441313</v>
      </c>
      <c r="AR211" s="257">
        <v>8.5114444654193294E-2</v>
      </c>
      <c r="AS211" s="255">
        <v>0.10685623337498266</v>
      </c>
      <c r="AT211" s="256">
        <v>0.14494976871558862</v>
      </c>
      <c r="AU211" s="257">
        <v>8.4667864211424318E-2</v>
      </c>
      <c r="AV211" s="255">
        <v>0.11850686595717316</v>
      </c>
      <c r="AW211" s="256">
        <v>0.16075377419884934</v>
      </c>
      <c r="AX211" s="257">
        <v>8.4138517761099971E-2</v>
      </c>
      <c r="AY211" s="243">
        <v>0</v>
      </c>
      <c r="AZ211" s="244">
        <v>0</v>
      </c>
      <c r="BA211" s="244">
        <v>0</v>
      </c>
      <c r="BB211" s="244">
        <v>0</v>
      </c>
      <c r="BC211" s="244">
        <v>0</v>
      </c>
      <c r="BD211" s="244">
        <v>0</v>
      </c>
      <c r="BE211" s="244">
        <v>0</v>
      </c>
      <c r="BF211" s="244">
        <v>0</v>
      </c>
      <c r="BG211" s="244">
        <v>0</v>
      </c>
      <c r="BH211" s="245">
        <v>0</v>
      </c>
      <c r="BK211">
        <v>153</v>
      </c>
      <c r="BL211" s="281">
        <v>0.23618090452261448</v>
      </c>
      <c r="BM211" s="281">
        <v>4214.4120603015326</v>
      </c>
      <c r="BN211" s="282">
        <v>5284.7135678392224</v>
      </c>
      <c r="BO211" s="282">
        <v>136.40703517588076</v>
      </c>
      <c r="BP211" s="282">
        <v>0</v>
      </c>
      <c r="BQ211" s="283">
        <v>0</v>
      </c>
      <c r="BR211" s="284"/>
      <c r="BS211" s="147"/>
      <c r="BT211" s="285">
        <v>0.81832416093381655</v>
      </c>
      <c r="BU211" s="288">
        <v>2.8393952668963645E-2</v>
      </c>
      <c r="BV211" s="287">
        <v>0.81091927559689325</v>
      </c>
      <c r="BW211" s="288">
        <v>0</v>
      </c>
      <c r="BX211" s="286">
        <v>99.228640077484485</v>
      </c>
      <c r="BY211" s="287">
        <v>0.77135992251552543</v>
      </c>
      <c r="BZ211" s="288">
        <v>0</v>
      </c>
      <c r="CA211" s="286">
        <v>0.76340508606159219</v>
      </c>
      <c r="CB211" s="286">
        <v>1.1205720393709604</v>
      </c>
      <c r="CC211" s="287">
        <v>1.2176539456844455</v>
      </c>
      <c r="CD211" s="286">
        <v>0</v>
      </c>
      <c r="CE211" s="286">
        <v>15.66595325085758</v>
      </c>
      <c r="CF211" s="286">
        <v>21.384382380667979</v>
      </c>
      <c r="CG211" s="287">
        <v>22.560789669147521</v>
      </c>
      <c r="CH211" s="288">
        <v>0</v>
      </c>
      <c r="CI211" s="286">
        <v>1.4971078521029793</v>
      </c>
      <c r="CJ211" s="286">
        <v>227.74528848816013</v>
      </c>
      <c r="CK211" s="287"/>
      <c r="CL211" s="288"/>
      <c r="CM211" s="286"/>
      <c r="CN211" s="287"/>
      <c r="CO211" s="289"/>
      <c r="CP211" s="290"/>
      <c r="CQ211" s="289"/>
      <c r="CR211" s="290"/>
      <c r="CS211" s="284"/>
      <c r="CT211" s="147"/>
      <c r="CU211" s="291"/>
      <c r="CV211" s="292"/>
    </row>
    <row r="212" spans="2:100">
      <c r="B212">
        <v>154</v>
      </c>
      <c r="C212" s="243">
        <v>0.82180009034511559</v>
      </c>
      <c r="D212" s="592">
        <v>0.11572973970380354</v>
      </c>
      <c r="E212" s="245">
        <v>6.1596392593461502E-3</v>
      </c>
      <c r="F212" s="243">
        <v>7.0485053028369517E-3</v>
      </c>
      <c r="G212" s="245">
        <v>9.5609581380588209E-3</v>
      </c>
      <c r="H212" s="243">
        <v>0.11884353480629163</v>
      </c>
      <c r="I212" s="245">
        <v>0.16120553400230236</v>
      </c>
      <c r="J212" s="242">
        <v>8.4431656028547214E-2</v>
      </c>
      <c r="K212" s="242">
        <v>26.245191172577591</v>
      </c>
      <c r="L212" s="242">
        <v>5.0251256281407036E-3</v>
      </c>
      <c r="M212" s="243">
        <v>87.19537032485367</v>
      </c>
      <c r="N212" s="592">
        <v>27.110889945652456</v>
      </c>
      <c r="O212" s="245">
        <v>0.39094459456428937</v>
      </c>
      <c r="P212" s="245">
        <v>1.6520454161003961</v>
      </c>
      <c r="Q212" s="254">
        <v>82.21230066865779</v>
      </c>
      <c r="R212" s="255">
        <v>0</v>
      </c>
      <c r="S212" s="256">
        <v>0</v>
      </c>
      <c r="T212" s="257">
        <v>0</v>
      </c>
      <c r="U212" s="255">
        <v>1.2007306026144068E-2</v>
      </c>
      <c r="V212" s="256">
        <v>1.6287332609456712E-2</v>
      </c>
      <c r="W212" s="257">
        <v>8.6711689988541674E-2</v>
      </c>
      <c r="X212" s="255">
        <v>2.3949547546423776E-2</v>
      </c>
      <c r="Y212" s="256">
        <v>3.2486408348823222E-2</v>
      </c>
      <c r="Z212" s="257">
        <v>8.6241821622608156E-2</v>
      </c>
      <c r="AA212" s="255">
        <v>3.5900277647316702E-2</v>
      </c>
      <c r="AB212" s="256">
        <v>4.8696998439163093E-2</v>
      </c>
      <c r="AC212" s="257">
        <v>8.6303122564632392E-2</v>
      </c>
      <c r="AD212" s="255">
        <v>4.7848548999151468E-2</v>
      </c>
      <c r="AE212" s="256">
        <v>6.4904253354766336E-2</v>
      </c>
      <c r="AF212" s="257">
        <v>8.6285366517969947E-2</v>
      </c>
      <c r="AG212" s="255">
        <v>5.9783079167384963E-2</v>
      </c>
      <c r="AH212" s="256">
        <v>8.1092869016295907E-2</v>
      </c>
      <c r="AI212" s="257">
        <v>8.6186133496848047E-2</v>
      </c>
      <c r="AJ212" s="255">
        <v>7.1692359802111583E-2</v>
      </c>
      <c r="AK212" s="256">
        <v>9.7247234901100835E-2</v>
      </c>
      <c r="AL212" s="257">
        <v>8.6003792035987875E-2</v>
      </c>
      <c r="AM212" s="255">
        <v>8.3564737294591046E-2</v>
      </c>
      <c r="AN212" s="256">
        <v>0.11335154344991341</v>
      </c>
      <c r="AO212" s="257">
        <v>8.5737293137469583E-2</v>
      </c>
      <c r="AP212" s="255">
        <v>9.5388497652321977E-2</v>
      </c>
      <c r="AQ212" s="256">
        <v>0.12938990519580085</v>
      </c>
      <c r="AR212" s="257">
        <v>8.5386200735288187E-2</v>
      </c>
      <c r="AS212" s="255">
        <v>0.10715195397834486</v>
      </c>
      <c r="AT212" s="256">
        <v>0.14534646742562848</v>
      </c>
      <c r="AU212" s="257">
        <v>8.4950710501996776E-2</v>
      </c>
      <c r="AV212" s="255">
        <v>0.11884353480629163</v>
      </c>
      <c r="AW212" s="256">
        <v>0.16120553400230236</v>
      </c>
      <c r="AX212" s="257">
        <v>8.4431656028547214E-2</v>
      </c>
      <c r="AY212" s="243">
        <v>0</v>
      </c>
      <c r="AZ212" s="244">
        <v>0</v>
      </c>
      <c r="BA212" s="244">
        <v>0</v>
      </c>
      <c r="BB212" s="244">
        <v>0</v>
      </c>
      <c r="BC212" s="244">
        <v>0</v>
      </c>
      <c r="BD212" s="244">
        <v>0</v>
      </c>
      <c r="BE212" s="244">
        <v>0</v>
      </c>
      <c r="BF212" s="244">
        <v>0</v>
      </c>
      <c r="BG212" s="244">
        <v>0</v>
      </c>
      <c r="BH212" s="245">
        <v>0</v>
      </c>
      <c r="BK212">
        <v>154</v>
      </c>
      <c r="BL212" s="281">
        <v>0.23115577889447378</v>
      </c>
      <c r="BM212" s="281">
        <v>4124.7437185929903</v>
      </c>
      <c r="BN212" s="282">
        <v>5252.336683417112</v>
      </c>
      <c r="BO212" s="282">
        <v>136.10050251256419</v>
      </c>
      <c r="BP212" s="282">
        <v>0</v>
      </c>
      <c r="BQ212" s="283">
        <v>0</v>
      </c>
      <c r="BR212" s="284"/>
      <c r="BS212" s="147"/>
      <c r="BT212" s="285">
        <v>0.81564045108577055</v>
      </c>
      <c r="BU212" s="288">
        <v>2.8304018373265512E-2</v>
      </c>
      <c r="BV212" s="287">
        <v>0.81115888964502247</v>
      </c>
      <c r="BW212" s="288">
        <v>0</v>
      </c>
      <c r="BX212" s="286">
        <v>99.217476796133667</v>
      </c>
      <c r="BY212" s="287">
        <v>0.78252320386632845</v>
      </c>
      <c r="BZ212" s="288">
        <v>0</v>
      </c>
      <c r="CA212" s="286">
        <v>0.76325898062730968</v>
      </c>
      <c r="CB212" s="286">
        <v>1.120667254609172</v>
      </c>
      <c r="CC212" s="287">
        <v>1.2176167141201664</v>
      </c>
      <c r="CD212" s="286">
        <v>0</v>
      </c>
      <c r="CE212" s="286">
        <v>15.66470714653437</v>
      </c>
      <c r="CF212" s="286">
        <v>21.387312178924724</v>
      </c>
      <c r="CG212" s="287">
        <v>22.562016753863787</v>
      </c>
      <c r="CH212" s="288">
        <v>0</v>
      </c>
      <c r="CI212" s="286">
        <v>1.4922796658702433</v>
      </c>
      <c r="CJ212" s="286">
        <v>228.52214848855866</v>
      </c>
      <c r="CK212" s="287"/>
      <c r="CL212" s="288"/>
      <c r="CM212" s="286"/>
      <c r="CN212" s="287"/>
      <c r="CO212" s="289"/>
      <c r="CP212" s="290"/>
      <c r="CQ212" s="289"/>
      <c r="CR212" s="290"/>
      <c r="CS212" s="284"/>
      <c r="CT212" s="147"/>
      <c r="CU212" s="291"/>
      <c r="CV212" s="292"/>
    </row>
    <row r="213" spans="2:100">
      <c r="B213">
        <v>155</v>
      </c>
      <c r="C213" s="243">
        <v>0.81910907506184516</v>
      </c>
      <c r="D213" s="592">
        <v>0.11634530524327776</v>
      </c>
      <c r="E213" s="245">
        <v>6.1437853475100335E-3</v>
      </c>
      <c r="F213" s="243">
        <v>7.0665894986624437E-3</v>
      </c>
      <c r="G213" s="245">
        <v>9.5851952861742661E-3</v>
      </c>
      <c r="H213" s="243">
        <v>0.11914844906310089</v>
      </c>
      <c r="I213" s="245">
        <v>0.16161419204140517</v>
      </c>
      <c r="J213" s="242">
        <v>8.4703055831932161E-2</v>
      </c>
      <c r="K213" s="242">
        <v>26.26926577415799</v>
      </c>
      <c r="L213" s="242">
        <v>5.0251256281407036E-3</v>
      </c>
      <c r="M213" s="243">
        <v>87.161826278924607</v>
      </c>
      <c r="N213" s="592">
        <v>27.159716253198308</v>
      </c>
      <c r="O213" s="245">
        <v>0.38988522921314117</v>
      </c>
      <c r="P213" s="245">
        <v>1.6535608302928024</v>
      </c>
      <c r="Q213" s="254">
        <v>82.407350408183234</v>
      </c>
      <c r="R213" s="255">
        <v>0</v>
      </c>
      <c r="S213" s="256">
        <v>0</v>
      </c>
      <c r="T213" s="257">
        <v>0</v>
      </c>
      <c r="U213" s="255">
        <v>1.2030998380663984E-2</v>
      </c>
      <c r="V213" s="256">
        <v>1.6318970981424378E-2</v>
      </c>
      <c r="W213" s="257">
        <v>8.688012866217748E-2</v>
      </c>
      <c r="X213" s="255">
        <v>2.3997274358069476E-2</v>
      </c>
      <c r="Y213" s="256">
        <v>3.255015182380918E-2</v>
      </c>
      <c r="Z213" s="257">
        <v>8.6412745113073147E-2</v>
      </c>
      <c r="AA213" s="255">
        <v>3.597391896544333E-2</v>
      </c>
      <c r="AB213" s="256">
        <v>4.8795396783419924E-2</v>
      </c>
      <c r="AC213" s="257">
        <v>8.6487620686753683E-2</v>
      </c>
      <c r="AD213" s="255">
        <v>4.7949974714809412E-2</v>
      </c>
      <c r="AE213" s="256">
        <v>6.5039843009921675E-2</v>
      </c>
      <c r="AF213" s="257">
        <v>8.6483368333136787E-2</v>
      </c>
      <c r="AG213" s="255">
        <v>5.9914133674040512E-2</v>
      </c>
      <c r="AH213" s="256">
        <v>8.126815230689835E-2</v>
      </c>
      <c r="AI213" s="257">
        <v>8.6397457370065323E-2</v>
      </c>
      <c r="AJ213" s="255">
        <v>7.1854846877978273E-2</v>
      </c>
      <c r="AK213" s="256">
        <v>9.7464659538230636E-2</v>
      </c>
      <c r="AL213" s="257">
        <v>8.6228147212086992E-2</v>
      </c>
      <c r="AM213" s="255">
        <v>8.3760404845967695E-2</v>
      </c>
      <c r="AN213" s="256">
        <v>0.11361348184291477</v>
      </c>
      <c r="AO213" s="257">
        <v>8.5974278719572708E-2</v>
      </c>
      <c r="AP213" s="255">
        <v>9.5619022613738711E-2</v>
      </c>
      <c r="AQ213" s="256">
        <v>0.12969863397318862</v>
      </c>
      <c r="AR213" s="257">
        <v>8.5635306798426222E-2</v>
      </c>
      <c r="AS213" s="255">
        <v>0.10741892767261396</v>
      </c>
      <c r="AT213" s="256">
        <v>0.14570414757618527</v>
      </c>
      <c r="AU213" s="257">
        <v>8.5211321394923351E-2</v>
      </c>
      <c r="AV213" s="255">
        <v>0.11914844906310089</v>
      </c>
      <c r="AW213" s="256">
        <v>0.16161419204140517</v>
      </c>
      <c r="AX213" s="257">
        <v>8.4703055831932161E-2</v>
      </c>
      <c r="AY213" s="243">
        <v>0</v>
      </c>
      <c r="AZ213" s="244">
        <v>0</v>
      </c>
      <c r="BA213" s="244">
        <v>0</v>
      </c>
      <c r="BB213" s="244">
        <v>0</v>
      </c>
      <c r="BC213" s="244">
        <v>0</v>
      </c>
      <c r="BD213" s="244">
        <v>0</v>
      </c>
      <c r="BE213" s="244">
        <v>0</v>
      </c>
      <c r="BF213" s="244">
        <v>0</v>
      </c>
      <c r="BG213" s="244">
        <v>0</v>
      </c>
      <c r="BH213" s="245">
        <v>0</v>
      </c>
      <c r="BK213">
        <v>155</v>
      </c>
      <c r="BL213" s="281">
        <v>0.22613065326633308</v>
      </c>
      <c r="BM213" s="281">
        <v>4035.0753768844475</v>
      </c>
      <c r="BN213" s="282">
        <v>5219.9597989950016</v>
      </c>
      <c r="BO213" s="282">
        <v>135.79396984924762</v>
      </c>
      <c r="BP213" s="282">
        <v>0</v>
      </c>
      <c r="BQ213" s="283">
        <v>0</v>
      </c>
      <c r="BR213" s="284"/>
      <c r="BS213" s="147"/>
      <c r="BT213" s="285">
        <v>0.81296528971433624</v>
      </c>
      <c r="BU213" s="288">
        <v>2.8214348466273662E-2</v>
      </c>
      <c r="BV213" s="287">
        <v>0.81139799720273031</v>
      </c>
      <c r="BW213" s="288">
        <v>0</v>
      </c>
      <c r="BX213" s="286">
        <v>99.206355886346799</v>
      </c>
      <c r="BY213" s="287">
        <v>0.79364411365319776</v>
      </c>
      <c r="BZ213" s="288">
        <v>0</v>
      </c>
      <c r="CA213" s="286">
        <v>0.76311262093816679</v>
      </c>
      <c r="CB213" s="286">
        <v>1.1207621698611587</v>
      </c>
      <c r="CC213" s="287">
        <v>1.2175794706696998</v>
      </c>
      <c r="CD213" s="286">
        <v>0</v>
      </c>
      <c r="CE213" s="286">
        <v>15.663456332543426</v>
      </c>
      <c r="CF213" s="286">
        <v>21.390236813438108</v>
      </c>
      <c r="CG213" s="287">
        <v>22.563243903385576</v>
      </c>
      <c r="CH213" s="288">
        <v>0</v>
      </c>
      <c r="CI213" s="286">
        <v>1.4874660583550503</v>
      </c>
      <c r="CJ213" s="286">
        <v>229.30336266376651</v>
      </c>
      <c r="CK213" s="287"/>
      <c r="CL213" s="288"/>
      <c r="CM213" s="286"/>
      <c r="CN213" s="287"/>
      <c r="CO213" s="289"/>
      <c r="CP213" s="290"/>
      <c r="CQ213" s="289"/>
      <c r="CR213" s="290"/>
      <c r="CS213" s="284"/>
      <c r="CT213" s="147"/>
      <c r="CU213" s="291"/>
      <c r="CV213" s="292"/>
    </row>
    <row r="214" spans="2:100">
      <c r="B214">
        <v>156</v>
      </c>
      <c r="C214" s="243">
        <v>0.81642603439269679</v>
      </c>
      <c r="D214" s="592">
        <v>0.11693020520897944</v>
      </c>
      <c r="E214" s="245">
        <v>6.1273885310167975E-3</v>
      </c>
      <c r="F214" s="243">
        <v>7.0828531371261785E-3</v>
      </c>
      <c r="G214" s="245">
        <v>9.6069614922659839E-3</v>
      </c>
      <c r="H214" s="243">
        <v>0.11942266724139522</v>
      </c>
      <c r="I214" s="245">
        <v>0.16198118798737132</v>
      </c>
      <c r="J214" s="242">
        <v>8.4953325654850378E-2</v>
      </c>
      <c r="K214" s="242">
        <v>26.291071284015683</v>
      </c>
      <c r="L214" s="242">
        <v>5.0251256281407036E-3</v>
      </c>
      <c r="M214" s="243">
        <v>87.136076955390777</v>
      </c>
      <c r="N214" s="592">
        <v>27.211013521665844</v>
      </c>
      <c r="O214" s="245">
        <v>0.38886270519851363</v>
      </c>
      <c r="P214" s="245">
        <v>1.6549334128878102</v>
      </c>
      <c r="Q214" s="254">
        <v>82.582440425622508</v>
      </c>
      <c r="R214" s="255">
        <v>0</v>
      </c>
      <c r="S214" s="256">
        <v>0</v>
      </c>
      <c r="T214" s="257">
        <v>0</v>
      </c>
      <c r="U214" s="255">
        <v>1.2051608495485411E-2</v>
      </c>
      <c r="V214" s="256">
        <v>1.6346426573369644E-2</v>
      </c>
      <c r="W214" s="257">
        <v>8.7026298746272629E-2</v>
      </c>
      <c r="X214" s="255">
        <v>2.4038818306457651E-2</v>
      </c>
      <c r="Y214" s="256">
        <v>3.2605504775921355E-2</v>
      </c>
      <c r="Z214" s="257">
        <v>8.6561267115066731E-2</v>
      </c>
      <c r="AA214" s="255">
        <v>3.6038257061482164E-2</v>
      </c>
      <c r="AB214" s="256">
        <v>4.8881169937474871E-2</v>
      </c>
      <c r="AC214" s="257">
        <v>8.6649573977909455E-2</v>
      </c>
      <c r="AD214" s="255">
        <v>4.8038968709597188E-2</v>
      </c>
      <c r="AE214" s="256">
        <v>6.5158561611588728E-2</v>
      </c>
      <c r="AF214" s="257">
        <v>8.6658765711478306E-2</v>
      </c>
      <c r="AG214" s="255">
        <v>6.0029631809359454E-2</v>
      </c>
      <c r="AH214" s="256">
        <v>8.1422323747547667E-2</v>
      </c>
      <c r="AI214" s="257">
        <v>8.6586203781571475E-2</v>
      </c>
      <c r="AJ214" s="255">
        <v>7.1998668996279908E-2</v>
      </c>
      <c r="AK214" s="256">
        <v>9.7656753168584506E-2</v>
      </c>
      <c r="AL214" s="257">
        <v>8.6430040133180688E-2</v>
      </c>
      <c r="AM214" s="255">
        <v>8.3934327190433769E-2</v>
      </c>
      <c r="AN214" s="256">
        <v>0.11384590836298543</v>
      </c>
      <c r="AO214" s="257">
        <v>8.6189005901323376E-2</v>
      </c>
      <c r="AP214" s="255">
        <v>9.5824762607925718E-2</v>
      </c>
      <c r="AQ214" s="256">
        <v>0.1299737247909947</v>
      </c>
      <c r="AR214" s="257">
        <v>8.5862446100331641E-2</v>
      </c>
      <c r="AS214" s="255">
        <v>0.10765812898191209</v>
      </c>
      <c r="AT214" s="256">
        <v>0.14602413454506288</v>
      </c>
      <c r="AU214" s="257">
        <v>8.5450342800499055E-2</v>
      </c>
      <c r="AV214" s="255">
        <v>0.11942266724139522</v>
      </c>
      <c r="AW214" s="256">
        <v>0.16198118798737132</v>
      </c>
      <c r="AX214" s="257">
        <v>8.4953325654850378E-2</v>
      </c>
      <c r="AY214" s="243">
        <v>0</v>
      </c>
      <c r="AZ214" s="244">
        <v>0</v>
      </c>
      <c r="BA214" s="244">
        <v>0</v>
      </c>
      <c r="BB214" s="244">
        <v>0</v>
      </c>
      <c r="BC214" s="244">
        <v>0</v>
      </c>
      <c r="BD214" s="244">
        <v>0</v>
      </c>
      <c r="BE214" s="244">
        <v>0</v>
      </c>
      <c r="BF214" s="244">
        <v>0</v>
      </c>
      <c r="BG214" s="244">
        <v>0</v>
      </c>
      <c r="BH214" s="245">
        <v>0</v>
      </c>
      <c r="BK214">
        <v>156</v>
      </c>
      <c r="BL214" s="281">
        <v>0.22110552763819236</v>
      </c>
      <c r="BM214" s="281">
        <v>3945.4070351759046</v>
      </c>
      <c r="BN214" s="282">
        <v>5187.5829145728912</v>
      </c>
      <c r="BO214" s="282">
        <v>135.48743718593104</v>
      </c>
      <c r="BP214" s="282">
        <v>0</v>
      </c>
      <c r="BQ214" s="283">
        <v>0</v>
      </c>
      <c r="BR214" s="284"/>
      <c r="BS214" s="147"/>
      <c r="BT214" s="285">
        <v>0.8102986458616811</v>
      </c>
      <c r="BU214" s="288">
        <v>2.812494213155823E-2</v>
      </c>
      <c r="BV214" s="287">
        <v>0.81163659645584751</v>
      </c>
      <c r="BW214" s="288">
        <v>0</v>
      </c>
      <c r="BX214" s="286">
        <v>99.195277156733013</v>
      </c>
      <c r="BY214" s="287">
        <v>0.80472284326699106</v>
      </c>
      <c r="BZ214" s="288">
        <v>0</v>
      </c>
      <c r="CA214" s="286">
        <v>0.76296600480110288</v>
      </c>
      <c r="CB214" s="286">
        <v>1.1208567836313537</v>
      </c>
      <c r="CC214" s="287">
        <v>1.2175422153005189</v>
      </c>
      <c r="CD214" s="286">
        <v>0</v>
      </c>
      <c r="CE214" s="286">
        <v>15.662200769369942</v>
      </c>
      <c r="CF214" s="286">
        <v>21.393156253002601</v>
      </c>
      <c r="CG214" s="287">
        <v>22.564471117451387</v>
      </c>
      <c r="CH214" s="288">
        <v>0</v>
      </c>
      <c r="CI214" s="286">
        <v>1.4826669373059598</v>
      </c>
      <c r="CJ214" s="286">
        <v>230.08895176901157</v>
      </c>
      <c r="CK214" s="287"/>
      <c r="CL214" s="288"/>
      <c r="CM214" s="286"/>
      <c r="CN214" s="287"/>
      <c r="CO214" s="289"/>
      <c r="CP214" s="290"/>
      <c r="CQ214" s="289"/>
      <c r="CR214" s="290"/>
      <c r="CS214" s="284"/>
      <c r="CT214" s="147"/>
      <c r="CU214" s="291"/>
      <c r="CV214" s="292"/>
    </row>
    <row r="215" spans="2:100">
      <c r="B215">
        <v>157</v>
      </c>
      <c r="C215" s="243">
        <v>0.81375096033841077</v>
      </c>
      <c r="D215" s="592">
        <v>0.11748512532686706</v>
      </c>
      <c r="E215" s="245">
        <v>6.1104718191693497E-3</v>
      </c>
      <c r="F215" s="243">
        <v>7.0973575198537819E-3</v>
      </c>
      <c r="G215" s="245">
        <v>9.6263401271770837E-3</v>
      </c>
      <c r="H215" s="243">
        <v>0.11966722293646406</v>
      </c>
      <c r="I215" s="245">
        <v>0.16230792754045484</v>
      </c>
      <c r="J215" s="242">
        <v>8.5183060225727456E-2</v>
      </c>
      <c r="K215" s="242">
        <v>26.310679208241663</v>
      </c>
      <c r="L215" s="242">
        <v>5.0251256281407036E-3</v>
      </c>
      <c r="M215" s="243">
        <v>87.117861985814784</v>
      </c>
      <c r="N215" s="592">
        <v>27.264716365674669</v>
      </c>
      <c r="O215" s="245">
        <v>0.38787570046745101</v>
      </c>
      <c r="P215" s="245">
        <v>1.6561676649503603</v>
      </c>
      <c r="Q215" s="254">
        <v>82.738260266180802</v>
      </c>
      <c r="R215" s="255">
        <v>0</v>
      </c>
      <c r="S215" s="256">
        <v>0</v>
      </c>
      <c r="T215" s="257">
        <v>0</v>
      </c>
      <c r="U215" s="255">
        <v>1.2069258069120282E-2</v>
      </c>
      <c r="V215" s="256">
        <v>1.6369864830822551E-2</v>
      </c>
      <c r="W215" s="257">
        <v>8.7151081051814058E-2</v>
      </c>
      <c r="X215" s="255">
        <v>2.4074419512335715E-2</v>
      </c>
      <c r="Y215" s="256">
        <v>3.2652793654794877E-2</v>
      </c>
      <c r="Z215" s="257">
        <v>8.6688244793993577E-2</v>
      </c>
      <c r="AA215" s="255">
        <v>3.6093646937228364E-2</v>
      </c>
      <c r="AB215" s="256">
        <v>4.8954800554440972E-2</v>
      </c>
      <c r="AC215" s="257">
        <v>8.6789814045575078E-2</v>
      </c>
      <c r="AD215" s="255">
        <v>4.8115996930763572E-2</v>
      </c>
      <c r="AE215" s="256">
        <v>6.5261042679343725E-2</v>
      </c>
      <c r="AF215" s="257">
        <v>8.6812361846881361E-2</v>
      </c>
      <c r="AG215" s="255">
        <v>6.0130146183668146E-2</v>
      </c>
      <c r="AH215" s="256">
        <v>8.1556161915427028E-2</v>
      </c>
      <c r="AI215" s="257">
        <v>8.675314499964093E-2</v>
      </c>
      <c r="AJ215" s="255">
        <v>7.2124500855556092E-2</v>
      </c>
      <c r="AK215" s="256">
        <v>9.7824433219867057E-2</v>
      </c>
      <c r="AL215" s="257">
        <v>8.6610210021808173E-2</v>
      </c>
      <c r="AM215" s="255">
        <v>8.4087276306862899E-2</v>
      </c>
      <c r="AN215" s="256">
        <v>0.11404987276369549</v>
      </c>
      <c r="AO215" s="257">
        <v>8.6382179168821377E-2</v>
      </c>
      <c r="AP215" s="255">
        <v>9.6006581916175018E-2</v>
      </c>
      <c r="AQ215" s="256">
        <v>0.13021635297186346</v>
      </c>
      <c r="AR215" s="257">
        <v>8.6068287154805842E-2</v>
      </c>
      <c r="AS215" s="255">
        <v>0.10787050940665156</v>
      </c>
      <c r="AT215" s="256">
        <v>0.14630772232278302</v>
      </c>
      <c r="AU215" s="257">
        <v>8.5668406491429941E-2</v>
      </c>
      <c r="AV215" s="255">
        <v>0.11966722293646406</v>
      </c>
      <c r="AW215" s="256">
        <v>0.16230792754045484</v>
      </c>
      <c r="AX215" s="257">
        <v>8.5183060225727456E-2</v>
      </c>
      <c r="AY215" s="243">
        <v>0</v>
      </c>
      <c r="AZ215" s="244">
        <v>0</v>
      </c>
      <c r="BA215" s="244">
        <v>0</v>
      </c>
      <c r="BB215" s="244">
        <v>0</v>
      </c>
      <c r="BC215" s="244">
        <v>0</v>
      </c>
      <c r="BD215" s="244">
        <v>0</v>
      </c>
      <c r="BE215" s="244">
        <v>0</v>
      </c>
      <c r="BF215" s="244">
        <v>0</v>
      </c>
      <c r="BG215" s="244">
        <v>0</v>
      </c>
      <c r="BH215" s="245">
        <v>0</v>
      </c>
      <c r="BK215">
        <v>157</v>
      </c>
      <c r="BL215" s="281">
        <v>0.21608040201005166</v>
      </c>
      <c r="BM215" s="281">
        <v>3855.7386934673618</v>
      </c>
      <c r="BN215" s="282">
        <v>5155.2060301507809</v>
      </c>
      <c r="BO215" s="282">
        <v>135.18090452261447</v>
      </c>
      <c r="BP215" s="282">
        <v>0</v>
      </c>
      <c r="BQ215" s="283">
        <v>0</v>
      </c>
      <c r="BR215" s="284"/>
      <c r="BS215" s="147"/>
      <c r="BT215" s="285">
        <v>0.80764048851924253</v>
      </c>
      <c r="BU215" s="288">
        <v>2.8035798549187335E-2</v>
      </c>
      <c r="BV215" s="287">
        <v>0.81187468556294284</v>
      </c>
      <c r="BW215" s="288">
        <v>0</v>
      </c>
      <c r="BX215" s="286">
        <v>99.184240415943364</v>
      </c>
      <c r="BY215" s="287">
        <v>0.81575958405663385</v>
      </c>
      <c r="BZ215" s="288">
        <v>0</v>
      </c>
      <c r="CA215" s="286">
        <v>0.76281913000607038</v>
      </c>
      <c r="CB215" s="286">
        <v>1.1209510944050098</v>
      </c>
      <c r="CC215" s="287">
        <v>1.2175049479799911</v>
      </c>
      <c r="CD215" s="286">
        <v>0</v>
      </c>
      <c r="CE215" s="286">
        <v>15.660940417185675</v>
      </c>
      <c r="CF215" s="286">
        <v>21.39607046602999</v>
      </c>
      <c r="CG215" s="287">
        <v>22.565698395798357</v>
      </c>
      <c r="CH215" s="288">
        <v>0</v>
      </c>
      <c r="CI215" s="286">
        <v>1.4778822111255157</v>
      </c>
      <c r="CJ215" s="286">
        <v>230.87893662008435</v>
      </c>
      <c r="CK215" s="287"/>
      <c r="CL215" s="288"/>
      <c r="CM215" s="286"/>
      <c r="CN215" s="287"/>
      <c r="CO215" s="289"/>
      <c r="CP215" s="290"/>
      <c r="CQ215" s="289"/>
      <c r="CR215" s="290"/>
      <c r="CS215" s="284"/>
      <c r="CT215" s="147"/>
      <c r="CU215" s="291"/>
      <c r="CV215" s="292"/>
    </row>
    <row r="216" spans="2:100">
      <c r="B216">
        <v>158</v>
      </c>
      <c r="C216" s="243">
        <v>0.81108384450347704</v>
      </c>
      <c r="D216" s="592">
        <v>0.11801074693651789</v>
      </c>
      <c r="E216" s="245">
        <v>6.0930578789223366E-3</v>
      </c>
      <c r="F216" s="243">
        <v>7.1101624689996878E-3</v>
      </c>
      <c r="G216" s="245">
        <v>9.6434125451237522E-3</v>
      </c>
      <c r="H216" s="243">
        <v>0.11988312479850873</v>
      </c>
      <c r="I216" s="245">
        <v>0.1625957823989389</v>
      </c>
      <c r="J216" s="242">
        <v>8.539284083249471E-2</v>
      </c>
      <c r="K216" s="242">
        <v>26.328160302176567</v>
      </c>
      <c r="L216" s="242">
        <v>5.0251256281407036E-3</v>
      </c>
      <c r="M216" s="243">
        <v>87.10692833878953</v>
      </c>
      <c r="N216" s="592">
        <v>27.320761033825598</v>
      </c>
      <c r="O216" s="245">
        <v>0.38692292377782334</v>
      </c>
      <c r="P216" s="245">
        <v>1.6572680402882147</v>
      </c>
      <c r="Q216" s="254">
        <v>82.875480516444028</v>
      </c>
      <c r="R216" s="255">
        <v>0</v>
      </c>
      <c r="S216" s="256">
        <v>0</v>
      </c>
      <c r="T216" s="257">
        <v>0</v>
      </c>
      <c r="U216" s="255">
        <v>1.2084065370590426E-2</v>
      </c>
      <c r="V216" s="256">
        <v>1.6389446527969673E-2</v>
      </c>
      <c r="W216" s="257">
        <v>8.7255331520149484E-2</v>
      </c>
      <c r="X216" s="255">
        <v>2.410431148950223E-2</v>
      </c>
      <c r="Y216" s="256">
        <v>3.2692335909750167E-2</v>
      </c>
      <c r="Z216" s="257">
        <v>8.6794512268365362E-2</v>
      </c>
      <c r="AA216" s="255">
        <v>3.6140434060757322E-2</v>
      </c>
      <c r="AB216" s="256">
        <v>4.9016758298739249E-2</v>
      </c>
      <c r="AC216" s="257">
        <v>8.6909151263611789E-2</v>
      </c>
      <c r="AD216" s="255">
        <v>4.8181513097174701E-2</v>
      </c>
      <c r="AE216" s="256">
        <v>6.5347903071152624E-2</v>
      </c>
      <c r="AF216" s="257">
        <v>8.6944940379082555E-2</v>
      </c>
      <c r="AG216" s="255">
        <v>6.0216234694037106E-2</v>
      </c>
      <c r="AH216" s="256">
        <v>8.1670425338436659E-2</v>
      </c>
      <c r="AI216" s="257">
        <v>8.6899035257008428E-2</v>
      </c>
      <c r="AJ216" s="255">
        <v>7.2233000140581691E-2</v>
      </c>
      <c r="AK216" s="256">
        <v>9.7968593933636272E-2</v>
      </c>
      <c r="AL216" s="257">
        <v>8.6769379400245178E-2</v>
      </c>
      <c r="AM216" s="255">
        <v>8.4220005016437491E-2</v>
      </c>
      <c r="AN216" s="256">
        <v>0.11422639868877155</v>
      </c>
      <c r="AO216" s="257">
        <v>8.6554487442775441E-2</v>
      </c>
      <c r="AP216" s="255">
        <v>9.6165323645448775E-2</v>
      </c>
      <c r="AQ216" s="256">
        <v>0.13042766497836086</v>
      </c>
      <c r="AR216" s="257">
        <v>8.6253483833749769E-2</v>
      </c>
      <c r="AS216" s="255">
        <v>0.10805699735365457</v>
      </c>
      <c r="AT216" s="256">
        <v>0.14655617342246727</v>
      </c>
      <c r="AU216" s="257">
        <v>8.5866130306132507E-2</v>
      </c>
      <c r="AV216" s="255">
        <v>0.11988312479850873</v>
      </c>
      <c r="AW216" s="256">
        <v>0.1625957823989389</v>
      </c>
      <c r="AX216" s="257">
        <v>8.539284083249471E-2</v>
      </c>
      <c r="AY216" s="243">
        <v>0</v>
      </c>
      <c r="AZ216" s="244">
        <v>0</v>
      </c>
      <c r="BA216" s="244">
        <v>0</v>
      </c>
      <c r="BB216" s="244">
        <v>0</v>
      </c>
      <c r="BC216" s="244">
        <v>0</v>
      </c>
      <c r="BD216" s="244">
        <v>0</v>
      </c>
      <c r="BE216" s="244">
        <v>0</v>
      </c>
      <c r="BF216" s="244">
        <v>0</v>
      </c>
      <c r="BG216" s="244">
        <v>0</v>
      </c>
      <c r="BH216" s="245">
        <v>0</v>
      </c>
      <c r="BK216">
        <v>158</v>
      </c>
      <c r="BL216" s="281">
        <v>0.21105527638191096</v>
      </c>
      <c r="BM216" s="281">
        <v>3766.070351758819</v>
      </c>
      <c r="BN216" s="282">
        <v>5122.8291457286705</v>
      </c>
      <c r="BO216" s="282">
        <v>134.8743718592979</v>
      </c>
      <c r="BP216" s="282">
        <v>0</v>
      </c>
      <c r="BQ216" s="283">
        <v>0</v>
      </c>
      <c r="BR216" s="284"/>
      <c r="BS216" s="147"/>
      <c r="BT216" s="285">
        <v>0.80499078662455581</v>
      </c>
      <c r="BU216" s="288">
        <v>2.794691689562823E-2</v>
      </c>
      <c r="BV216" s="287">
        <v>0.81211226265494851</v>
      </c>
      <c r="BW216" s="288">
        <v>0</v>
      </c>
      <c r="BX216" s="286">
        <v>99.173245472654884</v>
      </c>
      <c r="BY216" s="287">
        <v>0.8267545273451159</v>
      </c>
      <c r="BZ216" s="288">
        <v>0</v>
      </c>
      <c r="CA216" s="286">
        <v>0.76267199432582977</v>
      </c>
      <c r="CB216" s="286">
        <v>1.1210451006479252</v>
      </c>
      <c r="CC216" s="287">
        <v>1.2174676686753685</v>
      </c>
      <c r="CD216" s="286">
        <v>0</v>
      </c>
      <c r="CE216" s="286">
        <v>15.6596752358451</v>
      </c>
      <c r="CF216" s="286">
        <v>21.398979420544173</v>
      </c>
      <c r="CG216" s="287">
        <v>22.566925738162187</v>
      </c>
      <c r="CH216" s="288">
        <v>0</v>
      </c>
      <c r="CI216" s="286">
        <v>1.4731117888626004</v>
      </c>
      <c r="CJ216" s="286">
        <v>231.67333809198198</v>
      </c>
      <c r="CK216" s="287"/>
      <c r="CL216" s="288"/>
      <c r="CM216" s="286"/>
      <c r="CN216" s="287"/>
      <c r="CO216" s="289"/>
      <c r="CP216" s="290"/>
      <c r="CQ216" s="289"/>
      <c r="CR216" s="290"/>
      <c r="CS216" s="284"/>
      <c r="CT216" s="147"/>
      <c r="CU216" s="291"/>
      <c r="CV216" s="292"/>
    </row>
    <row r="217" spans="2:100">
      <c r="B217">
        <v>159</v>
      </c>
      <c r="C217" s="243">
        <v>0.80842467806617335</v>
      </c>
      <c r="D217" s="592">
        <v>0.11850774653901236</v>
      </c>
      <c r="E217" s="245">
        <v>6.0751690063266528E-3</v>
      </c>
      <c r="F217" s="243">
        <v>7.1213263292871209E-3</v>
      </c>
      <c r="G217" s="245">
        <v>9.658258086761809E-3</v>
      </c>
      <c r="H217" s="243">
        <v>0.12007135656703817</v>
      </c>
      <c r="I217" s="245">
        <v>0.16284609031084055</v>
      </c>
      <c r="J217" s="242">
        <v>8.55832356322965E-2</v>
      </c>
      <c r="K217" s="242">
        <v>26.343584469310528</v>
      </c>
      <c r="L217" s="242">
        <v>5.0251256281407036E-3</v>
      </c>
      <c r="M217" s="243">
        <v>87.103030217788941</v>
      </c>
      <c r="N217" s="592">
        <v>27.379085399344724</v>
      </c>
      <c r="O217" s="245">
        <v>0.3860031149720487</v>
      </c>
      <c r="P217" s="245">
        <v>1.6582389390880472</v>
      </c>
      <c r="Q217" s="254">
        <v>82.994753068258902</v>
      </c>
      <c r="R217" s="255">
        <v>0</v>
      </c>
      <c r="S217" s="256">
        <v>0</v>
      </c>
      <c r="T217" s="257">
        <v>0</v>
      </c>
      <c r="U217" s="255">
        <v>1.2096145232294696E-2</v>
      </c>
      <c r="V217" s="256">
        <v>1.6405327758677587E-2</v>
      </c>
      <c r="W217" s="257">
        <v>8.7339881175197448E-2</v>
      </c>
      <c r="X217" s="255">
        <v>2.4128721127025746E-2</v>
      </c>
      <c r="Y217" s="256">
        <v>3.2724439967020229E-2</v>
      </c>
      <c r="Z217" s="257">
        <v>8.6880880536351623E-2</v>
      </c>
      <c r="AA217" s="255">
        <v>3.6178954335178107E-2</v>
      </c>
      <c r="AB217" s="256">
        <v>4.9067499805657597E-2</v>
      </c>
      <c r="AC217" s="257">
        <v>8.7008374678202161E-2</v>
      </c>
      <c r="AD217" s="255">
        <v>4.8235958654920634E-2</v>
      </c>
      <c r="AE217" s="256">
        <v>6.5419742925645688E-2</v>
      </c>
      <c r="AF217" s="257">
        <v>8.7057265301648881E-2</v>
      </c>
      <c r="AG217" s="255">
        <v>6.0288440470082819E-2</v>
      </c>
      <c r="AH217" s="256">
        <v>8.1765852424673893E-2</v>
      </c>
      <c r="AI217" s="257">
        <v>8.7024610682753731E-2</v>
      </c>
      <c r="AJ217" s="255">
        <v>7.2324807464527491E-2</v>
      </c>
      <c r="AK217" s="256">
        <v>9.8090106290310938E-2</v>
      </c>
      <c r="AL217" s="257">
        <v>8.6908254066691462E-2</v>
      </c>
      <c r="AM217" s="255">
        <v>8.4333246929869501E-2</v>
      </c>
      <c r="AN217" s="256">
        <v>0.11437648360440031</v>
      </c>
      <c r="AO217" s="257">
        <v>8.6706604117347971E-2</v>
      </c>
      <c r="AP217" s="255">
        <v>9.6301809691546447E-2</v>
      </c>
      <c r="AQ217" s="256">
        <v>0.13060877836731344</v>
      </c>
      <c r="AR217" s="257">
        <v>8.6418675484475252E-2</v>
      </c>
      <c r="AS217" s="255">
        <v>0.10821849812793215</v>
      </c>
      <c r="AT217" s="256">
        <v>0.14677071887336865</v>
      </c>
      <c r="AU217" s="257">
        <v>8.6044118357392674E-2</v>
      </c>
      <c r="AV217" s="255">
        <v>0.12007135656703817</v>
      </c>
      <c r="AW217" s="256">
        <v>0.16284609031084055</v>
      </c>
      <c r="AX217" s="257">
        <v>8.55832356322965E-2</v>
      </c>
      <c r="AY217" s="243">
        <v>0</v>
      </c>
      <c r="AZ217" s="244">
        <v>0</v>
      </c>
      <c r="BA217" s="244">
        <v>0</v>
      </c>
      <c r="BB217" s="244">
        <v>0</v>
      </c>
      <c r="BC217" s="244">
        <v>0</v>
      </c>
      <c r="BD217" s="244">
        <v>0</v>
      </c>
      <c r="BE217" s="244">
        <v>0</v>
      </c>
      <c r="BF217" s="244">
        <v>0</v>
      </c>
      <c r="BG217" s="244">
        <v>0</v>
      </c>
      <c r="BH217" s="245">
        <v>0</v>
      </c>
      <c r="BK217">
        <v>159</v>
      </c>
      <c r="BL217" s="281">
        <v>0.20603015075377024</v>
      </c>
      <c r="BM217" s="281">
        <v>3676.4020100502762</v>
      </c>
      <c r="BN217" s="282">
        <v>5090.4522613065601</v>
      </c>
      <c r="BO217" s="282">
        <v>134.56783919598132</v>
      </c>
      <c r="BP217" s="282">
        <v>0</v>
      </c>
      <c r="BQ217" s="283">
        <v>0</v>
      </c>
      <c r="BR217" s="284"/>
      <c r="BS217" s="147"/>
      <c r="BT217" s="285">
        <v>0.80234950905984781</v>
      </c>
      <c r="BU217" s="288">
        <v>2.7858296343707678E-2</v>
      </c>
      <c r="BV217" s="287">
        <v>0.81234932583484343</v>
      </c>
      <c r="BW217" s="288">
        <v>0</v>
      </c>
      <c r="BX217" s="286">
        <v>99.162292135562083</v>
      </c>
      <c r="BY217" s="287">
        <v>0.83770786443791601</v>
      </c>
      <c r="BZ217" s="288">
        <v>0</v>
      </c>
      <c r="CA217" s="286">
        <v>0.76252459551575102</v>
      </c>
      <c r="CB217" s="286">
        <v>1.1211388008062144</v>
      </c>
      <c r="CC217" s="287">
        <v>1.2174303773538009</v>
      </c>
      <c r="CD217" s="286">
        <v>0</v>
      </c>
      <c r="CE217" s="286">
        <v>15.658405184881847</v>
      </c>
      <c r="CF217" s="286">
        <v>21.4018830841766</v>
      </c>
      <c r="CG217" s="287">
        <v>22.568153144277211</v>
      </c>
      <c r="CH217" s="288">
        <v>0</v>
      </c>
      <c r="CI217" s="286">
        <v>1.4683555802092165</v>
      </c>
      <c r="CJ217" s="286">
        <v>232.47217711755184</v>
      </c>
      <c r="CK217" s="287"/>
      <c r="CL217" s="288"/>
      <c r="CM217" s="286"/>
      <c r="CN217" s="287"/>
      <c r="CO217" s="289"/>
      <c r="CP217" s="290"/>
      <c r="CQ217" s="289"/>
      <c r="CR217" s="290"/>
      <c r="CS217" s="284"/>
      <c r="CT217" s="147"/>
      <c r="CU217" s="291"/>
      <c r="CV217" s="292"/>
    </row>
    <row r="218" spans="2:100">
      <c r="B218">
        <v>160</v>
      </c>
      <c r="C218" s="243">
        <v>0.8057734517512507</v>
      </c>
      <c r="D218" s="592">
        <v>0.11897679536954113</v>
      </c>
      <c r="E218" s="245">
        <v>6.0568271030895238E-3</v>
      </c>
      <c r="F218" s="243">
        <v>7.1309059733435671E-3</v>
      </c>
      <c r="G218" s="245">
        <v>9.6709540867222187E-3</v>
      </c>
      <c r="H218" s="243">
        <v>0.1202328771608293</v>
      </c>
      <c r="I218" s="245">
        <v>0.16306015520096531</v>
      </c>
      <c r="J218" s="242">
        <v>8.5754799955015143E-2</v>
      </c>
      <c r="K218" s="242">
        <v>26.357020670429517</v>
      </c>
      <c r="L218" s="242">
        <v>5.0251256281407036E-3</v>
      </c>
      <c r="M218" s="243">
        <v>87.105928950872368</v>
      </c>
      <c r="N218" s="592">
        <v>27.439628947936107</v>
      </c>
      <c r="O218" s="245">
        <v>0.38511504513582873</v>
      </c>
      <c r="P218" s="245">
        <v>1.659084702196514</v>
      </c>
      <c r="Q218" s="254">
        <v>83.096711403302805</v>
      </c>
      <c r="R218" s="255">
        <v>0</v>
      </c>
      <c r="S218" s="256">
        <v>0</v>
      </c>
      <c r="T218" s="257">
        <v>0</v>
      </c>
      <c r="U218" s="255">
        <v>1.2105609054393528E-2</v>
      </c>
      <c r="V218" s="256">
        <v>1.6417659943138336E-2</v>
      </c>
      <c r="W218" s="257">
        <v>8.7405536158826957E-2</v>
      </c>
      <c r="X218" s="255">
        <v>2.4147868693327058E-2</v>
      </c>
      <c r="Y218" s="256">
        <v>3.2749405236634048E-2</v>
      </c>
      <c r="Z218" s="257">
        <v>8.6948137477046494E-2</v>
      </c>
      <c r="AA218" s="255">
        <v>3.6209534098443276E-2</v>
      </c>
      <c r="AB218" s="256">
        <v>4.9107468683036552E-2</v>
      </c>
      <c r="AC218" s="257">
        <v>8.7088251980178805E-2</v>
      </c>
      <c r="AD218" s="255">
        <v>4.8279762771867081E-2</v>
      </c>
      <c r="AE218" s="256">
        <v>6.5477145657221431E-2</v>
      </c>
      <c r="AF218" s="257">
        <v>8.7150080926936727E-2</v>
      </c>
      <c r="AG218" s="255">
        <v>6.0347291865189445E-2</v>
      </c>
      <c r="AH218" s="256">
        <v>8.1843161453526256E-2</v>
      </c>
      <c r="AI218" s="257">
        <v>8.7130589280947718E-2</v>
      </c>
      <c r="AJ218" s="255">
        <v>7.2400546361533064E-2</v>
      </c>
      <c r="AK218" s="256">
        <v>9.8189818002562351E-2</v>
      </c>
      <c r="AL218" s="257">
        <v>8.7027523107509247E-2</v>
      </c>
      <c r="AM218" s="255">
        <v>8.4427716448516585E-2</v>
      </c>
      <c r="AN218" s="256">
        <v>0.11450109880463955</v>
      </c>
      <c r="AO218" s="257">
        <v>8.6839187124143069E-2</v>
      </c>
      <c r="AP218" s="255">
        <v>9.6416840758152711E-2</v>
      </c>
      <c r="AQ218" s="256">
        <v>0.13076078181994241</v>
      </c>
      <c r="AR218" s="257">
        <v>8.6564487061330325E-2</v>
      </c>
      <c r="AS218" s="255">
        <v>0.10835589398087658</v>
      </c>
      <c r="AT218" s="256">
        <v>0.14695255829091405</v>
      </c>
      <c r="AU218" s="257">
        <v>8.6202961244830165E-2</v>
      </c>
      <c r="AV218" s="255">
        <v>0.1202328771608293</v>
      </c>
      <c r="AW218" s="256">
        <v>0.16306015520096531</v>
      </c>
      <c r="AX218" s="257">
        <v>8.5754799955015143E-2</v>
      </c>
      <c r="AY218" s="243">
        <v>0</v>
      </c>
      <c r="AZ218" s="244">
        <v>0</v>
      </c>
      <c r="BA218" s="244">
        <v>0</v>
      </c>
      <c r="BB218" s="244">
        <v>0</v>
      </c>
      <c r="BC218" s="244">
        <v>0</v>
      </c>
      <c r="BD218" s="244">
        <v>0</v>
      </c>
      <c r="BE218" s="244">
        <v>0</v>
      </c>
      <c r="BF218" s="244">
        <v>0</v>
      </c>
      <c r="BG218" s="244">
        <v>0</v>
      </c>
      <c r="BH218" s="245">
        <v>0</v>
      </c>
      <c r="BK218">
        <v>160</v>
      </c>
      <c r="BL218" s="281">
        <v>0.20100502512562954</v>
      </c>
      <c r="BM218" s="281">
        <v>3586.7336683417334</v>
      </c>
      <c r="BN218" s="282">
        <v>5058.0753768844497</v>
      </c>
      <c r="BO218" s="282">
        <v>134.26130653266475</v>
      </c>
      <c r="BP218" s="282">
        <v>0</v>
      </c>
      <c r="BQ218" s="283">
        <v>0</v>
      </c>
      <c r="BR218" s="284"/>
      <c r="BS218" s="147"/>
      <c r="BT218" s="285">
        <v>0.79971662464816229</v>
      </c>
      <c r="BU218" s="288">
        <v>2.7769936062489127E-2</v>
      </c>
      <c r="BV218" s="287">
        <v>0.81258587317714093</v>
      </c>
      <c r="BW218" s="288">
        <v>0</v>
      </c>
      <c r="BX218" s="286">
        <v>99.151380213357882</v>
      </c>
      <c r="BY218" s="287">
        <v>0.84861978664212701</v>
      </c>
      <c r="BZ218" s="288">
        <v>0</v>
      </c>
      <c r="CA218" s="286">
        <v>0.76237693131359463</v>
      </c>
      <c r="CB218" s="286">
        <v>1.1212321933059934</v>
      </c>
      <c r="CC218" s="287">
        <v>1.2173930739823247</v>
      </c>
      <c r="CD218" s="286">
        <v>0</v>
      </c>
      <c r="CE218" s="286">
        <v>15.657130223504607</v>
      </c>
      <c r="CF218" s="286">
        <v>21.404781424160106</v>
      </c>
      <c r="CG218" s="287">
        <v>22.569380613876348</v>
      </c>
      <c r="CH218" s="288">
        <v>0</v>
      </c>
      <c r="CI218" s="286">
        <v>1.4636134954912858</v>
      </c>
      <c r="CJ218" s="286">
        <v>233.27547468594668</v>
      </c>
      <c r="CK218" s="287"/>
      <c r="CL218" s="288"/>
      <c r="CM218" s="286"/>
      <c r="CN218" s="287"/>
      <c r="CO218" s="289"/>
      <c r="CP218" s="290"/>
      <c r="CQ218" s="289"/>
      <c r="CR218" s="290"/>
      <c r="CS218" s="284"/>
      <c r="CT218" s="147"/>
      <c r="CU218" s="291"/>
      <c r="CV218" s="292"/>
    </row>
    <row r="219" spans="2:100">
      <c r="B219">
        <v>161</v>
      </c>
      <c r="C219" s="243">
        <v>0.80313015580578728</v>
      </c>
      <c r="D219" s="592">
        <v>0.11941855899331676</v>
      </c>
      <c r="E219" s="245">
        <v>6.0380536545805441E-3</v>
      </c>
      <c r="F219" s="243">
        <v>7.1389568099763483E-3</v>
      </c>
      <c r="G219" s="245">
        <v>9.681575885132845E-3</v>
      </c>
      <c r="H219" s="243">
        <v>0.12036862081745996</v>
      </c>
      <c r="I219" s="245">
        <v>0.16323924736517359</v>
      </c>
      <c r="J219" s="242">
        <v>8.5908076599397559E-2</v>
      </c>
      <c r="K219" s="242">
        <v>26.368536842454784</v>
      </c>
      <c r="L219" s="242">
        <v>5.0251256281407036E-3</v>
      </c>
      <c r="M219" s="243">
        <v>87.115392873479692</v>
      </c>
      <c r="N219" s="592">
        <v>27.502332763014465</v>
      </c>
      <c r="O219" s="245">
        <v>0.38425751665524704</v>
      </c>
      <c r="P219" s="245">
        <v>1.6598096060114742</v>
      </c>
      <c r="Q219" s="254">
        <v>83.18197089507261</v>
      </c>
      <c r="R219" s="255">
        <v>0</v>
      </c>
      <c r="S219" s="256">
        <v>0</v>
      </c>
      <c r="T219" s="257">
        <v>0</v>
      </c>
      <c r="U219" s="255">
        <v>1.211256481952692E-2</v>
      </c>
      <c r="V219" s="256">
        <v>1.6426589848528413E-2</v>
      </c>
      <c r="W219" s="257">
        <v>8.7453077840843177E-2</v>
      </c>
      <c r="X219" s="255">
        <v>2.4161967859919992E-2</v>
      </c>
      <c r="Y219" s="256">
        <v>3.2767522145960598E-2</v>
      </c>
      <c r="Z219" s="257">
        <v>8.6997047919066955E-2</v>
      </c>
      <c r="AA219" s="255">
        <v>3.6232490151137831E-2</v>
      </c>
      <c r="AB219" s="256">
        <v>4.9137095550901858E-2</v>
      </c>
      <c r="AC219" s="257">
        <v>8.7149529537439083E-2</v>
      </c>
      <c r="AD219" s="255">
        <v>4.8313342367342901E-2</v>
      </c>
      <c r="AE219" s="256">
        <v>6.5520677998804649E-2</v>
      </c>
      <c r="AF219" s="257">
        <v>8.7224111902731452E-2</v>
      </c>
      <c r="AG219" s="255">
        <v>6.0393302488736936E-2</v>
      </c>
      <c r="AH219" s="256">
        <v>8.1903050622381623E-2</v>
      </c>
      <c r="AI219" s="257">
        <v>8.7217670951693249E-2</v>
      </c>
      <c r="AJ219" s="255">
        <v>7.2460823324789564E-2</v>
      </c>
      <c r="AK219" s="256">
        <v>9.8268553570431016E-2</v>
      </c>
      <c r="AL219" s="257">
        <v>8.7127858941978067E-2</v>
      </c>
      <c r="AM219" s="255">
        <v>8.4504108814102932E-2</v>
      </c>
      <c r="AN219" s="256">
        <v>0.114601189482749</v>
      </c>
      <c r="AO219" s="257">
        <v>8.6952879018529508E-2</v>
      </c>
      <c r="AP219" s="255">
        <v>9.6511196426172841E-2</v>
      </c>
      <c r="AQ219" s="256">
        <v>0.13088473524019678</v>
      </c>
      <c r="AR219" s="257">
        <v>8.6691529269453699E-2</v>
      </c>
      <c r="AS219" s="255">
        <v>0.10847004420904342</v>
      </c>
      <c r="AT219" s="256">
        <v>0.14710286001534834</v>
      </c>
      <c r="AU219" s="257">
        <v>8.6343236269510806E-2</v>
      </c>
      <c r="AV219" s="255">
        <v>0.12036862081745996</v>
      </c>
      <c r="AW219" s="256">
        <v>0.16323924736517359</v>
      </c>
      <c r="AX219" s="257">
        <v>8.5908076599397559E-2</v>
      </c>
      <c r="AY219" s="243">
        <v>0</v>
      </c>
      <c r="AZ219" s="244">
        <v>0</v>
      </c>
      <c r="BA219" s="244">
        <v>0</v>
      </c>
      <c r="BB219" s="244">
        <v>0</v>
      </c>
      <c r="BC219" s="244">
        <v>0</v>
      </c>
      <c r="BD219" s="244">
        <v>0</v>
      </c>
      <c r="BE219" s="244">
        <v>0</v>
      </c>
      <c r="BF219" s="244">
        <v>0</v>
      </c>
      <c r="BG219" s="244">
        <v>0</v>
      </c>
      <c r="BH219" s="245">
        <v>0</v>
      </c>
      <c r="BK219">
        <v>161</v>
      </c>
      <c r="BL219" s="281">
        <v>0.19597989949748881</v>
      </c>
      <c r="BM219" s="281">
        <v>3497.0653266331906</v>
      </c>
      <c r="BN219" s="282">
        <v>5025.6984924623393</v>
      </c>
      <c r="BO219" s="282">
        <v>133.95477386934817</v>
      </c>
      <c r="BP219" s="282">
        <v>0</v>
      </c>
      <c r="BQ219" s="283">
        <v>0</v>
      </c>
      <c r="BR219" s="284"/>
      <c r="BS219" s="147"/>
      <c r="BT219" s="285">
        <v>0.79709210215120785</v>
      </c>
      <c r="BU219" s="288">
        <v>2.7681835217207788E-2</v>
      </c>
      <c r="BV219" s="287">
        <v>0.81282190272757915</v>
      </c>
      <c r="BW219" s="288">
        <v>0</v>
      </c>
      <c r="BX219" s="286">
        <v>99.140509514721984</v>
      </c>
      <c r="BY219" s="287">
        <v>0.85949048527802452</v>
      </c>
      <c r="BZ219" s="288">
        <v>0</v>
      </c>
      <c r="CA219" s="286">
        <v>0.76222899943929334</v>
      </c>
      <c r="CB219" s="286">
        <v>1.1213252765531458</v>
      </c>
      <c r="CC219" s="287">
        <v>1.2173557585278663</v>
      </c>
      <c r="CD219" s="286">
        <v>0</v>
      </c>
      <c r="CE219" s="286">
        <v>15.655850310593275</v>
      </c>
      <c r="CF219" s="286">
        <v>21.407674407324276</v>
      </c>
      <c r="CG219" s="287">
        <v>22.570608146691093</v>
      </c>
      <c r="CH219" s="288">
        <v>0</v>
      </c>
      <c r="CI219" s="286">
        <v>1.4588854456637532</v>
      </c>
      <c r="CJ219" s="286">
        <v>234.08325184118419</v>
      </c>
      <c r="CK219" s="287"/>
      <c r="CL219" s="288"/>
      <c r="CM219" s="286"/>
      <c r="CN219" s="287"/>
      <c r="CO219" s="289"/>
      <c r="CP219" s="290"/>
      <c r="CQ219" s="289"/>
      <c r="CR219" s="290"/>
      <c r="CS219" s="284"/>
      <c r="CT219" s="147"/>
      <c r="CU219" s="291"/>
      <c r="CV219" s="292"/>
    </row>
    <row r="220" spans="2:100">
      <c r="B220">
        <v>162</v>
      </c>
      <c r="C220" s="243">
        <v>0.80049477997809437</v>
      </c>
      <c r="D220" s="592">
        <v>0.11983369692406971</v>
      </c>
      <c r="E220" s="245">
        <v>6.0188697105532096E-3</v>
      </c>
      <c r="F220" s="243">
        <v>7.1455327950739073E-3</v>
      </c>
      <c r="G220" s="245">
        <v>9.6901968426991551E-3</v>
      </c>
      <c r="H220" s="243">
        <v>0.12047949727711345</v>
      </c>
      <c r="I220" s="245">
        <v>0.16338460372465352</v>
      </c>
      <c r="J220" s="242">
        <v>8.6043596120851898E-2</v>
      </c>
      <c r="K220" s="242">
        <v>26.378199826439566</v>
      </c>
      <c r="L220" s="242">
        <v>5.0251256281407036E-3</v>
      </c>
      <c r="M220" s="243">
        <v>87.131197205429274</v>
      </c>
      <c r="N220" s="592">
        <v>27.567139508695735</v>
      </c>
      <c r="O220" s="245">
        <v>0.38342936318252113</v>
      </c>
      <c r="P220" s="245">
        <v>1.6604178579496274</v>
      </c>
      <c r="Q220" s="254">
        <v>83.251129125479309</v>
      </c>
      <c r="R220" s="255">
        <v>0</v>
      </c>
      <c r="S220" s="256">
        <v>0</v>
      </c>
      <c r="T220" s="257">
        <v>0</v>
      </c>
      <c r="U220" s="255">
        <v>1.2117117116799917E-2</v>
      </c>
      <c r="V220" s="256">
        <v>1.6432259622232406E-2</v>
      </c>
      <c r="W220" s="257">
        <v>8.7483262995866076E-2</v>
      </c>
      <c r="X220" s="255">
        <v>2.4171225742825962E-2</v>
      </c>
      <c r="Y220" s="256">
        <v>3.2779072197215771E-2</v>
      </c>
      <c r="Z220" s="257">
        <v>8.7028353769833977E-2</v>
      </c>
      <c r="AA220" s="255">
        <v>3.6248129809478537E-2</v>
      </c>
      <c r="AB220" s="256">
        <v>4.9156798115279662E-2</v>
      </c>
      <c r="AC220" s="257">
        <v>8.7192932481768168E-2</v>
      </c>
      <c r="AD220" s="255">
        <v>4.8337102173538177E-2</v>
      </c>
      <c r="AE220" s="256">
        <v>6.5550890087602134E-2</v>
      </c>
      <c r="AF220" s="257">
        <v>8.728006327581736E-2</v>
      </c>
      <c r="AG220" s="255">
        <v>6.0426971275372755E-2</v>
      </c>
      <c r="AH220" s="256">
        <v>8.1946198143568003E-2</v>
      </c>
      <c r="AI220" s="257">
        <v>8.7286537550667342E-2</v>
      </c>
      <c r="AJ220" s="255">
        <v>7.2506227885738572E-2</v>
      </c>
      <c r="AK220" s="256">
        <v>9.8327114392194506E-2</v>
      </c>
      <c r="AL220" s="257">
        <v>8.7209917396446332E-2</v>
      </c>
      <c r="AM220" s="255">
        <v>8.4563100202314376E-2</v>
      </c>
      <c r="AN220" s="256">
        <v>0.11467767486201057</v>
      </c>
      <c r="AO220" s="257">
        <v>8.7048307085863946E-2</v>
      </c>
      <c r="AP220" s="255">
        <v>9.6585635268370176E-2</v>
      </c>
      <c r="AQ220" s="256">
        <v>0.13098166991450669</v>
      </c>
      <c r="AR220" s="257">
        <v>8.6800398718812663E-2</v>
      </c>
      <c r="AS220" s="255">
        <v>0.10856178529835174</v>
      </c>
      <c r="AT220" s="256">
        <v>0.14722276131194928</v>
      </c>
      <c r="AU220" s="257">
        <v>8.6465507649357662E-2</v>
      </c>
      <c r="AV220" s="255">
        <v>0.12047949727711345</v>
      </c>
      <c r="AW220" s="256">
        <v>0.16338460372465352</v>
      </c>
      <c r="AX220" s="257">
        <v>8.6043596120851898E-2</v>
      </c>
      <c r="AY220" s="243">
        <v>0</v>
      </c>
      <c r="AZ220" s="244">
        <v>0</v>
      </c>
      <c r="BA220" s="244">
        <v>0</v>
      </c>
      <c r="BB220" s="244">
        <v>0</v>
      </c>
      <c r="BC220" s="244">
        <v>0</v>
      </c>
      <c r="BD220" s="244">
        <v>0</v>
      </c>
      <c r="BE220" s="244">
        <v>0</v>
      </c>
      <c r="BF220" s="244">
        <v>0</v>
      </c>
      <c r="BG220" s="244">
        <v>0</v>
      </c>
      <c r="BH220" s="245">
        <v>0</v>
      </c>
      <c r="BK220">
        <v>162</v>
      </c>
      <c r="BL220" s="281">
        <v>0.19095477386934812</v>
      </c>
      <c r="BM220" s="281">
        <v>3407.3969849246478</v>
      </c>
      <c r="BN220" s="282">
        <v>4993.321608040229</v>
      </c>
      <c r="BO220" s="282">
        <v>133.6482412060316</v>
      </c>
      <c r="BP220" s="282">
        <v>0</v>
      </c>
      <c r="BQ220" s="283">
        <v>0</v>
      </c>
      <c r="BR220" s="284"/>
      <c r="BS220" s="147"/>
      <c r="BT220" s="285">
        <v>0.79447591026754227</v>
      </c>
      <c r="BU220" s="288">
        <v>2.7593992969216552E-2</v>
      </c>
      <c r="BV220" s="287">
        <v>0.81305741250303198</v>
      </c>
      <c r="BW220" s="288">
        <v>0</v>
      </c>
      <c r="BX220" s="286">
        <v>99.129679848311</v>
      </c>
      <c r="BY220" s="287">
        <v>0.87032015168900378</v>
      </c>
      <c r="BZ220" s="288">
        <v>0</v>
      </c>
      <c r="CA220" s="286">
        <v>0.76208079759475544</v>
      </c>
      <c r="CB220" s="286">
        <v>1.121418048933231</v>
      </c>
      <c r="CC220" s="287">
        <v>1.2173184309572378</v>
      </c>
      <c r="CD220" s="286">
        <v>0</v>
      </c>
      <c r="CE220" s="286">
        <v>15.654565404695189</v>
      </c>
      <c r="CF220" s="286">
        <v>21.410562000092895</v>
      </c>
      <c r="CG220" s="287">
        <v>22.571835742451487</v>
      </c>
      <c r="CH220" s="288">
        <v>0</v>
      </c>
      <c r="CI220" s="286">
        <v>1.4541713423066414</v>
      </c>
      <c r="CJ220" s="286">
        <v>234.89552968092337</v>
      </c>
      <c r="CK220" s="287"/>
      <c r="CL220" s="288"/>
      <c r="CM220" s="286"/>
      <c r="CN220" s="287"/>
      <c r="CO220" s="289"/>
      <c r="CP220" s="290"/>
      <c r="CQ220" s="289"/>
      <c r="CR220" s="290"/>
      <c r="CS220" s="284"/>
      <c r="CT220" s="147"/>
      <c r="CU220" s="291"/>
      <c r="CV220" s="292"/>
    </row>
    <row r="221" spans="2:100">
      <c r="B221">
        <v>163</v>
      </c>
      <c r="C221" s="243">
        <v>0.79786731349601148</v>
      </c>
      <c r="D221" s="592">
        <v>0.12022286226786442</v>
      </c>
      <c r="E221" s="245">
        <v>5.9992958765683335E-3</v>
      </c>
      <c r="F221" s="243">
        <v>7.1506864450079609E-3</v>
      </c>
      <c r="G221" s="245">
        <v>9.696888359173924E-3</v>
      </c>
      <c r="H221" s="243">
        <v>0.12056639200854972</v>
      </c>
      <c r="I221" s="245">
        <v>0.16349742813733517</v>
      </c>
      <c r="J221" s="242">
        <v>8.6161877111490259E-2</v>
      </c>
      <c r="K221" s="242">
        <v>26.386075304406472</v>
      </c>
      <c r="L221" s="242">
        <v>5.0251256281407036E-3</v>
      </c>
      <c r="M221" s="243">
        <v>87.153123922554997</v>
      </c>
      <c r="N221" s="592">
        <v>27.633993411156773</v>
      </c>
      <c r="O221" s="245">
        <v>0.38262944951272876</v>
      </c>
      <c r="P221" s="245">
        <v>1.66091359247064</v>
      </c>
      <c r="Q221" s="254">
        <v>83.304766215314316</v>
      </c>
      <c r="R221" s="255">
        <v>0</v>
      </c>
      <c r="S221" s="256">
        <v>0</v>
      </c>
      <c r="T221" s="257">
        <v>0</v>
      </c>
      <c r="U221" s="255">
        <v>1.2119367174415759E-2</v>
      </c>
      <c r="V221" s="256">
        <v>1.6434806836788367E-2</v>
      </c>
      <c r="W221" s="257">
        <v>8.7496824042613691E-2</v>
      </c>
      <c r="X221" s="255">
        <v>2.4175842960538048E-2</v>
      </c>
      <c r="Y221" s="256">
        <v>3.2784328047402903E-2</v>
      </c>
      <c r="Z221" s="257">
        <v>8.7042774201882236E-2</v>
      </c>
      <c r="AA221" s="255">
        <v>3.6256750981998251E-2</v>
      </c>
      <c r="AB221" s="256">
        <v>4.9166981274119503E-2</v>
      </c>
      <c r="AC221" s="257">
        <v>8.7219164847166269E-2</v>
      </c>
      <c r="AD221" s="255">
        <v>4.8351434826785764E-2</v>
      </c>
      <c r="AE221" s="256">
        <v>6.556831559137026E-2</v>
      </c>
      <c r="AF221" s="257">
        <v>8.7318620600289706E-2</v>
      </c>
      <c r="AG221" s="255">
        <v>6.0448782589289318E-2</v>
      </c>
      <c r="AH221" s="256">
        <v>8.1973262388749912E-2</v>
      </c>
      <c r="AI221" s="257">
        <v>8.7337852985637121E-2</v>
      </c>
      <c r="AJ221" s="255">
        <v>7.2537332732220128E-2</v>
      </c>
      <c r="AK221" s="256">
        <v>9.8366278928037634E-2</v>
      </c>
      <c r="AL221" s="257">
        <v>8.7274337806942409E-2</v>
      </c>
      <c r="AM221" s="255">
        <v>8.4605347858041247E-2</v>
      </c>
      <c r="AN221" s="256">
        <v>0.11473144838300726</v>
      </c>
      <c r="AO221" s="257">
        <v>8.7126083467181814E-2</v>
      </c>
      <c r="AP221" s="255">
        <v>9.6640895007077315E-2</v>
      </c>
      <c r="AQ221" s="256">
        <v>0.13105258872992495</v>
      </c>
      <c r="AR221" s="257">
        <v>8.6891678088510088E-2</v>
      </c>
      <c r="AS221" s="255">
        <v>0.10863193111151799</v>
      </c>
      <c r="AT221" s="256">
        <v>0.14731336862984062</v>
      </c>
      <c r="AU221" s="257">
        <v>8.6570326735682102E-2</v>
      </c>
      <c r="AV221" s="255">
        <v>0.12056639200854972</v>
      </c>
      <c r="AW221" s="256">
        <v>0.16349742813733517</v>
      </c>
      <c r="AX221" s="257">
        <v>8.6161877111490259E-2</v>
      </c>
      <c r="AY221" s="243">
        <v>0</v>
      </c>
      <c r="AZ221" s="244">
        <v>0</v>
      </c>
      <c r="BA221" s="244">
        <v>0</v>
      </c>
      <c r="BB221" s="244">
        <v>0</v>
      </c>
      <c r="BC221" s="244">
        <v>0</v>
      </c>
      <c r="BD221" s="244">
        <v>0</v>
      </c>
      <c r="BE221" s="244">
        <v>0</v>
      </c>
      <c r="BF221" s="244">
        <v>0</v>
      </c>
      <c r="BG221" s="244">
        <v>0</v>
      </c>
      <c r="BH221" s="245">
        <v>0</v>
      </c>
      <c r="BK221">
        <v>163</v>
      </c>
      <c r="BL221" s="281">
        <v>0.18592964824120742</v>
      </c>
      <c r="BM221" s="281">
        <v>3317.728643216105</v>
      </c>
      <c r="BN221" s="282">
        <v>4960.9447236181186</v>
      </c>
      <c r="BO221" s="282">
        <v>133.34170854271503</v>
      </c>
      <c r="BP221" s="282">
        <v>0</v>
      </c>
      <c r="BQ221" s="283">
        <v>0</v>
      </c>
      <c r="BR221" s="284"/>
      <c r="BS221" s="147"/>
      <c r="BT221" s="285">
        <v>0.79186801761944425</v>
      </c>
      <c r="BU221" s="288">
        <v>2.7506408475553135E-2</v>
      </c>
      <c r="BV221" s="287">
        <v>0.8132924004887665</v>
      </c>
      <c r="BW221" s="288">
        <v>0</v>
      </c>
      <c r="BX221" s="286">
        <v>99.118891022697781</v>
      </c>
      <c r="BY221" s="287">
        <v>0.88110897730222448</v>
      </c>
      <c r="BZ221" s="288">
        <v>0</v>
      </c>
      <c r="CA221" s="286">
        <v>0.761932323463551</v>
      </c>
      <c r="CB221" s="286">
        <v>1.1215105088099704</v>
      </c>
      <c r="CC221" s="287">
        <v>1.2172810912371457</v>
      </c>
      <c r="CD221" s="286">
        <v>0</v>
      </c>
      <c r="CE221" s="286">
        <v>15.653275464019593</v>
      </c>
      <c r="CF221" s="286">
        <v>21.413444168458234</v>
      </c>
      <c r="CG221" s="287">
        <v>22.573063400886198</v>
      </c>
      <c r="CH221" s="288">
        <v>0</v>
      </c>
      <c r="CI221" s="286">
        <v>1.4494710975933838</v>
      </c>
      <c r="CJ221" s="286">
        <v>235.71232935263703</v>
      </c>
      <c r="CK221" s="287"/>
      <c r="CL221" s="288"/>
      <c r="CM221" s="286"/>
      <c r="CN221" s="287"/>
      <c r="CO221" s="289"/>
      <c r="CP221" s="290"/>
      <c r="CQ221" s="289"/>
      <c r="CR221" s="290"/>
      <c r="CS221" s="284"/>
      <c r="CT221" s="147"/>
      <c r="CU221" s="291"/>
      <c r="CV221" s="292"/>
    </row>
    <row r="222" spans="2:100">
      <c r="B222">
        <v>164</v>
      </c>
      <c r="C222" s="243">
        <v>0.79524774506214724</v>
      </c>
      <c r="D222" s="592">
        <v>0.12058670137459286</v>
      </c>
      <c r="E222" s="245">
        <v>5.9793522673367017E-3</v>
      </c>
      <c r="F222" s="243">
        <v>7.1544688515003674E-3</v>
      </c>
      <c r="G222" s="245">
        <v>9.7017198938098986E-3</v>
      </c>
      <c r="H222" s="243">
        <v>0.12063016645977287</v>
      </c>
      <c r="I222" s="245">
        <v>0.16357889174273918</v>
      </c>
      <c r="J222" s="242">
        <v>8.6263426466686846E-2</v>
      </c>
      <c r="K222" s="242">
        <v>26.392227743539742</v>
      </c>
      <c r="L222" s="242">
        <v>5.0251256281407036E-3</v>
      </c>
      <c r="M222" s="243">
        <v>87.180961626442837</v>
      </c>
      <c r="N222" s="592">
        <v>27.702840236530793</v>
      </c>
      <c r="O222" s="245">
        <v>0.38185667141991286</v>
      </c>
      <c r="P222" s="245">
        <v>1.6613008675642418</v>
      </c>
      <c r="Q222" s="254">
        <v>83.343445157916889</v>
      </c>
      <c r="R222" s="255">
        <v>0</v>
      </c>
      <c r="S222" s="256">
        <v>0</v>
      </c>
      <c r="T222" s="257">
        <v>0</v>
      </c>
      <c r="U222" s="255">
        <v>1.2119412898161916E-2</v>
      </c>
      <c r="V222" s="256">
        <v>1.6434364542762134E-2</v>
      </c>
      <c r="W222" s="257">
        <v>8.7494469325398394E-2</v>
      </c>
      <c r="X222" s="255">
        <v>2.4176013703189118E-2</v>
      </c>
      <c r="Y222" s="256">
        <v>3.2783553603432519E-2</v>
      </c>
      <c r="Z222" s="257">
        <v>8.7041005877769445E-2</v>
      </c>
      <c r="AA222" s="255">
        <v>3.6258642262260922E-2</v>
      </c>
      <c r="AB222" s="256">
        <v>4.9168037244937207E-2</v>
      </c>
      <c r="AC222" s="257">
        <v>8.7228909742997948E-2</v>
      </c>
      <c r="AD222" s="255">
        <v>4.8356720979004307E-2</v>
      </c>
      <c r="AE222" s="256">
        <v>6.5573471862000812E-2</v>
      </c>
      <c r="AF222" s="257">
        <v>8.7340450075671427E-2</v>
      </c>
      <c r="AG222" s="255">
        <v>6.0459206351955563E-2</v>
      </c>
      <c r="AH222" s="256">
        <v>8.1984882065105055E-2</v>
      </c>
      <c r="AI222" s="257">
        <v>8.7372263336730108E-2</v>
      </c>
      <c r="AJ222" s="255">
        <v>7.2554693852418597E-2</v>
      </c>
      <c r="AK222" s="256">
        <v>9.8386802898677808E-2</v>
      </c>
      <c r="AL222" s="257">
        <v>8.7321743138688471E-2</v>
      </c>
      <c r="AM222" s="255">
        <v>8.4631490257738889E-2</v>
      </c>
      <c r="AN222" s="256">
        <v>0.11476337792764266</v>
      </c>
      <c r="AO222" s="257">
        <v>8.7186805294391337E-2</v>
      </c>
      <c r="AP222" s="255">
        <v>9.6677692699279685E-2</v>
      </c>
      <c r="AQ222" s="256">
        <v>0.13109846642934869</v>
      </c>
      <c r="AR222" s="257">
        <v>8.6965936292902515E-2</v>
      </c>
      <c r="AS222" s="255">
        <v>0.10868127310204695</v>
      </c>
      <c r="AT222" s="256">
        <v>0.14737575789677215</v>
      </c>
      <c r="AU222" s="257">
        <v>8.6658232223786935E-2</v>
      </c>
      <c r="AV222" s="255">
        <v>0.12063016645977287</v>
      </c>
      <c r="AW222" s="256">
        <v>0.16357889174273918</v>
      </c>
      <c r="AX222" s="257">
        <v>8.6263426466686846E-2</v>
      </c>
      <c r="AY222" s="243">
        <v>0</v>
      </c>
      <c r="AZ222" s="244">
        <v>0</v>
      </c>
      <c r="BA222" s="244">
        <v>0</v>
      </c>
      <c r="BB222" s="244">
        <v>0</v>
      </c>
      <c r="BC222" s="244">
        <v>0</v>
      </c>
      <c r="BD222" s="244">
        <v>0</v>
      </c>
      <c r="BE222" s="244">
        <v>0</v>
      </c>
      <c r="BF222" s="244">
        <v>0</v>
      </c>
      <c r="BG222" s="244">
        <v>0</v>
      </c>
      <c r="BH222" s="245">
        <v>0</v>
      </c>
      <c r="BK222">
        <v>164</v>
      </c>
      <c r="BL222" s="281">
        <v>0.18090452261306669</v>
      </c>
      <c r="BM222" s="281">
        <v>3228.0603015075621</v>
      </c>
      <c r="BN222" s="282">
        <v>4928.5678391960082</v>
      </c>
      <c r="BO222" s="282">
        <v>133.03517587939845</v>
      </c>
      <c r="BP222" s="282">
        <v>0</v>
      </c>
      <c r="BQ222" s="283">
        <v>0</v>
      </c>
      <c r="BR222" s="284"/>
      <c r="BS222" s="147"/>
      <c r="BT222" s="285">
        <v>0.78926839279481165</v>
      </c>
      <c r="BU222" s="288">
        <v>2.741908089035007E-2</v>
      </c>
      <c r="BV222" s="287">
        <v>0.8135268646475089</v>
      </c>
      <c r="BW222" s="288">
        <v>0</v>
      </c>
      <c r="BX222" s="286">
        <v>99.108142846556447</v>
      </c>
      <c r="BY222" s="287">
        <v>0.89185715344355554</v>
      </c>
      <c r="BZ222" s="288">
        <v>0</v>
      </c>
      <c r="CA222" s="286">
        <v>0.76178357471104552</v>
      </c>
      <c r="CB222" s="286">
        <v>1.1216026545299387</v>
      </c>
      <c r="CC222" s="287">
        <v>1.2172437393341813</v>
      </c>
      <c r="CD222" s="286">
        <v>0</v>
      </c>
      <c r="CE222" s="286">
        <v>15.651980446439651</v>
      </c>
      <c r="CF222" s="286">
        <v>21.416320878057508</v>
      </c>
      <c r="CG222" s="287">
        <v>22.574291121722428</v>
      </c>
      <c r="CH222" s="288">
        <v>0</v>
      </c>
      <c r="CI222" s="286">
        <v>1.4447846243945723</v>
      </c>
      <c r="CJ222" s="286">
        <v>236.53367206101083</v>
      </c>
      <c r="CK222" s="287"/>
      <c r="CL222" s="288"/>
      <c r="CM222" s="286"/>
      <c r="CN222" s="287"/>
      <c r="CO222" s="289"/>
      <c r="CP222" s="290"/>
      <c r="CQ222" s="289"/>
      <c r="CR222" s="290"/>
      <c r="CS222" s="284"/>
      <c r="CT222" s="147"/>
      <c r="CU222" s="291"/>
      <c r="CV222" s="292"/>
    </row>
    <row r="223" spans="2:100">
      <c r="B223">
        <v>165</v>
      </c>
      <c r="C223" s="243">
        <v>0.79263606282152776</v>
      </c>
      <c r="D223" s="592">
        <v>0.1209258535396035</v>
      </c>
      <c r="E223" s="245">
        <v>5.9590585640165727E-3</v>
      </c>
      <c r="F223" s="243">
        <v>7.1569296995791501E-3</v>
      </c>
      <c r="G223" s="245">
        <v>9.7047589899980583E-3</v>
      </c>
      <c r="H223" s="243">
        <v>0.12067165836078429</v>
      </c>
      <c r="I223" s="245">
        <v>0.16363013337739776</v>
      </c>
      <c r="J223" s="242">
        <v>8.6348739650028344E-2</v>
      </c>
      <c r="K223" s="242">
        <v>26.396720349561232</v>
      </c>
      <c r="L223" s="242">
        <v>5.0251256281407036E-3</v>
      </c>
      <c r="M223" s="243">
        <v>87.214505407057345</v>
      </c>
      <c r="N223" s="592">
        <v>27.773627271876776</v>
      </c>
      <c r="O223" s="245">
        <v>0.38110995535647518</v>
      </c>
      <c r="P223" s="245">
        <v>1.6615836618153998</v>
      </c>
      <c r="Q223" s="254">
        <v>83.367712174380827</v>
      </c>
      <c r="R223" s="255">
        <v>0</v>
      </c>
      <c r="S223" s="256">
        <v>0</v>
      </c>
      <c r="T223" s="257">
        <v>0</v>
      </c>
      <c r="U223" s="255">
        <v>1.2117348919498313E-2</v>
      </c>
      <c r="V223" s="256">
        <v>1.6431061334633415E-2</v>
      </c>
      <c r="W223" s="257">
        <v>8.7476883464896057E-2</v>
      </c>
      <c r="X223" s="255">
        <v>2.4171925820228261E-2</v>
      </c>
      <c r="Y223" s="256">
        <v>3.2777004142323853E-2</v>
      </c>
      <c r="Z223" s="257">
        <v>8.7023723239244677E-2</v>
      </c>
      <c r="AA223" s="255">
        <v>3.6254083048248398E-2</v>
      </c>
      <c r="AB223" s="256">
        <v>4.9160345728603984E-2</v>
      </c>
      <c r="AC223" s="257">
        <v>8.7222829586046755E-2</v>
      </c>
      <c r="AD223" s="255">
        <v>4.8353329443057605E-2</v>
      </c>
      <c r="AE223" s="256">
        <v>6.5566860135072305E-2</v>
      </c>
      <c r="AF223" s="257">
        <v>8.7346198737306771E-2</v>
      </c>
      <c r="AG223" s="255">
        <v>6.045869820994116E-2</v>
      </c>
      <c r="AH223" s="256">
        <v>8.1981676445837939E-2</v>
      </c>
      <c r="AI223" s="257">
        <v>8.7390397021274158E-2</v>
      </c>
      <c r="AJ223" s="255">
        <v>7.2558850723892301E-2</v>
      </c>
      <c r="AK223" s="256">
        <v>9.8389419545091825E-2</v>
      </c>
      <c r="AL223" s="257">
        <v>8.7352740141627999E-2</v>
      </c>
      <c r="AM223" s="255">
        <v>8.4642147320595162E-2</v>
      </c>
      <c r="AN223" s="256">
        <v>0.11477430610930672</v>
      </c>
      <c r="AO223" s="257">
        <v>8.7231054852327683E-2</v>
      </c>
      <c r="AP223" s="255">
        <v>9.6696724972916009E-2</v>
      </c>
      <c r="AQ223" s="256">
        <v>0.13112024993615048</v>
      </c>
      <c r="AR223" s="257">
        <v>8.7023728665087452E-2</v>
      </c>
      <c r="AS223" s="255">
        <v>0.10871058058052485</v>
      </c>
      <c r="AT223" s="256">
        <v>0.14741097488477425</v>
      </c>
      <c r="AU223" s="257">
        <v>8.6729750371370679E-2</v>
      </c>
      <c r="AV223" s="255">
        <v>0.12067165836078429</v>
      </c>
      <c r="AW223" s="256">
        <v>0.16363013337739776</v>
      </c>
      <c r="AX223" s="257">
        <v>8.6348739650028344E-2</v>
      </c>
      <c r="AY223" s="243">
        <v>0</v>
      </c>
      <c r="AZ223" s="244">
        <v>0</v>
      </c>
      <c r="BA223" s="244">
        <v>0</v>
      </c>
      <c r="BB223" s="244">
        <v>0</v>
      </c>
      <c r="BC223" s="244">
        <v>0</v>
      </c>
      <c r="BD223" s="244">
        <v>0</v>
      </c>
      <c r="BE223" s="244">
        <v>0</v>
      </c>
      <c r="BF223" s="244">
        <v>0</v>
      </c>
      <c r="BG223" s="244">
        <v>0</v>
      </c>
      <c r="BH223" s="245">
        <v>0</v>
      </c>
      <c r="BK223">
        <v>165</v>
      </c>
      <c r="BL223" s="281">
        <v>0.175879396984926</v>
      </c>
      <c r="BM223" s="281">
        <v>3138.3919597990193</v>
      </c>
      <c r="BN223" s="282">
        <v>4896.1909547738978</v>
      </c>
      <c r="BO223" s="282">
        <v>132.72864321608188</v>
      </c>
      <c r="BP223" s="282">
        <v>0</v>
      </c>
      <c r="BQ223" s="283">
        <v>0</v>
      </c>
      <c r="BR223" s="284"/>
      <c r="BS223" s="147"/>
      <c r="BT223" s="285">
        <v>0.7866770042575123</v>
      </c>
      <c r="BU223" s="288">
        <v>2.733200936183823E-2</v>
      </c>
      <c r="BV223" s="287">
        <v>0.81376080290084785</v>
      </c>
      <c r="BW223" s="288">
        <v>0</v>
      </c>
      <c r="BX223" s="286">
        <v>99.097435128260656</v>
      </c>
      <c r="BY223" s="287">
        <v>0.90256487173934763</v>
      </c>
      <c r="BZ223" s="288">
        <v>0</v>
      </c>
      <c r="CA223" s="286">
        <v>0.76163454898349137</v>
      </c>
      <c r="CB223" s="286">
        <v>1.1216944844127643</v>
      </c>
      <c r="CC223" s="287">
        <v>1.2172063752148308</v>
      </c>
      <c r="CD223" s="286">
        <v>0</v>
      </c>
      <c r="CE223" s="286">
        <v>15.650680309476552</v>
      </c>
      <c r="CF223" s="286">
        <v>21.419192094010235</v>
      </c>
      <c r="CG223" s="287">
        <v>22.575518904685982</v>
      </c>
      <c r="CH223" s="288">
        <v>0</v>
      </c>
      <c r="CI223" s="286">
        <v>1.4401118360581915</v>
      </c>
      <c r="CJ223" s="286">
        <v>237.35957904892359</v>
      </c>
      <c r="CK223" s="287"/>
      <c r="CL223" s="288"/>
      <c r="CM223" s="286"/>
      <c r="CN223" s="287"/>
      <c r="CO223" s="289"/>
      <c r="CP223" s="290"/>
      <c r="CQ223" s="289"/>
      <c r="CR223" s="290"/>
      <c r="CS223" s="284"/>
      <c r="CT223" s="147"/>
      <c r="CU223" s="291"/>
      <c r="CV223" s="292"/>
    </row>
    <row r="224" spans="2:100">
      <c r="B224">
        <v>166</v>
      </c>
      <c r="C224" s="243">
        <v>0.79003225436330116</v>
      </c>
      <c r="D224" s="592">
        <v>0.12124095069477106</v>
      </c>
      <c r="E224" s="245">
        <v>5.938433932383691E-3</v>
      </c>
      <c r="F224" s="243">
        <v>7.15811728598581E-3</v>
      </c>
      <c r="G224" s="245">
        <v>9.7060713005133054E-3</v>
      </c>
      <c r="H224" s="243">
        <v>0.12069168203394498</v>
      </c>
      <c r="I224" s="245">
        <v>0.1636522600005178</v>
      </c>
      <c r="J224" s="242">
        <v>8.6418300942850468E-2</v>
      </c>
      <c r="K224" s="242">
        <v>26.39961502582122</v>
      </c>
      <c r="L224" s="242">
        <v>5.0251256281407036E-3</v>
      </c>
      <c r="M224" s="243">
        <v>87.253556706077333</v>
      </c>
      <c r="N224" s="592">
        <v>27.846303298257954</v>
      </c>
      <c r="O224" s="245">
        <v>0.38038825818066196</v>
      </c>
      <c r="P224" s="245">
        <v>1.6617658718292252</v>
      </c>
      <c r="Q224" s="254">
        <v>83.378097062156883</v>
      </c>
      <c r="R224" s="255">
        <v>0</v>
      </c>
      <c r="S224" s="256">
        <v>0</v>
      </c>
      <c r="T224" s="257">
        <v>0</v>
      </c>
      <c r="U224" s="255">
        <v>1.2113266646166024E-2</v>
      </c>
      <c r="V224" s="256">
        <v>1.6425021420087723E-2</v>
      </c>
      <c r="W224" s="257">
        <v>8.7444727727047408E-2</v>
      </c>
      <c r="X224" s="255">
        <v>2.416376091301934E-2</v>
      </c>
      <c r="Y224" s="256">
        <v>3.2764926438058804E-2</v>
      </c>
      <c r="Z224" s="257">
        <v>8.6991578813701551E-2</v>
      </c>
      <c r="AA224" s="255">
        <v>3.6243343668923581E-2</v>
      </c>
      <c r="AB224" s="256">
        <v>4.9144274082836975E-2</v>
      </c>
      <c r="AC224" s="257">
        <v>8.7201566348802564E-2</v>
      </c>
      <c r="AD224" s="255">
        <v>4.8341617347226501E-2</v>
      </c>
      <c r="AE224" s="256">
        <v>6.5548965741721921E-2</v>
      </c>
      <c r="AF224" s="257">
        <v>8.7336494660699066E-2</v>
      </c>
      <c r="AG224" s="255">
        <v>6.0447699713321257E-2</v>
      </c>
      <c r="AH224" s="256">
        <v>8.1964245614999404E-2</v>
      </c>
      <c r="AI224" s="257">
        <v>8.7392864969205314E-2</v>
      </c>
      <c r="AJ224" s="255">
        <v>7.2550326514059293E-2</v>
      </c>
      <c r="AK224" s="256">
        <v>9.8374839903730554E-2</v>
      </c>
      <c r="AL224" s="257">
        <v>8.7367919512245748E-2</v>
      </c>
      <c r="AM224" s="255">
        <v>8.4637920631342484E-2</v>
      </c>
      <c r="AN224" s="256">
        <v>0.11476505057877935</v>
      </c>
      <c r="AO224" s="257">
        <v>8.7259399742136409E-2</v>
      </c>
      <c r="AP224" s="255">
        <v>9.6698668274261004E-2</v>
      </c>
      <c r="AQ224" s="256">
        <v>0.13111885869377773</v>
      </c>
      <c r="AR224" s="257">
        <v>8.7065597136297357E-2</v>
      </c>
      <c r="AS224" s="255">
        <v>0.10872060099064976</v>
      </c>
      <c r="AT224" s="256">
        <v>0.1474200355889497</v>
      </c>
      <c r="AU224" s="257">
        <v>8.6785395207182342E-2</v>
      </c>
      <c r="AV224" s="255">
        <v>0.12069168203394498</v>
      </c>
      <c r="AW224" s="256">
        <v>0.1636522600005178</v>
      </c>
      <c r="AX224" s="257">
        <v>8.6418300942850468E-2</v>
      </c>
      <c r="AY224" s="243">
        <v>0</v>
      </c>
      <c r="AZ224" s="244">
        <v>0</v>
      </c>
      <c r="BA224" s="244">
        <v>0</v>
      </c>
      <c r="BB224" s="244">
        <v>0</v>
      </c>
      <c r="BC224" s="244">
        <v>0</v>
      </c>
      <c r="BD224" s="244">
        <v>0</v>
      </c>
      <c r="BE224" s="244">
        <v>0</v>
      </c>
      <c r="BF224" s="244">
        <v>0</v>
      </c>
      <c r="BG224" s="244">
        <v>0</v>
      </c>
      <c r="BH224" s="245">
        <v>0</v>
      </c>
      <c r="BK224">
        <v>166</v>
      </c>
      <c r="BL224" s="281">
        <v>0.17085427135678527</v>
      </c>
      <c r="BM224" s="281">
        <v>3048.7236180904765</v>
      </c>
      <c r="BN224" s="282">
        <v>4863.8140703517874</v>
      </c>
      <c r="BO224" s="282">
        <v>132.4221105527653</v>
      </c>
      <c r="BP224" s="282">
        <v>0</v>
      </c>
      <c r="BQ224" s="283">
        <v>0</v>
      </c>
      <c r="BR224" s="284"/>
      <c r="BS224" s="147"/>
      <c r="BT224" s="285">
        <v>0.78409382043091858</v>
      </c>
      <c r="BU224" s="288">
        <v>2.7245193035151251E-2</v>
      </c>
      <c r="BV224" s="287">
        <v>0.813994213146916</v>
      </c>
      <c r="BW224" s="288">
        <v>0</v>
      </c>
      <c r="BX224" s="286">
        <v>99.08676767625424</v>
      </c>
      <c r="BY224" s="287">
        <v>0.91323232374575702</v>
      </c>
      <c r="BZ224" s="288">
        <v>0</v>
      </c>
      <c r="CA224" s="286">
        <v>0.76148524390847361</v>
      </c>
      <c r="CB224" s="286">
        <v>1.121785996760323</v>
      </c>
      <c r="CC224" s="287">
        <v>1.2171689988454533</v>
      </c>
      <c r="CD224" s="286">
        <v>0</v>
      </c>
      <c r="CE224" s="286">
        <v>15.649375010306947</v>
      </c>
      <c r="CF224" s="286">
        <v>21.422057781069011</v>
      </c>
      <c r="CG224" s="287">
        <v>22.576746749501122</v>
      </c>
      <c r="CH224" s="288">
        <v>0</v>
      </c>
      <c r="CI224" s="286">
        <v>1.4354526466160369</v>
      </c>
      <c r="CJ224" s="286">
        <v>238.19007161298322</v>
      </c>
      <c r="CK224" s="287"/>
      <c r="CL224" s="288"/>
      <c r="CM224" s="286"/>
      <c r="CN224" s="287"/>
      <c r="CO224" s="289"/>
      <c r="CP224" s="290"/>
      <c r="CQ224" s="289"/>
      <c r="CR224" s="290"/>
      <c r="CS224" s="284"/>
      <c r="CT224" s="147"/>
      <c r="CU224" s="291"/>
      <c r="CV224" s="292"/>
    </row>
    <row r="225" spans="2:100">
      <c r="B225">
        <v>167</v>
      </c>
      <c r="C225" s="243">
        <v>0.78743630670532938</v>
      </c>
      <c r="D225" s="592">
        <v>0.12153261713844586</v>
      </c>
      <c r="E225" s="245">
        <v>5.9174970596014287E-3</v>
      </c>
      <c r="F225" s="243">
        <v>7.1580785395635406E-3</v>
      </c>
      <c r="G225" s="245">
        <v>9.705720615442115E-3</v>
      </c>
      <c r="H225" s="243">
        <v>0.12069102873773738</v>
      </c>
      <c r="I225" s="245">
        <v>0.16364634716486351</v>
      </c>
      <c r="J225" s="242">
        <v>8.6472583685810164E-2</v>
      </c>
      <c r="K225" s="242">
        <v>26.400972339713569</v>
      </c>
      <c r="L225" s="242">
        <v>5.0251256281407036E-3</v>
      </c>
      <c r="M225" s="243">
        <v>87.297923177461755</v>
      </c>
      <c r="N225" s="592">
        <v>27.920818568436211</v>
      </c>
      <c r="O225" s="245">
        <v>0.37969056677465901</v>
      </c>
      <c r="P225" s="245">
        <v>1.6618513101169221</v>
      </c>
      <c r="Q225" s="254">
        <v>83.375113554342974</v>
      </c>
      <c r="R225" s="255">
        <v>0</v>
      </c>
      <c r="S225" s="256">
        <v>0</v>
      </c>
      <c r="T225" s="257">
        <v>0</v>
      </c>
      <c r="U225" s="255">
        <v>1.2107254319450658E-2</v>
      </c>
      <c r="V225" s="256">
        <v>1.6416364698319995E-2</v>
      </c>
      <c r="W225" s="257">
        <v>8.7398640439936684E-2</v>
      </c>
      <c r="X225" s="255">
        <v>2.4151694440300988E-2</v>
      </c>
      <c r="Y225" s="256">
        <v>3.2747558905854221E-2</v>
      </c>
      <c r="Z225" s="257">
        <v>8.6945203565386736E-2</v>
      </c>
      <c r="AA225" s="255">
        <v>3.6226685529360994E-2</v>
      </c>
      <c r="AB225" s="256">
        <v>4.9120177520837381E-2</v>
      </c>
      <c r="AC225" s="257">
        <v>8.7165741848898248E-2</v>
      </c>
      <c r="AD225" s="255">
        <v>4.8321930313283516E-2</v>
      </c>
      <c r="AE225" s="256">
        <v>6.5520258352486593E-2</v>
      </c>
      <c r="AF225" s="257">
        <v>8.7311947202165341E-2</v>
      </c>
      <c r="AG225" s="255">
        <v>6.0426638521900257E-2</v>
      </c>
      <c r="AH225" s="256">
        <v>8.1933170749986836E-2</v>
      </c>
      <c r="AI225" s="257">
        <v>8.7380260828885073E-2</v>
      </c>
      <c r="AJ225" s="255">
        <v>7.2529628311776353E-2</v>
      </c>
      <c r="AK225" s="256">
        <v>9.8343753123849478E-2</v>
      </c>
      <c r="AL225" s="257">
        <v>8.7367856078999134E-2</v>
      </c>
      <c r="AM225" s="255">
        <v>8.4619393696402548E-2</v>
      </c>
      <c r="AN225" s="256">
        <v>0.1147364043752815</v>
      </c>
      <c r="AO225" s="257">
        <v>8.7272393060797634E-2</v>
      </c>
      <c r="AP225" s="255">
        <v>9.6684179149784347E-2</v>
      </c>
      <c r="AQ225" s="256">
        <v>0.13109518505204587</v>
      </c>
      <c r="AR225" s="257">
        <v>8.7092070423522502E-2</v>
      </c>
      <c r="AS225" s="255">
        <v>0.10871206021975933</v>
      </c>
      <c r="AT225" s="256">
        <v>0.14740392665298119</v>
      </c>
      <c r="AU225" s="257">
        <v>8.682566873979411E-2</v>
      </c>
      <c r="AV225" s="255">
        <v>0.12069102873773738</v>
      </c>
      <c r="AW225" s="256">
        <v>0.16364634716486351</v>
      </c>
      <c r="AX225" s="257">
        <v>8.6472583685810164E-2</v>
      </c>
      <c r="AY225" s="243">
        <v>0</v>
      </c>
      <c r="AZ225" s="244">
        <v>0</v>
      </c>
      <c r="BA225" s="244">
        <v>0</v>
      </c>
      <c r="BB225" s="244">
        <v>0</v>
      </c>
      <c r="BC225" s="244">
        <v>0</v>
      </c>
      <c r="BD225" s="244">
        <v>0</v>
      </c>
      <c r="BE225" s="244">
        <v>0</v>
      </c>
      <c r="BF225" s="244">
        <v>0</v>
      </c>
      <c r="BG225" s="244">
        <v>0</v>
      </c>
      <c r="BH225" s="245">
        <v>0</v>
      </c>
      <c r="BK225">
        <v>167</v>
      </c>
      <c r="BL225" s="281">
        <v>0.16582914572864457</v>
      </c>
      <c r="BM225" s="281">
        <v>2959.0552763819337</v>
      </c>
      <c r="BN225" s="282">
        <v>4831.4371859296771</v>
      </c>
      <c r="BO225" s="282">
        <v>132.11557788944873</v>
      </c>
      <c r="BP225" s="282">
        <v>0</v>
      </c>
      <c r="BQ225" s="283">
        <v>0</v>
      </c>
      <c r="BR225" s="284"/>
      <c r="BS225" s="147"/>
      <c r="BT225" s="285">
        <v>0.78151880964572917</v>
      </c>
      <c r="BU225" s="288">
        <v>2.7158631050583845E-2</v>
      </c>
      <c r="BV225" s="287">
        <v>0.81422709324959375</v>
      </c>
      <c r="BW225" s="288">
        <v>0</v>
      </c>
      <c r="BX225" s="286">
        <v>99.07614029881654</v>
      </c>
      <c r="BY225" s="287">
        <v>0.92385970118346294</v>
      </c>
      <c r="BZ225" s="288">
        <v>0</v>
      </c>
      <c r="CA225" s="286">
        <v>0.76133565709429063</v>
      </c>
      <c r="CB225" s="286">
        <v>1.121877189851026</v>
      </c>
      <c r="CC225" s="287">
        <v>1.2171316101923053</v>
      </c>
      <c r="CD225" s="286">
        <v>0</v>
      </c>
      <c r="CE225" s="286">
        <v>15.648064505752062</v>
      </c>
      <c r="CF225" s="286">
        <v>21.424917903524296</v>
      </c>
      <c r="CG225" s="287">
        <v>22.57797465589071</v>
      </c>
      <c r="CH225" s="288">
        <v>0</v>
      </c>
      <c r="CI225" s="286">
        <v>1.4308069706562565</v>
      </c>
      <c r="CJ225" s="286">
        <v>239.02517109180428</v>
      </c>
      <c r="CK225" s="287"/>
      <c r="CL225" s="288"/>
      <c r="CM225" s="286"/>
      <c r="CN225" s="287"/>
      <c r="CO225" s="289"/>
      <c r="CP225" s="290"/>
      <c r="CQ225" s="289"/>
      <c r="CR225" s="290"/>
      <c r="CS225" s="284"/>
      <c r="CT225" s="147"/>
      <c r="CU225" s="291"/>
      <c r="CV225" s="292"/>
    </row>
    <row r="226" spans="2:100">
      <c r="B226">
        <v>168</v>
      </c>
      <c r="C226" s="243">
        <v>0.78484820629420793</v>
      </c>
      <c r="D226" s="592">
        <v>0.12180146927189424</v>
      </c>
      <c r="E226" s="245">
        <v>5.8962661182482279E-3</v>
      </c>
      <c r="F226" s="243">
        <v>7.1568590424801902E-3</v>
      </c>
      <c r="G226" s="245">
        <v>9.7037688912368116E-3</v>
      </c>
      <c r="H226" s="243">
        <v>0.12067046702460182</v>
      </c>
      <c r="I226" s="245">
        <v>0.16361343950663534</v>
      </c>
      <c r="J226" s="242">
        <v>8.6512050509958735E-2</v>
      </c>
      <c r="K226" s="242">
        <v>26.400851494834452</v>
      </c>
      <c r="L226" s="242">
        <v>5.0251256281407036E-3</v>
      </c>
      <c r="M226" s="243">
        <v>87.347418547511893</v>
      </c>
      <c r="N226" s="592">
        <v>27.997124779977415</v>
      </c>
      <c r="O226" s="245">
        <v>0.37901589765829946</v>
      </c>
      <c r="P226" s="245">
        <v>1.661843703343274</v>
      </c>
      <c r="Q226" s="254">
        <v>83.359259677757009</v>
      </c>
      <c r="R226" s="255">
        <v>0</v>
      </c>
      <c r="S226" s="256">
        <v>0</v>
      </c>
      <c r="T226" s="257">
        <v>0</v>
      </c>
      <c r="U226" s="255">
        <v>1.2099397074495139E-2</v>
      </c>
      <c r="V226" s="256">
        <v>1.6405206842458584E-2</v>
      </c>
      <c r="W226" s="257">
        <v>8.7339237432606312E-2</v>
      </c>
      <c r="X226" s="255">
        <v>2.4135895829667367E-2</v>
      </c>
      <c r="Y226" s="256">
        <v>3.2725131754571195E-2</v>
      </c>
      <c r="Z226" s="257">
        <v>8.6885207267992953E-2</v>
      </c>
      <c r="AA226" s="255">
        <v>3.6204361264749192E-2</v>
      </c>
      <c r="AB226" s="256">
        <v>4.9088399321921487E-2</v>
      </c>
      <c r="AC226" s="257">
        <v>8.7115958059075058E-2</v>
      </c>
      <c r="AD226" s="255">
        <v>4.8294602646004228E-2</v>
      </c>
      <c r="AE226" s="256">
        <v>6.5481192236606214E-2</v>
      </c>
      <c r="AF226" s="257">
        <v>8.7273147257960926E-2</v>
      </c>
      <c r="AG226" s="255">
        <v>6.0395928625000185E-2</v>
      </c>
      <c r="AH226" s="256">
        <v>8.1889014422384845E-2</v>
      </c>
      <c r="AI226" s="257">
        <v>8.7353161188240144E-2</v>
      </c>
      <c r="AJ226" s="255">
        <v>7.2497247374044602E-2</v>
      </c>
      <c r="AK226" s="256">
        <v>9.8296826805290671E-2</v>
      </c>
      <c r="AL226" s="257">
        <v>8.7353108998990528E-2</v>
      </c>
      <c r="AM226" s="255">
        <v>8.458713221604959E-2</v>
      </c>
      <c r="AN226" s="256">
        <v>0.11468913629918107</v>
      </c>
      <c r="AO226" s="257">
        <v>8.7270573587056199E-2</v>
      </c>
      <c r="AP226" s="255">
        <v>9.6653894544175528E-2</v>
      </c>
      <c r="AQ226" s="256">
        <v>0.13105009467527878</v>
      </c>
      <c r="AR226" s="257">
        <v>8.710366421816082E-2</v>
      </c>
      <c r="AS226" s="255">
        <v>0.10868566292488123</v>
      </c>
      <c r="AT226" s="256">
        <v>0.1473636058156069</v>
      </c>
      <c r="AU226" s="257">
        <v>8.6851061161692486E-2</v>
      </c>
      <c r="AV226" s="255">
        <v>0.12067046702460182</v>
      </c>
      <c r="AW226" s="256">
        <v>0.16361343950663534</v>
      </c>
      <c r="AX226" s="257">
        <v>8.6512050509958735E-2</v>
      </c>
      <c r="AY226" s="243">
        <v>0</v>
      </c>
      <c r="AZ226" s="244">
        <v>0</v>
      </c>
      <c r="BA226" s="244">
        <v>0</v>
      </c>
      <c r="BB226" s="244">
        <v>0</v>
      </c>
      <c r="BC226" s="244">
        <v>0</v>
      </c>
      <c r="BD226" s="244">
        <v>0</v>
      </c>
      <c r="BE226" s="244">
        <v>0</v>
      </c>
      <c r="BF226" s="244">
        <v>0</v>
      </c>
      <c r="BG226" s="244">
        <v>0</v>
      </c>
      <c r="BH226" s="245">
        <v>0</v>
      </c>
      <c r="BK226">
        <v>168</v>
      </c>
      <c r="BL226" s="281">
        <v>0.16080402010050385</v>
      </c>
      <c r="BM226" s="281">
        <v>2869.3869346733909</v>
      </c>
      <c r="BN226" s="282">
        <v>4799.0603015075667</v>
      </c>
      <c r="BO226" s="282">
        <v>131.80904522613216</v>
      </c>
      <c r="BP226" s="282">
        <v>0</v>
      </c>
      <c r="BQ226" s="283">
        <v>0</v>
      </c>
      <c r="BR226" s="284"/>
      <c r="BS226" s="147"/>
      <c r="BT226" s="285">
        <v>0.77895194017596092</v>
      </c>
      <c r="BU226" s="288">
        <v>2.7072322544804246E-2</v>
      </c>
      <c r="BV226" s="287">
        <v>0.81445944104629597</v>
      </c>
      <c r="BW226" s="288">
        <v>0</v>
      </c>
      <c r="BX226" s="286">
        <v>99.065552804221198</v>
      </c>
      <c r="BY226" s="287">
        <v>0.93444719577879398</v>
      </c>
      <c r="BZ226" s="288">
        <v>0</v>
      </c>
      <c r="CA226" s="286">
        <v>0.76118578613002552</v>
      </c>
      <c r="CB226" s="286">
        <v>1.1219680619438301</v>
      </c>
      <c r="CC226" s="287">
        <v>1.2170942092215242</v>
      </c>
      <c r="CD226" s="286">
        <v>0</v>
      </c>
      <c r="CE226" s="286">
        <v>15.646748752278604</v>
      </c>
      <c r="CF226" s="286">
        <v>21.427772425269701</v>
      </c>
      <c r="CG226" s="287">
        <v>22.579202623576119</v>
      </c>
      <c r="CH226" s="288">
        <v>0</v>
      </c>
      <c r="CI226" s="286">
        <v>1.4261747234132161</v>
      </c>
      <c r="CJ226" s="286">
        <v>239.86489887215384</v>
      </c>
      <c r="CK226" s="287"/>
      <c r="CL226" s="288"/>
      <c r="CM226" s="286"/>
      <c r="CN226" s="287"/>
      <c r="CO226" s="289"/>
      <c r="CP226" s="290"/>
      <c r="CQ226" s="289"/>
      <c r="CR226" s="290"/>
      <c r="CS226" s="284"/>
      <c r="CT226" s="147"/>
      <c r="CU226" s="291"/>
      <c r="CV226" s="292"/>
    </row>
    <row r="227" spans="2:100">
      <c r="B227">
        <v>169</v>
      </c>
      <c r="C227" s="243">
        <v>0.78226793898634805</v>
      </c>
      <c r="D227" s="592">
        <v>0.12204811537498451</v>
      </c>
      <c r="E227" s="245">
        <v>5.8747588103003068E-3</v>
      </c>
      <c r="F227" s="243">
        <v>7.154503053303886E-3</v>
      </c>
      <c r="G227" s="245">
        <v>9.7002762822769057E-3</v>
      </c>
      <c r="H227" s="243">
        <v>0.12063074313001035</v>
      </c>
      <c r="I227" s="245">
        <v>0.1635545512776197</v>
      </c>
      <c r="J227" s="242">
        <v>8.6537153563402192E-2</v>
      </c>
      <c r="K227" s="242">
        <v>26.399310309886857</v>
      </c>
      <c r="L227" s="242">
        <v>5.0251256281407036E-3</v>
      </c>
      <c r="M227" s="243">
        <v>87.401862471842321</v>
      </c>
      <c r="N227" s="592">
        <v>28.07517505132752</v>
      </c>
      <c r="O227" s="245">
        <v>0.37836329651301948</v>
      </c>
      <c r="P227" s="245">
        <v>1.6617466909987535</v>
      </c>
      <c r="Q227" s="254">
        <v>83.331018121473647</v>
      </c>
      <c r="R227" s="255">
        <v>0</v>
      </c>
      <c r="S227" s="256">
        <v>0</v>
      </c>
      <c r="T227" s="257">
        <v>0</v>
      </c>
      <c r="U227" s="255">
        <v>1.2089777006247434E-2</v>
      </c>
      <c r="V227" s="256">
        <v>1.6391659389615121E-2</v>
      </c>
      <c r="W227" s="257">
        <v>8.7267112514471182E-2</v>
      </c>
      <c r="X227" s="255">
        <v>2.4116528600058064E-2</v>
      </c>
      <c r="Y227" s="256">
        <v>3.2697867154024896E-2</v>
      </c>
      <c r="Z227" s="257">
        <v>8.6812178915981211E-2</v>
      </c>
      <c r="AA227" s="255">
        <v>3.6176614910457081E-2</v>
      </c>
      <c r="AB227" s="256">
        <v>4.9049271063895721E-2</v>
      </c>
      <c r="AC227" s="257">
        <v>8.7052797453581465E-2</v>
      </c>
      <c r="AD227" s="255">
        <v>4.8259957543314143E-2</v>
      </c>
      <c r="AE227" s="256">
        <v>6.5432206549261324E-2</v>
      </c>
      <c r="AF227" s="257">
        <v>8.7220667556360917E-2</v>
      </c>
      <c r="AG227" s="255">
        <v>6.0355970585824786E-2</v>
      </c>
      <c r="AH227" s="256">
        <v>8.1832320932075653E-2</v>
      </c>
      <c r="AI227" s="257">
        <v>8.7312125824306808E-2</v>
      </c>
      <c r="AJ227" s="255">
        <v>7.2453659400470827E-2</v>
      </c>
      <c r="AK227" s="256">
        <v>9.8234707373840616E-2</v>
      </c>
      <c r="AL227" s="257">
        <v>8.7324221977562011E-2</v>
      </c>
      <c r="AM227" s="255">
        <v>8.454168438664604E-2</v>
      </c>
      <c r="AN227" s="256">
        <v>0.11462399132540978</v>
      </c>
      <c r="AO227" s="257">
        <v>8.7254465984043697E-2</v>
      </c>
      <c r="AP227" s="255">
        <v>9.6608432129818608E-2</v>
      </c>
      <c r="AQ227" s="256">
        <v>0.13098442699302223</v>
      </c>
      <c r="AR227" s="257">
        <v>8.7100881384580095E-2</v>
      </c>
      <c r="AS227" s="255">
        <v>0.10864209289062683</v>
      </c>
      <c r="AT227" s="256">
        <v>0.147300002400196</v>
      </c>
      <c r="AU227" s="257">
        <v>8.6862051056174477E-2</v>
      </c>
      <c r="AV227" s="255">
        <v>0.12063074313001035</v>
      </c>
      <c r="AW227" s="256">
        <v>0.1635545512776197</v>
      </c>
      <c r="AX227" s="257">
        <v>8.6537153563402192E-2</v>
      </c>
      <c r="AY227" s="243">
        <v>0</v>
      </c>
      <c r="AZ227" s="244">
        <v>0</v>
      </c>
      <c r="BA227" s="244">
        <v>0</v>
      </c>
      <c r="BB227" s="244">
        <v>0</v>
      </c>
      <c r="BC227" s="244">
        <v>0</v>
      </c>
      <c r="BD227" s="244">
        <v>0</v>
      </c>
      <c r="BE227" s="244">
        <v>0</v>
      </c>
      <c r="BF227" s="244">
        <v>0</v>
      </c>
      <c r="BG227" s="244">
        <v>0</v>
      </c>
      <c r="BH227" s="245">
        <v>0</v>
      </c>
      <c r="BK227">
        <v>169</v>
      </c>
      <c r="BL227" s="281">
        <v>0.15577889447236315</v>
      </c>
      <c r="BM227" s="281">
        <v>2779.7185929648481</v>
      </c>
      <c r="BN227" s="282">
        <v>4766.6834170854563</v>
      </c>
      <c r="BO227" s="282">
        <v>131.50251256281558</v>
      </c>
      <c r="BP227" s="282">
        <v>0</v>
      </c>
      <c r="BQ227" s="283">
        <v>0</v>
      </c>
      <c r="BR227" s="284"/>
      <c r="BS227" s="147"/>
      <c r="BT227" s="285">
        <v>0.77639318017604897</v>
      </c>
      <c r="BU227" s="288">
        <v>2.6986266648751485E-2</v>
      </c>
      <c r="BV227" s="287">
        <v>0.81469125433498502</v>
      </c>
      <c r="BW227" s="288">
        <v>0</v>
      </c>
      <c r="BX227" s="286">
        <v>99.055005000453491</v>
      </c>
      <c r="BY227" s="287">
        <v>0.94499499954651545</v>
      </c>
      <c r="BZ227" s="288">
        <v>0</v>
      </c>
      <c r="CA227" s="286">
        <v>0.76103562858482809</v>
      </c>
      <c r="CB227" s="286">
        <v>1.1220586112713697</v>
      </c>
      <c r="CC227" s="287">
        <v>1.2170567958991398</v>
      </c>
      <c r="CD227" s="286">
        <v>0</v>
      </c>
      <c r="CE227" s="286">
        <v>15.645427705986204</v>
      </c>
      <c r="CF227" s="286">
        <v>21.430621309687538</v>
      </c>
      <c r="CG227" s="287">
        <v>22.5804306522773</v>
      </c>
      <c r="CH227" s="288">
        <v>0</v>
      </c>
      <c r="CI227" s="286">
        <v>1.4215558206134526</v>
      </c>
      <c r="CJ227" s="286">
        <v>240.70927637483231</v>
      </c>
      <c r="CK227" s="287"/>
      <c r="CL227" s="288"/>
      <c r="CM227" s="286"/>
      <c r="CN227" s="287"/>
      <c r="CO227" s="289"/>
      <c r="CP227" s="290"/>
      <c r="CQ227" s="289"/>
      <c r="CR227" s="290"/>
      <c r="CS227" s="284"/>
      <c r="CT227" s="147"/>
      <c r="CU227" s="291"/>
      <c r="CV227" s="292"/>
    </row>
    <row r="228" spans="2:100">
      <c r="B228">
        <v>170</v>
      </c>
      <c r="C228" s="243">
        <v>0.77969549005276872</v>
      </c>
      <c r="D228" s="592">
        <v>0.12227315537922091</v>
      </c>
      <c r="E228" s="245">
        <v>5.8529923150766328E-3</v>
      </c>
      <c r="F228" s="243">
        <v>7.151053530211237E-3</v>
      </c>
      <c r="G228" s="245">
        <v>9.6953011726044792E-3</v>
      </c>
      <c r="H228" s="243">
        <v>0.12057258136377584</v>
      </c>
      <c r="I228" s="245">
        <v>0.16347066688027348</v>
      </c>
      <c r="J228" s="242">
        <v>8.654833472570346E-2</v>
      </c>
      <c r="K228" s="242">
        <v>26.396405201985385</v>
      </c>
      <c r="L228" s="242">
        <v>5.0251256281407036E-3</v>
      </c>
      <c r="M228" s="243">
        <v>87.461080394087602</v>
      </c>
      <c r="N228" s="592">
        <v>28.154923892509075</v>
      </c>
      <c r="O228" s="245">
        <v>0.37773183773198188</v>
      </c>
      <c r="P228" s="245">
        <v>1.6615638243486175</v>
      </c>
      <c r="Q228" s="254">
        <v>83.290856597636648</v>
      </c>
      <c r="R228" s="255">
        <v>0</v>
      </c>
      <c r="S228" s="256">
        <v>0</v>
      </c>
      <c r="T228" s="257">
        <v>0</v>
      </c>
      <c r="U228" s="255">
        <v>1.2078473236288818E-2</v>
      </c>
      <c r="V228" s="256">
        <v>1.6375829832111968E-2</v>
      </c>
      <c r="W228" s="257">
        <v>8.7182837961001819E-2</v>
      </c>
      <c r="X228" s="255">
        <v>2.4093750486145055E-2</v>
      </c>
      <c r="Y228" s="256">
        <v>3.266597940483626E-2</v>
      </c>
      <c r="Z228" s="257">
        <v>8.6726687143166309E-2</v>
      </c>
      <c r="AA228" s="255">
        <v>3.6143682075108249E-2</v>
      </c>
      <c r="AB228" s="256">
        <v>4.9003112859468304E-2</v>
      </c>
      <c r="AC228" s="257">
        <v>8.6976823362529723E-2</v>
      </c>
      <c r="AD228" s="255">
        <v>4.8218307310493869E-2</v>
      </c>
      <c r="AE228" s="256">
        <v>6.5373725624261247E-2</v>
      </c>
      <c r="AF228" s="257">
        <v>8.7155062957269547E-2</v>
      </c>
      <c r="AG228" s="255">
        <v>6.0307151790725447E-2</v>
      </c>
      <c r="AH228" s="256">
        <v>8.1763616647935397E-2</v>
      </c>
      <c r="AI228" s="257">
        <v>8.7257697958819991E-2</v>
      </c>
      <c r="AJ228" s="255">
        <v>7.2399324813137531E-2</v>
      </c>
      <c r="AK228" s="256">
        <v>9.8158020463853274E-2</v>
      </c>
      <c r="AL228" s="257">
        <v>8.7281723491508811E-2</v>
      </c>
      <c r="AM228" s="255">
        <v>8.4483581208346689E-2</v>
      </c>
      <c r="AN228" s="256">
        <v>0.11454169102421947</v>
      </c>
      <c r="AO228" s="257">
        <v>8.7224581002294521E-2</v>
      </c>
      <c r="AP228" s="255">
        <v>9.6548390641261722E-2</v>
      </c>
      <c r="AQ228" s="256">
        <v>0.13089899565744817</v>
      </c>
      <c r="AR228" s="257">
        <v>8.7084212155226229E-2</v>
      </c>
      <c r="AS228" s="255">
        <v>0.10858201339101282</v>
      </c>
      <c r="AT228" s="256">
        <v>0.14721401780956112</v>
      </c>
      <c r="AU228" s="257">
        <v>8.6859105596505504E-2</v>
      </c>
      <c r="AV228" s="255">
        <v>0.12057258136377584</v>
      </c>
      <c r="AW228" s="256">
        <v>0.16347066688027348</v>
      </c>
      <c r="AX228" s="257">
        <v>8.654833472570346E-2</v>
      </c>
      <c r="AY228" s="243">
        <v>0</v>
      </c>
      <c r="AZ228" s="244">
        <v>0</v>
      </c>
      <c r="BA228" s="244">
        <v>0</v>
      </c>
      <c r="BB228" s="244">
        <v>0</v>
      </c>
      <c r="BC228" s="244">
        <v>0</v>
      </c>
      <c r="BD228" s="244">
        <v>0</v>
      </c>
      <c r="BE228" s="244">
        <v>0</v>
      </c>
      <c r="BF228" s="244">
        <v>0</v>
      </c>
      <c r="BG228" s="244">
        <v>0</v>
      </c>
      <c r="BH228" s="245">
        <v>0</v>
      </c>
      <c r="BK228">
        <v>170</v>
      </c>
      <c r="BL228" s="281">
        <v>0.15075376884422245</v>
      </c>
      <c r="BM228" s="281">
        <v>2690.0502512563053</v>
      </c>
      <c r="BN228" s="282">
        <v>4734.3065326633459</v>
      </c>
      <c r="BO228" s="282">
        <v>131.19597989949901</v>
      </c>
      <c r="BP228" s="282">
        <v>0</v>
      </c>
      <c r="BQ228" s="283">
        <v>0</v>
      </c>
      <c r="BR228" s="284"/>
      <c r="BS228" s="147"/>
      <c r="BT228" s="285">
        <v>0.77384249773769331</v>
      </c>
      <c r="BU228" s="288">
        <v>2.6900462489547017E-2</v>
      </c>
      <c r="BV228" s="287">
        <v>0.81492253088619959</v>
      </c>
      <c r="BW228" s="288">
        <v>0</v>
      </c>
      <c r="BX228" s="286">
        <v>99.044496695462115</v>
      </c>
      <c r="BY228" s="287">
        <v>0.95550330453789201</v>
      </c>
      <c r="BZ228" s="288">
        <v>0</v>
      </c>
      <c r="CA228" s="286">
        <v>0.76088518200814959</v>
      </c>
      <c r="CB228" s="286">
        <v>1.1221488360461858</v>
      </c>
      <c r="CC228" s="287">
        <v>1.2170193701910632</v>
      </c>
      <c r="CD228" s="286">
        <v>0</v>
      </c>
      <c r="CE228" s="286">
        <v>15.644101322611153</v>
      </c>
      <c r="CF228" s="286">
        <v>21.433464519750835</v>
      </c>
      <c r="CG228" s="287">
        <v>22.581658741712694</v>
      </c>
      <c r="CH228" s="288">
        <v>0</v>
      </c>
      <c r="CI228" s="286">
        <v>1.4169501786172465</v>
      </c>
      <c r="CJ228" s="286">
        <v>241.55832506486641</v>
      </c>
      <c r="CK228" s="287"/>
      <c r="CL228" s="288"/>
      <c r="CM228" s="286"/>
      <c r="CN228" s="287"/>
      <c r="CO228" s="289"/>
      <c r="CP228" s="290"/>
      <c r="CQ228" s="289"/>
      <c r="CR228" s="290"/>
      <c r="CS228" s="284"/>
      <c r="CT228" s="147"/>
      <c r="CU228" s="291"/>
      <c r="CV228" s="292"/>
    </row>
    <row r="229" spans="2:100">
      <c r="B229">
        <v>171</v>
      </c>
      <c r="C229" s="243">
        <v>0.7771308439032848</v>
      </c>
      <c r="D229" s="592">
        <v>0.12247718092838865</v>
      </c>
      <c r="E229" s="245">
        <v>5.8309839329881985E-3</v>
      </c>
      <c r="F229" s="243">
        <v>7.1465521668876023E-3</v>
      </c>
      <c r="G229" s="245">
        <v>9.6889002248612861E-3</v>
      </c>
      <c r="H229" s="243">
        <v>0.12049668471535978</v>
      </c>
      <c r="I229" s="245">
        <v>0.16336274169284329</v>
      </c>
      <c r="J229" s="242">
        <v>8.6546025896904258E-2</v>
      </c>
      <c r="K229" s="242">
        <v>26.392191190031941</v>
      </c>
      <c r="L229" s="242">
        <v>5.0251256281407036E-3</v>
      </c>
      <c r="M229" s="243">
        <v>87.524903367043166</v>
      </c>
      <c r="N229" s="592">
        <v>28.236327207370969</v>
      </c>
      <c r="O229" s="245">
        <v>0.37712062333720359</v>
      </c>
      <c r="P229" s="245">
        <v>1.661298566645395</v>
      </c>
      <c r="Q229" s="254">
        <v>83.239228332002583</v>
      </c>
      <c r="R229" s="255">
        <v>0</v>
      </c>
      <c r="S229" s="256">
        <v>0</v>
      </c>
      <c r="T229" s="257">
        <v>0</v>
      </c>
      <c r="U229" s="255">
        <v>1.2065562010722786E-2</v>
      </c>
      <c r="V229" s="256">
        <v>1.6357821750804042E-2</v>
      </c>
      <c r="W229" s="257">
        <v>8.7086965223512877E-2</v>
      </c>
      <c r="X229" s="255">
        <v>2.4067713623110023E-2</v>
      </c>
      <c r="Y229" s="256">
        <v>3.2629675190127973E-2</v>
      </c>
      <c r="Z229" s="257">
        <v>8.6629280852925789E-2</v>
      </c>
      <c r="AA229" s="255">
        <v>3.610579020147299E-2</v>
      </c>
      <c r="AB229" s="256">
        <v>4.8950233711677872E-2</v>
      </c>
      <c r="AC229" s="257">
        <v>8.6888580524155726E-2</v>
      </c>
      <c r="AD229" s="255">
        <v>4.8169953687540082E-2</v>
      </c>
      <c r="AE229" s="256">
        <v>6.530615942009188E-2</v>
      </c>
      <c r="AF229" s="257">
        <v>8.7076870934664485E-2</v>
      </c>
      <c r="AG229" s="255">
        <v>6.024984683470528E-2</v>
      </c>
      <c r="AH229" s="256">
        <v>8.1683410533175363E-2</v>
      </c>
      <c r="AI229" s="257">
        <v>8.7190404680362446E-2</v>
      </c>
      <c r="AJ229" s="255">
        <v>7.2334689193395502E-2</v>
      </c>
      <c r="AK229" s="256">
        <v>9.8067371513553991E-2</v>
      </c>
      <c r="AL229" s="257">
        <v>8.7226127161551467E-2</v>
      </c>
      <c r="AM229" s="255">
        <v>8.4413336967900807E-2</v>
      </c>
      <c r="AN229" s="256">
        <v>0.1144429342192541</v>
      </c>
      <c r="AO229" s="257">
        <v>8.7181415813915544E-2</v>
      </c>
      <c r="AP229" s="255">
        <v>9.6474350400375178E-2</v>
      </c>
      <c r="AQ229" s="256">
        <v>0.13079458925920448</v>
      </c>
      <c r="AR229" s="257">
        <v>8.7054134438226252E-2</v>
      </c>
      <c r="AS229" s="255">
        <v>0.10850606775493796</v>
      </c>
      <c r="AT229" s="256">
        <v>0.14710652629678997</v>
      </c>
      <c r="AU229" s="257">
        <v>8.6842680838633987E-2</v>
      </c>
      <c r="AV229" s="255">
        <v>0.12049668471535978</v>
      </c>
      <c r="AW229" s="256">
        <v>0.16336274169284329</v>
      </c>
      <c r="AX229" s="257">
        <v>8.6546025896904258E-2</v>
      </c>
      <c r="AY229" s="243">
        <v>0</v>
      </c>
      <c r="AZ229" s="244">
        <v>0</v>
      </c>
      <c r="BA229" s="244">
        <v>0</v>
      </c>
      <c r="BB229" s="244">
        <v>0</v>
      </c>
      <c r="BC229" s="244">
        <v>0</v>
      </c>
      <c r="BD229" s="244">
        <v>0</v>
      </c>
      <c r="BE229" s="244">
        <v>0</v>
      </c>
      <c r="BF229" s="244">
        <v>0</v>
      </c>
      <c r="BG229" s="244">
        <v>0</v>
      </c>
      <c r="BH229" s="245">
        <v>0</v>
      </c>
      <c r="BK229">
        <v>171</v>
      </c>
      <c r="BL229" s="281">
        <v>0.14572864321608173</v>
      </c>
      <c r="BM229" s="281">
        <v>2600.3819095477625</v>
      </c>
      <c r="BN229" s="282">
        <v>4701.9296482412356</v>
      </c>
      <c r="BO229" s="282">
        <v>130.88944723618243</v>
      </c>
      <c r="BP229" s="282">
        <v>0</v>
      </c>
      <c r="BQ229" s="283">
        <v>0</v>
      </c>
      <c r="BR229" s="284"/>
      <c r="BS229" s="147"/>
      <c r="BT229" s="285">
        <v>0.77129985997029782</v>
      </c>
      <c r="BU229" s="288">
        <v>2.6814909159643133E-2</v>
      </c>
      <c r="BV229" s="287">
        <v>0.81515326825847167</v>
      </c>
      <c r="BW229" s="288">
        <v>0</v>
      </c>
      <c r="BX229" s="286">
        <v>99.034027693054682</v>
      </c>
      <c r="BY229" s="287">
        <v>0.96597230694531011</v>
      </c>
      <c r="BZ229" s="288">
        <v>0</v>
      </c>
      <c r="CA229" s="286">
        <v>0.76073444391895451</v>
      </c>
      <c r="CB229" s="286">
        <v>1.1222387343633564</v>
      </c>
      <c r="CC229" s="287">
        <v>1.2169819320630886</v>
      </c>
      <c r="CD229" s="286">
        <v>0</v>
      </c>
      <c r="CE229" s="286">
        <v>15.642769557339459</v>
      </c>
      <c r="CF229" s="286">
        <v>21.436302016406874</v>
      </c>
      <c r="CG229" s="287">
        <v>22.582886891599244</v>
      </c>
      <c r="CH229" s="288">
        <v>0</v>
      </c>
      <c r="CI229" s="286">
        <v>1.4123577121429689</v>
      </c>
      <c r="CJ229" s="286">
        <v>242.41206626720603</v>
      </c>
      <c r="CK229" s="287"/>
      <c r="CL229" s="288"/>
      <c r="CM229" s="286"/>
      <c r="CN229" s="287"/>
      <c r="CO229" s="289"/>
      <c r="CP229" s="290"/>
      <c r="CQ229" s="289"/>
      <c r="CR229" s="290"/>
      <c r="CS229" s="284"/>
      <c r="CT229" s="147"/>
      <c r="CU229" s="291"/>
      <c r="CV229" s="292"/>
    </row>
    <row r="230" spans="2:100">
      <c r="B230">
        <v>172</v>
      </c>
      <c r="C230" s="243">
        <v>0.77457398544414824</v>
      </c>
      <c r="D230" s="592">
        <v>0.12266077388835768</v>
      </c>
      <c r="E230" s="245">
        <v>5.808747365128597E-3</v>
      </c>
      <c r="F230" s="243">
        <v>7.1410393609003487E-3</v>
      </c>
      <c r="G230" s="245">
        <v>9.6811283376705484E-3</v>
      </c>
      <c r="H230" s="243">
        <v>0.12040373432061967</v>
      </c>
      <c r="I230" s="245">
        <v>0.16323170135078791</v>
      </c>
      <c r="J230" s="242">
        <v>8.653064882234153E-2</v>
      </c>
      <c r="K230" s="242">
        <v>26.386721816219165</v>
      </c>
      <c r="L230" s="242">
        <v>5.0251256281407036E-3</v>
      </c>
      <c r="M230" s="243">
        <v>87.593168081334184</v>
      </c>
      <c r="N230" s="592">
        <v>28.319342090790812</v>
      </c>
      <c r="O230" s="245">
        <v>0.37652878548964269</v>
      </c>
      <c r="P230" s="245">
        <v>1.6609542881877939</v>
      </c>
      <c r="Q230" s="254">
        <v>83.176571810293112</v>
      </c>
      <c r="R230" s="255">
        <v>0</v>
      </c>
      <c r="S230" s="256">
        <v>0</v>
      </c>
      <c r="T230" s="257">
        <v>0</v>
      </c>
      <c r="U230" s="255">
        <v>1.2051116633983632E-2</v>
      </c>
      <c r="V230" s="256">
        <v>1.6337734725932414E-2</v>
      </c>
      <c r="W230" s="257">
        <v>8.6980024454559116E-2</v>
      </c>
      <c r="X230" s="255">
        <v>2.4038564413974194E-2</v>
      </c>
      <c r="Y230" s="256">
        <v>3.258915339681067E-2</v>
      </c>
      <c r="Z230" s="257">
        <v>8.6520488741354373E-2</v>
      </c>
      <c r="AA230" s="255">
        <v>3.6063158367909687E-2</v>
      </c>
      <c r="AB230" s="256">
        <v>4.8890931246379832E-2</v>
      </c>
      <c r="AC230" s="257">
        <v>8.6788594612059525E-2</v>
      </c>
      <c r="AD230" s="255">
        <v>4.811518758648313E-2</v>
      </c>
      <c r="AE230" s="256">
        <v>6.5229903165959613E-2</v>
      </c>
      <c r="AF230" s="257">
        <v>8.6986611116388862E-2</v>
      </c>
      <c r="AG230" s="255">
        <v>6.018441719768397E-2</v>
      </c>
      <c r="AH230" s="256">
        <v>8.159219370907142E-2</v>
      </c>
      <c r="AI230" s="257">
        <v>8.7110756506131384E-2</v>
      </c>
      <c r="AJ230" s="255">
        <v>7.2260182901548842E-2</v>
      </c>
      <c r="AK230" s="256">
        <v>9.7963345252481571E-2</v>
      </c>
      <c r="AL230" s="257">
        <v>8.7157931346191625E-2</v>
      </c>
      <c r="AM230" s="255">
        <v>8.4331448807681023E-2</v>
      </c>
      <c r="AN230" s="256">
        <v>0.11432839640669876</v>
      </c>
      <c r="AO230" s="257">
        <v>8.7125453649002427E-2</v>
      </c>
      <c r="AP230" s="255">
        <v>9.638687284209646E-2</v>
      </c>
      <c r="AQ230" s="256">
        <v>0.13067197068823011</v>
      </c>
      <c r="AR230" s="257">
        <v>8.7011113506824916E-2</v>
      </c>
      <c r="AS230" s="255">
        <v>0.1084148788574081</v>
      </c>
      <c r="AT230" s="256">
        <v>0.14697837427957283</v>
      </c>
      <c r="AU230" s="257">
        <v>8.6813221473698299E-2</v>
      </c>
      <c r="AV230" s="255">
        <v>0.12040373432061967</v>
      </c>
      <c r="AW230" s="256">
        <v>0.16323170135078791</v>
      </c>
      <c r="AX230" s="257">
        <v>8.653064882234153E-2</v>
      </c>
      <c r="AY230" s="243">
        <v>0</v>
      </c>
      <c r="AZ230" s="244">
        <v>0</v>
      </c>
      <c r="BA230" s="244">
        <v>0</v>
      </c>
      <c r="BB230" s="244">
        <v>0</v>
      </c>
      <c r="BC230" s="244">
        <v>0</v>
      </c>
      <c r="BD230" s="244">
        <v>0</v>
      </c>
      <c r="BE230" s="244">
        <v>0</v>
      </c>
      <c r="BF230" s="244">
        <v>0</v>
      </c>
      <c r="BG230" s="244">
        <v>0</v>
      </c>
      <c r="BH230" s="245">
        <v>0</v>
      </c>
      <c r="BK230">
        <v>172</v>
      </c>
      <c r="BL230" s="281">
        <v>0.14070351758794103</v>
      </c>
      <c r="BM230" s="281">
        <v>2510.7135678392196</v>
      </c>
      <c r="BN230" s="282">
        <v>4669.5527638191252</v>
      </c>
      <c r="BO230" s="282">
        <v>130.58291457286586</v>
      </c>
      <c r="BP230" s="282">
        <v>0</v>
      </c>
      <c r="BQ230" s="283">
        <v>0</v>
      </c>
      <c r="BR230" s="284"/>
      <c r="BS230" s="147"/>
      <c r="BT230" s="285">
        <v>0.76876523807902086</v>
      </c>
      <c r="BU230" s="288">
        <v>2.6729605887241364E-2</v>
      </c>
      <c r="BV230" s="287">
        <v>0.81538346481694246</v>
      </c>
      <c r="BW230" s="288">
        <v>0</v>
      </c>
      <c r="BX230" s="286">
        <v>99.023597815551938</v>
      </c>
      <c r="BY230" s="287">
        <v>0.97640218444805982</v>
      </c>
      <c r="BZ230" s="288">
        <v>0</v>
      </c>
      <c r="CA230" s="286">
        <v>0.76058341186491762</v>
      </c>
      <c r="CB230" s="286">
        <v>1.12232830473793</v>
      </c>
      <c r="CC230" s="287">
        <v>1.2169444814808925</v>
      </c>
      <c r="CD230" s="286">
        <v>0</v>
      </c>
      <c r="CE230" s="286">
        <v>15.641432365831164</v>
      </c>
      <c r="CF230" s="286">
        <v>21.439133767494173</v>
      </c>
      <c r="CG230" s="287">
        <v>22.584115101652383</v>
      </c>
      <c r="CH230" s="288">
        <v>0</v>
      </c>
      <c r="CI230" s="286">
        <v>1.4077783468458123</v>
      </c>
      <c r="CJ230" s="286">
        <v>243.27052217473152</v>
      </c>
      <c r="CK230" s="287"/>
      <c r="CL230" s="288"/>
      <c r="CM230" s="286"/>
      <c r="CN230" s="287"/>
      <c r="CO230" s="289"/>
      <c r="CP230" s="290"/>
      <c r="CQ230" s="289"/>
      <c r="CR230" s="290"/>
      <c r="CS230" s="284"/>
      <c r="CT230" s="147"/>
      <c r="CU230" s="291"/>
      <c r="CV230" s="292"/>
    </row>
    <row r="231" spans="2:100">
      <c r="B231">
        <v>173</v>
      </c>
      <c r="C231" s="243">
        <v>0.77202489733580915</v>
      </c>
      <c r="D231" s="592">
        <v>0.12282450884072946</v>
      </c>
      <c r="E231" s="245">
        <v>5.7863020565215306E-3</v>
      </c>
      <c r="F231" s="243">
        <v>7.1345543456299617E-3</v>
      </c>
      <c r="G231" s="245">
        <v>9.6720388247559744E-3</v>
      </c>
      <c r="H231" s="243">
        <v>0.12029439168627484</v>
      </c>
      <c r="I231" s="245">
        <v>0.16307844476687064</v>
      </c>
      <c r="J231" s="242">
        <v>8.6502615909962652E-2</v>
      </c>
      <c r="K231" s="242">
        <v>26.380049277351098</v>
      </c>
      <c r="L231" s="242">
        <v>5.0251256281407036E-3</v>
      </c>
      <c r="M231" s="243">
        <v>87.665716442402399</v>
      </c>
      <c r="N231" s="592">
        <v>28.403927256793814</v>
      </c>
      <c r="O231" s="245">
        <v>0.37595547929125334</v>
      </c>
      <c r="P231" s="245">
        <v>1.6605342745868925</v>
      </c>
      <c r="Q231" s="254">
        <v>83.103312299848341</v>
      </c>
      <c r="R231" s="255">
        <v>0</v>
      </c>
      <c r="S231" s="256">
        <v>0</v>
      </c>
      <c r="T231" s="257">
        <v>0</v>
      </c>
      <c r="U231" s="255">
        <v>1.2035207815558543E-2</v>
      </c>
      <c r="V231" s="256">
        <v>1.6315664807766004E-2</v>
      </c>
      <c r="W231" s="257">
        <v>8.6862527013571958E-2</v>
      </c>
      <c r="X231" s="255">
        <v>2.4006444194158635E-2</v>
      </c>
      <c r="Y231" s="256">
        <v>3.2544606017678057E-2</v>
      </c>
      <c r="Z231" s="257">
        <v>8.6400821594267346E-2</v>
      </c>
      <c r="AA231" s="255">
        <v>3.601599824091728E-2</v>
      </c>
      <c r="AB231" s="256">
        <v>4.8825493005300896E-2</v>
      </c>
      <c r="AC231" s="257">
        <v>8.6677374316623881E-2</v>
      </c>
      <c r="AD231" s="255">
        <v>4.8054290302754293E-2</v>
      </c>
      <c r="AE231" s="256">
        <v>6.5145339006215816E-2</v>
      </c>
      <c r="AF231" s="257">
        <v>8.6884787154799761E-2</v>
      </c>
      <c r="AG231" s="255">
        <v>6.0111212686484491E-2</v>
      </c>
      <c r="AH231" s="256">
        <v>8.1490441412498074E-2</v>
      </c>
      <c r="AI231" s="257">
        <v>8.7019249048895714E-2</v>
      </c>
      <c r="AJ231" s="255">
        <v>7.2176222722536126E-2</v>
      </c>
      <c r="AK231" s="256">
        <v>9.7846507935593297E-2</v>
      </c>
      <c r="AL231" s="257">
        <v>8.7077620614140969E-2</v>
      </c>
      <c r="AM231" s="255">
        <v>8.4238398549657187E-2</v>
      </c>
      <c r="AN231" s="256">
        <v>0.11419873223148191</v>
      </c>
      <c r="AO231" s="257">
        <v>8.7057165084534316E-2</v>
      </c>
      <c r="AP231" s="255">
        <v>9.628650249302638E-2</v>
      </c>
      <c r="AQ231" s="256">
        <v>0.13053187981992784</v>
      </c>
      <c r="AR231" s="257">
        <v>8.6955603117241265E-2</v>
      </c>
      <c r="AS231" s="255">
        <v>0.10830905123096923</v>
      </c>
      <c r="AT231" s="256">
        <v>0.14683038320677627</v>
      </c>
      <c r="AU231" s="257">
        <v>8.6771161788458215E-2</v>
      </c>
      <c r="AV231" s="255">
        <v>0.12029439168627484</v>
      </c>
      <c r="AW231" s="256">
        <v>0.16307844476687064</v>
      </c>
      <c r="AX231" s="257">
        <v>8.6502615909962652E-2</v>
      </c>
      <c r="AY231" s="243">
        <v>0</v>
      </c>
      <c r="AZ231" s="244">
        <v>0</v>
      </c>
      <c r="BA231" s="244">
        <v>0</v>
      </c>
      <c r="BB231" s="244">
        <v>0</v>
      </c>
      <c r="BC231" s="244">
        <v>0</v>
      </c>
      <c r="BD231" s="244">
        <v>0</v>
      </c>
      <c r="BE231" s="244">
        <v>0</v>
      </c>
      <c r="BF231" s="244">
        <v>0</v>
      </c>
      <c r="BG231" s="244">
        <v>0</v>
      </c>
      <c r="BH231" s="245">
        <v>0</v>
      </c>
      <c r="BK231">
        <v>173</v>
      </c>
      <c r="BL231" s="281">
        <v>0.1356783919598003</v>
      </c>
      <c r="BM231" s="281">
        <v>2421.0452261306768</v>
      </c>
      <c r="BN231" s="282">
        <v>4637.1758793970148</v>
      </c>
      <c r="BO231" s="282">
        <v>130.27638190954929</v>
      </c>
      <c r="BP231" s="282">
        <v>0</v>
      </c>
      <c r="BQ231" s="283">
        <v>0</v>
      </c>
      <c r="BR231" s="284"/>
      <c r="BS231" s="147"/>
      <c r="BT231" s="285">
        <v>0.76623859527928884</v>
      </c>
      <c r="BU231" s="288">
        <v>2.6644551630711576E-2</v>
      </c>
      <c r="BV231" s="287">
        <v>0.81561311731182129</v>
      </c>
      <c r="BW231" s="288">
        <v>0</v>
      </c>
      <c r="BX231" s="286">
        <v>99.013206849865782</v>
      </c>
      <c r="BY231" s="287">
        <v>0.98679315013420965</v>
      </c>
      <c r="BZ231" s="288">
        <v>0</v>
      </c>
      <c r="CA231" s="286">
        <v>0.76043208327965561</v>
      </c>
      <c r="CB231" s="286">
        <v>1.1224175448261311</v>
      </c>
      <c r="CC231" s="287">
        <v>1.2169070184100412</v>
      </c>
      <c r="CD231" s="286">
        <v>0</v>
      </c>
      <c r="CE231" s="286">
        <v>15.640089701749098</v>
      </c>
      <c r="CF231" s="286">
        <v>21.441959726520341</v>
      </c>
      <c r="CG231" s="287">
        <v>22.585343371586074</v>
      </c>
      <c r="CH231" s="288">
        <v>0</v>
      </c>
      <c r="CI231" s="286">
        <v>1.4032119893827235</v>
      </c>
      <c r="CJ231" s="286">
        <v>244.13371344482687</v>
      </c>
      <c r="CK231" s="287"/>
      <c r="CL231" s="288"/>
      <c r="CM231" s="286"/>
      <c r="CN231" s="287"/>
      <c r="CO231" s="289"/>
      <c r="CP231" s="290"/>
      <c r="CQ231" s="289"/>
      <c r="CR231" s="290"/>
      <c r="CS231" s="284"/>
      <c r="CT231" s="147"/>
      <c r="CU231" s="291"/>
      <c r="CV231" s="292"/>
    </row>
    <row r="232" spans="2:100">
      <c r="B232">
        <v>174</v>
      </c>
      <c r="C232" s="243">
        <v>0.76948356276524199</v>
      </c>
      <c r="D232" s="592">
        <v>0.12296895022963247</v>
      </c>
      <c r="E232" s="245">
        <v>5.7636606573981952E-3</v>
      </c>
      <c r="F232" s="243">
        <v>7.1271351226292121E-3</v>
      </c>
      <c r="G232" s="245">
        <v>9.6616833234842697E-3</v>
      </c>
      <c r="H232" s="243">
        <v>0.1201692975494271</v>
      </c>
      <c r="I232" s="245">
        <v>0.16290384258911175</v>
      </c>
      <c r="J232" s="242">
        <v>8.6462330008751226E-2</v>
      </c>
      <c r="K232" s="242">
        <v>26.372224310362789</v>
      </c>
      <c r="L232" s="242">
        <v>5.0251256281407036E-3</v>
      </c>
      <c r="M232" s="243">
        <v>87.742395607354936</v>
      </c>
      <c r="N232" s="592">
        <v>28.49004237355253</v>
      </c>
      <c r="O232" s="245">
        <v>0.37539988978622135</v>
      </c>
      <c r="P232" s="245">
        <v>1.6600417195599864</v>
      </c>
      <c r="Q232" s="254">
        <v>83.019861188722757</v>
      </c>
      <c r="R232" s="255">
        <v>0</v>
      </c>
      <c r="S232" s="256">
        <v>0</v>
      </c>
      <c r="T232" s="257">
        <v>0</v>
      </c>
      <c r="U232" s="255">
        <v>1.2017903483365473E-2</v>
      </c>
      <c r="V232" s="256">
        <v>1.6291704264144967E-2</v>
      </c>
      <c r="W232" s="257">
        <v>8.6734964122812425E-2</v>
      </c>
      <c r="X232" s="255">
        <v>2.3971488871588887E-2</v>
      </c>
      <c r="Y232" s="256">
        <v>3.2496217664564168E-2</v>
      </c>
      <c r="Z232" s="257">
        <v>8.6270771039358596E-2</v>
      </c>
      <c r="AA232" s="255">
        <v>3.5964513556789514E-2</v>
      </c>
      <c r="AB232" s="256">
        <v>4.8754195744877639E-2</v>
      </c>
      <c r="AC232" s="257">
        <v>8.6555410204008351E-2</v>
      </c>
      <c r="AD232" s="255">
        <v>4.7987532854036327E-2</v>
      </c>
      <c r="AE232" s="256">
        <v>6.5052835106058499E-2</v>
      </c>
      <c r="AF232" s="257">
        <v>8.6771885698532461E-2</v>
      </c>
      <c r="AG232" s="255">
        <v>6.00305706474051E-2</v>
      </c>
      <c r="AH232" s="256">
        <v>8.1378611930864653E-2</v>
      </c>
      <c r="AI232" s="257">
        <v>8.6916362107860773E-2</v>
      </c>
      <c r="AJ232" s="255">
        <v>7.2083210969653047E-2</v>
      </c>
      <c r="AK232" s="256">
        <v>9.7717406131031137E-2</v>
      </c>
      <c r="AL232" s="257">
        <v>8.6985664960806494E-2</v>
      </c>
      <c r="AM232" s="255">
        <v>8.4134651708594771E-2</v>
      </c>
      <c r="AN232" s="256">
        <v>0.11405457415268054</v>
      </c>
      <c r="AO232" s="257">
        <v>8.6977007392939343E-2</v>
      </c>
      <c r="AP232" s="255">
        <v>9.6173765913273673E-2</v>
      </c>
      <c r="AQ232" s="256">
        <v>0.13037503208416407</v>
      </c>
      <c r="AR232" s="257">
        <v>8.6888044995419314E-2</v>
      </c>
      <c r="AS232" s="255">
        <v>0.10818916995612161</v>
      </c>
      <c r="AT232" s="256">
        <v>0.14666334805801415</v>
      </c>
      <c r="AU232" s="257">
        <v>8.6716925295664618E-2</v>
      </c>
      <c r="AV232" s="255">
        <v>0.1201692975494271</v>
      </c>
      <c r="AW232" s="256">
        <v>0.16290384258911175</v>
      </c>
      <c r="AX232" s="257">
        <v>8.6462330008751226E-2</v>
      </c>
      <c r="AY232" s="243">
        <v>0</v>
      </c>
      <c r="AZ232" s="244">
        <v>0</v>
      </c>
      <c r="BA232" s="244">
        <v>0</v>
      </c>
      <c r="BB232" s="244">
        <v>0</v>
      </c>
      <c r="BC232" s="244">
        <v>0</v>
      </c>
      <c r="BD232" s="244">
        <v>0</v>
      </c>
      <c r="BE232" s="244">
        <v>0</v>
      </c>
      <c r="BF232" s="244">
        <v>0</v>
      </c>
      <c r="BG232" s="244">
        <v>0</v>
      </c>
      <c r="BH232" s="245">
        <v>0</v>
      </c>
      <c r="BK232">
        <v>174</v>
      </c>
      <c r="BL232" s="281">
        <v>0.13065326633165961</v>
      </c>
      <c r="BM232" s="281">
        <v>2331.376884422134</v>
      </c>
      <c r="BN232" s="282">
        <v>4604.7989949749044</v>
      </c>
      <c r="BO232" s="282">
        <v>129.96984924623271</v>
      </c>
      <c r="BP232" s="282">
        <v>0</v>
      </c>
      <c r="BQ232" s="283">
        <v>0</v>
      </c>
      <c r="BR232" s="284"/>
      <c r="BS232" s="147"/>
      <c r="BT232" s="285">
        <v>0.76371990210784502</v>
      </c>
      <c r="BU232" s="288">
        <v>2.6559745592450827E-2</v>
      </c>
      <c r="BV232" s="287">
        <v>0.81584222394370065</v>
      </c>
      <c r="BW232" s="288">
        <v>0</v>
      </c>
      <c r="BX232" s="286">
        <v>99.002854615808218</v>
      </c>
      <c r="BY232" s="287">
        <v>0.99714538419179144</v>
      </c>
      <c r="BZ232" s="288">
        <v>0</v>
      </c>
      <c r="CA232" s="286">
        <v>0.76028045566458169</v>
      </c>
      <c r="CB232" s="286">
        <v>1.1225064530452544</v>
      </c>
      <c r="CC232" s="287">
        <v>1.2168695428159817</v>
      </c>
      <c r="CD232" s="286">
        <v>0</v>
      </c>
      <c r="CE232" s="286">
        <v>15.638741519906148</v>
      </c>
      <c r="CF232" s="286">
        <v>21.444779859544433</v>
      </c>
      <c r="CG232" s="287">
        <v>22.586571701112781</v>
      </c>
      <c r="CH232" s="288">
        <v>0</v>
      </c>
      <c r="CI232" s="286">
        <v>1.3986585653455006</v>
      </c>
      <c r="CJ232" s="286">
        <v>245.00166224016772</v>
      </c>
      <c r="CK232" s="287"/>
      <c r="CL232" s="288"/>
      <c r="CM232" s="286"/>
      <c r="CN232" s="287"/>
      <c r="CO232" s="289"/>
      <c r="CP232" s="290"/>
      <c r="CQ232" s="289"/>
      <c r="CR232" s="290"/>
      <c r="CS232" s="284"/>
      <c r="CT232" s="147"/>
      <c r="CU232" s="291"/>
      <c r="CV232" s="292"/>
    </row>
    <row r="233" spans="2:100">
      <c r="B233">
        <v>175</v>
      </c>
      <c r="C233" s="243">
        <v>0.76694996403922366</v>
      </c>
      <c r="D233" s="592">
        <v>0.12309465361492687</v>
      </c>
      <c r="E233" s="245">
        <v>5.7408385249601013E-3</v>
      </c>
      <c r="F233" s="243">
        <v>7.1188185194378658E-3</v>
      </c>
      <c r="G233" s="245">
        <v>9.6501118734895804E-3</v>
      </c>
      <c r="H233" s="243">
        <v>0.12002907285236358</v>
      </c>
      <c r="I233" s="245">
        <v>0.16270873852646039</v>
      </c>
      <c r="J233" s="242">
        <v>8.6410184562936074E-2</v>
      </c>
      <c r="K233" s="242">
        <v>26.363296233642821</v>
      </c>
      <c r="L233" s="242">
        <v>5.0251256281407036E-3</v>
      </c>
      <c r="M233" s="243">
        <v>87.823057873767581</v>
      </c>
      <c r="N233" s="592">
        <v>28.577648538308026</v>
      </c>
      <c r="O233" s="245">
        <v>0.3748612267210959</v>
      </c>
      <c r="P233" s="245">
        <v>1.6594797275317006</v>
      </c>
      <c r="Q233" s="254">
        <v>82.92661668564773</v>
      </c>
      <c r="R233" s="255">
        <v>0</v>
      </c>
      <c r="S233" s="256">
        <v>0</v>
      </c>
      <c r="T233" s="257">
        <v>0</v>
      </c>
      <c r="U233" s="255">
        <v>1.1999268972612295E-2</v>
      </c>
      <c r="V233" s="256">
        <v>1.6265941837065492E-2</v>
      </c>
      <c r="W233" s="257">
        <v>8.6597808233396203E-2</v>
      </c>
      <c r="X233" s="255">
        <v>2.3933829282493109E-2</v>
      </c>
      <c r="Y233" s="256">
        <v>3.2444166051770244E-2</v>
      </c>
      <c r="Z233" s="257">
        <v>8.6130810753878892E-2</v>
      </c>
      <c r="AA233" s="255">
        <v>3.5908900621849989E-2</v>
      </c>
      <c r="AB233" s="256">
        <v>4.8677306115992282E-2</v>
      </c>
      <c r="AC233" s="257">
        <v>8.6423175761273355E-2</v>
      </c>
      <c r="AD233" s="255">
        <v>4.7915176603170559E-2</v>
      </c>
      <c r="AE233" s="256">
        <v>6.4952746498040878E-2</v>
      </c>
      <c r="AF233" s="257">
        <v>8.6648377280376832E-2</v>
      </c>
      <c r="AG233" s="255">
        <v>5.9942816691047791E-2</v>
      </c>
      <c r="AH233" s="256">
        <v>8.1257147587232931E-2</v>
      </c>
      <c r="AI233" s="257">
        <v>8.6802560406606777E-2</v>
      </c>
      <c r="AJ233" s="255">
        <v>7.1981536291824577E-2</v>
      </c>
      <c r="AK233" s="256">
        <v>9.7576567817409199E-2</v>
      </c>
      <c r="AL233" s="257">
        <v>8.6882520405468761E-2</v>
      </c>
      <c r="AM233" s="255">
        <v>8.4020658363793133E-2</v>
      </c>
      <c r="AN233" s="256">
        <v>0.11389653362857138</v>
      </c>
      <c r="AO233" s="257">
        <v>8.688542500933788E-2</v>
      </c>
      <c r="AP233" s="255">
        <v>9.6049172616370929E-2</v>
      </c>
      <c r="AQ233" s="256">
        <v>0.13020211971596693</v>
      </c>
      <c r="AR233" s="257">
        <v>8.6808869186523085E-2</v>
      </c>
      <c r="AS233" s="255">
        <v>0.10805580161495275</v>
      </c>
      <c r="AT233" s="256">
        <v>0.14647803864035439</v>
      </c>
      <c r="AU233" s="257">
        <v>8.6650924979004396E-2</v>
      </c>
      <c r="AV233" s="255">
        <v>0.12002907285236358</v>
      </c>
      <c r="AW233" s="256">
        <v>0.16270873852646039</v>
      </c>
      <c r="AX233" s="257">
        <v>8.6410184562936074E-2</v>
      </c>
      <c r="AY233" s="243">
        <v>0</v>
      </c>
      <c r="AZ233" s="244">
        <v>0</v>
      </c>
      <c r="BA233" s="244">
        <v>0</v>
      </c>
      <c r="BB233" s="244">
        <v>0</v>
      </c>
      <c r="BC233" s="244">
        <v>0</v>
      </c>
      <c r="BD233" s="244">
        <v>0</v>
      </c>
      <c r="BE233" s="244">
        <v>0</v>
      </c>
      <c r="BF233" s="244">
        <v>0</v>
      </c>
      <c r="BG233" s="244">
        <v>0</v>
      </c>
      <c r="BH233" s="245">
        <v>0</v>
      </c>
      <c r="BK233">
        <v>175</v>
      </c>
      <c r="BL233" s="281">
        <v>0.12562814070351891</v>
      </c>
      <c r="BM233" s="281">
        <v>2241.7085427135912</v>
      </c>
      <c r="BN233" s="282">
        <v>4572.422110552794</v>
      </c>
      <c r="BO233" s="282">
        <v>129.66331658291614</v>
      </c>
      <c r="BP233" s="282">
        <v>0</v>
      </c>
      <c r="BQ233" s="283">
        <v>0</v>
      </c>
      <c r="BR233" s="284"/>
      <c r="BS233" s="147"/>
      <c r="BT233" s="285">
        <v>0.76120912551426478</v>
      </c>
      <c r="BU233" s="288">
        <v>2.6475186852775286E-2</v>
      </c>
      <c r="BV233" s="287">
        <v>0.81607078218211071</v>
      </c>
      <c r="BW233" s="288">
        <v>0</v>
      </c>
      <c r="BX233" s="286">
        <v>98.992540917420939</v>
      </c>
      <c r="BY233" s="287">
        <v>1.0074590825790619</v>
      </c>
      <c r="BZ233" s="288">
        <v>0</v>
      </c>
      <c r="CA233" s="286">
        <v>0.76012852645786522</v>
      </c>
      <c r="CB233" s="286">
        <v>1.1225950274197509</v>
      </c>
      <c r="CC233" s="287">
        <v>1.2168320546640434</v>
      </c>
      <c r="CD233" s="286">
        <v>0</v>
      </c>
      <c r="CE233" s="286">
        <v>15.637387773996917</v>
      </c>
      <c r="CF233" s="286">
        <v>21.44759412602447</v>
      </c>
      <c r="CG233" s="287">
        <v>22.587800089943432</v>
      </c>
      <c r="CH233" s="288">
        <v>0</v>
      </c>
      <c r="CI233" s="286">
        <v>1.3941179922342948</v>
      </c>
      <c r="CJ233" s="286">
        <v>245.87439005994878</v>
      </c>
      <c r="CK233" s="287"/>
      <c r="CL233" s="288"/>
      <c r="CM233" s="286"/>
      <c r="CN233" s="287"/>
      <c r="CO233" s="289"/>
      <c r="CP233" s="290"/>
      <c r="CQ233" s="289"/>
      <c r="CR233" s="290"/>
      <c r="CS233" s="284"/>
      <c r="CT233" s="147"/>
      <c r="CU233" s="291"/>
      <c r="CV233" s="292"/>
    </row>
    <row r="234" spans="2:100">
      <c r="B234">
        <v>176</v>
      </c>
      <c r="C234" s="243">
        <v>0.76442408287755148</v>
      </c>
      <c r="D234" s="592">
        <v>0.12320216526966821</v>
      </c>
      <c r="E234" s="245">
        <v>5.7178498737719963E-3</v>
      </c>
      <c r="F234" s="243">
        <v>7.1096402195778303E-3</v>
      </c>
      <c r="G234" s="245">
        <v>9.6373729575732741E-3</v>
      </c>
      <c r="H234" s="243">
        <v>0.11987431924829951</v>
      </c>
      <c r="I234" s="245">
        <v>0.16249395003839831</v>
      </c>
      <c r="J234" s="242">
        <v>8.6346563931023065E-2</v>
      </c>
      <c r="K234" s="242">
        <v>26.353312961467914</v>
      </c>
      <c r="L234" s="242">
        <v>5.0251256281407036E-3</v>
      </c>
      <c r="M234" s="243">
        <v>87.90756046390797</v>
      </c>
      <c r="N234" s="592">
        <v>28.666708035563435</v>
      </c>
      <c r="O234" s="245">
        <v>0.37433872540243701</v>
      </c>
      <c r="P234" s="245">
        <v>1.6588513145426016</v>
      </c>
      <c r="Q234" s="254">
        <v>82.823964210579447</v>
      </c>
      <c r="R234" s="255">
        <v>0</v>
      </c>
      <c r="S234" s="256">
        <v>0</v>
      </c>
      <c r="T234" s="257">
        <v>0</v>
      </c>
      <c r="U234" s="255">
        <v>1.1979367092157345E-2</v>
      </c>
      <c r="V234" s="256">
        <v>1.623846283316651E-2</v>
      </c>
      <c r="W234" s="257">
        <v>8.645151350703327E-2</v>
      </c>
      <c r="X234" s="255">
        <v>2.3893591319146919E-2</v>
      </c>
      <c r="Y234" s="256">
        <v>3.2388622170268909E-2</v>
      </c>
      <c r="Z234" s="257">
        <v>8.5981396910337154E-2</v>
      </c>
      <c r="AA234" s="255">
        <v>3.5849348496928717E-2</v>
      </c>
      <c r="AB234" s="256">
        <v>4.8595080915562312E-2</v>
      </c>
      <c r="AC234" s="257">
        <v>8.6281127808370287E-2</v>
      </c>
      <c r="AD234" s="255">
        <v>4.7837473495138325E-2</v>
      </c>
      <c r="AE234" s="256">
        <v>6.4845415405288973E-2</v>
      </c>
      <c r="AF234" s="257">
        <v>8.6514716698616448E-2</v>
      </c>
      <c r="AG234" s="255">
        <v>5.984826497817243E-2</v>
      </c>
      <c r="AH234" s="256">
        <v>8.1126475130209583E-2</v>
      </c>
      <c r="AI234" s="257">
        <v>8.6678293948055984E-2</v>
      </c>
      <c r="AJ234" s="255">
        <v>7.1871574005447081E-2</v>
      </c>
      <c r="AK234" s="256">
        <v>9.7424502836439122E-2</v>
      </c>
      <c r="AL234" s="257">
        <v>8.676862932526426E-2</v>
      </c>
      <c r="AM234" s="255">
        <v>8.3896853534909013E-2</v>
      </c>
      <c r="AN234" s="256">
        <v>0.11372520162923649</v>
      </c>
      <c r="AO234" s="257">
        <v>8.6782849850868787E-2</v>
      </c>
      <c r="AP234" s="255">
        <v>9.5913215488048598E-2</v>
      </c>
      <c r="AQ234" s="256">
        <v>0.13001381232668136</v>
      </c>
      <c r="AR234" s="257">
        <v>8.6718494366647372E-2</v>
      </c>
      <c r="AS234" s="255">
        <v>0.10790949475286708</v>
      </c>
      <c r="AT234" s="256">
        <v>0.14627520021799773</v>
      </c>
      <c r="AU234" s="257">
        <v>8.6573563604672055E-2</v>
      </c>
      <c r="AV234" s="255">
        <v>0.11987431924829951</v>
      </c>
      <c r="AW234" s="256">
        <v>0.16249395003839831</v>
      </c>
      <c r="AX234" s="257">
        <v>8.6346563931023065E-2</v>
      </c>
      <c r="AY234" s="243">
        <v>0</v>
      </c>
      <c r="AZ234" s="244">
        <v>0</v>
      </c>
      <c r="BA234" s="244">
        <v>0</v>
      </c>
      <c r="BB234" s="244">
        <v>0</v>
      </c>
      <c r="BC234" s="244">
        <v>0</v>
      </c>
      <c r="BD234" s="244">
        <v>0</v>
      </c>
      <c r="BE234" s="244">
        <v>0</v>
      </c>
      <c r="BF234" s="244">
        <v>0</v>
      </c>
      <c r="BG234" s="244">
        <v>0</v>
      </c>
      <c r="BH234" s="245">
        <v>0</v>
      </c>
      <c r="BK234">
        <v>176</v>
      </c>
      <c r="BL234" s="281">
        <v>0.12060301507537818</v>
      </c>
      <c r="BM234" s="281">
        <v>2152.0402010050484</v>
      </c>
      <c r="BN234" s="282">
        <v>4540.0452261306837</v>
      </c>
      <c r="BO234" s="282">
        <v>129.35678391959956</v>
      </c>
      <c r="BP234" s="282">
        <v>0</v>
      </c>
      <c r="BQ234" s="283">
        <v>0</v>
      </c>
      <c r="BR234" s="284"/>
      <c r="BS234" s="147"/>
      <c r="BT234" s="285">
        <v>0.75870623300378071</v>
      </c>
      <c r="BU234" s="288">
        <v>2.6390874508973872E-2</v>
      </c>
      <c r="BV234" s="287">
        <v>0.8162987895933953</v>
      </c>
      <c r="BW234" s="288">
        <v>0</v>
      </c>
      <c r="BX234" s="286">
        <v>98.982265561457012</v>
      </c>
      <c r="BY234" s="287">
        <v>1.0177344385429818</v>
      </c>
      <c r="BZ234" s="288">
        <v>0</v>
      </c>
      <c r="CA234" s="286">
        <v>0.75997629308427905</v>
      </c>
      <c r="CB234" s="286">
        <v>1.1226832660194579</v>
      </c>
      <c r="CC234" s="287">
        <v>1.2167945539194358</v>
      </c>
      <c r="CD234" s="286">
        <v>0</v>
      </c>
      <c r="CE234" s="286">
        <v>15.636028417460201</v>
      </c>
      <c r="CF234" s="286">
        <v>21.45040248609029</v>
      </c>
      <c r="CG234" s="287">
        <v>22.589028537787414</v>
      </c>
      <c r="CH234" s="288">
        <v>0</v>
      </c>
      <c r="CI234" s="286">
        <v>1.389590189725898</v>
      </c>
      <c r="CJ234" s="286">
        <v>246.75191856121819</v>
      </c>
      <c r="CK234" s="287"/>
      <c r="CL234" s="288"/>
      <c r="CM234" s="286"/>
      <c r="CN234" s="287"/>
      <c r="CO234" s="289"/>
      <c r="CP234" s="290"/>
      <c r="CQ234" s="289"/>
      <c r="CR234" s="290"/>
      <c r="CS234" s="284"/>
      <c r="CT234" s="147"/>
      <c r="CU234" s="291"/>
      <c r="CV234" s="292"/>
    </row>
    <row r="235" spans="2:100">
      <c r="B235">
        <v>177</v>
      </c>
      <c r="C235" s="243">
        <v>0.76190590041433359</v>
      </c>
      <c r="D235" s="592">
        <v>0.12329202208277056</v>
      </c>
      <c r="E235" s="245">
        <v>5.6947084454745944E-3</v>
      </c>
      <c r="F235" s="243">
        <v>7.0996347853812041E-3</v>
      </c>
      <c r="G235" s="245">
        <v>9.6235135328815238E-3</v>
      </c>
      <c r="H235" s="243">
        <v>0.1197056194862776</v>
      </c>
      <c r="I235" s="245">
        <v>0.1622602688606192</v>
      </c>
      <c r="J235" s="242">
        <v>8.6271843504315604E-2</v>
      </c>
      <c r="K235" s="242">
        <v>26.342321009549508</v>
      </c>
      <c r="L235" s="242">
        <v>5.0251256281407036E-3</v>
      </c>
      <c r="M235" s="243">
        <v>87.995765415855459</v>
      </c>
      <c r="N235" s="592">
        <v>28.757184347602756</v>
      </c>
      <c r="O235" s="245">
        <v>0.37383164593466223</v>
      </c>
      <c r="P235" s="245">
        <v>1.658159408598332</v>
      </c>
      <c r="Q235" s="254">
        <v>82.712276701323987</v>
      </c>
      <c r="R235" s="255">
        <v>0</v>
      </c>
      <c r="S235" s="256">
        <v>0</v>
      </c>
      <c r="T235" s="257">
        <v>0</v>
      </c>
      <c r="U235" s="255">
        <v>1.1958258195204251E-2</v>
      </c>
      <c r="V235" s="256">
        <v>1.620934922007547E-2</v>
      </c>
      <c r="W235" s="257">
        <v>8.6296516328960612E-2</v>
      </c>
      <c r="X235" s="255">
        <v>2.3850896062777321E-2</v>
      </c>
      <c r="Y235" s="256">
        <v>3.2329750468870627E-2</v>
      </c>
      <c r="Z235" s="257">
        <v>8.5822968628074967E-2</v>
      </c>
      <c r="AA235" s="255">
        <v>3.5786039184025405E-2</v>
      </c>
      <c r="AB235" s="256">
        <v>4.8507767341050015E-2</v>
      </c>
      <c r="AC235" s="257">
        <v>8.6129706888610547E-2</v>
      </c>
      <c r="AD235" s="255">
        <v>4.7754666289469026E-2</v>
      </c>
      <c r="AE235" s="256">
        <v>6.4731171558463557E-2</v>
      </c>
      <c r="AF235" s="257">
        <v>8.6371343349516502E-2</v>
      </c>
      <c r="AG235" s="255">
        <v>5.9747218490461475E-2</v>
      </c>
      <c r="AH235" s="256">
        <v>8.0987006103316425E-2</v>
      </c>
      <c r="AI235" s="257">
        <v>8.6543998293488952E-2</v>
      </c>
      <c r="AJ235" s="255">
        <v>7.175368639692864E-2</v>
      </c>
      <c r="AK235" s="256">
        <v>9.7261703305757174E-2</v>
      </c>
      <c r="AL235" s="257">
        <v>8.6644420686543641E-2</v>
      </c>
      <c r="AM235" s="255">
        <v>8.3763657510657841E-2</v>
      </c>
      <c r="AN235" s="256">
        <v>0.11354114908520418</v>
      </c>
      <c r="AO235" s="257">
        <v>8.6669701507358643E-2</v>
      </c>
      <c r="AP235" s="255">
        <v>9.5766371136580278E-2</v>
      </c>
      <c r="AQ235" s="256">
        <v>0.12981075738226872</v>
      </c>
      <c r="AR235" s="257">
        <v>8.6617328000715782E-2</v>
      </c>
      <c r="AS235" s="255">
        <v>0.10775078024724981</v>
      </c>
      <c r="AT235" s="256">
        <v>0.146055554015695</v>
      </c>
      <c r="AU235" s="257">
        <v>8.6485233855094309E-2</v>
      </c>
      <c r="AV235" s="255">
        <v>0.1197056194862776</v>
      </c>
      <c r="AW235" s="256">
        <v>0.1622602688606192</v>
      </c>
      <c r="AX235" s="257">
        <v>8.6271843504315604E-2</v>
      </c>
      <c r="AY235" s="243">
        <v>0</v>
      </c>
      <c r="AZ235" s="244">
        <v>0</v>
      </c>
      <c r="BA235" s="244">
        <v>0</v>
      </c>
      <c r="BB235" s="244">
        <v>0</v>
      </c>
      <c r="BC235" s="244">
        <v>0</v>
      </c>
      <c r="BD235" s="244">
        <v>0</v>
      </c>
      <c r="BE235" s="244">
        <v>0</v>
      </c>
      <c r="BF235" s="244">
        <v>0</v>
      </c>
      <c r="BG235" s="244">
        <v>0</v>
      </c>
      <c r="BH235" s="245">
        <v>0</v>
      </c>
      <c r="BK235">
        <v>177</v>
      </c>
      <c r="BL235" s="281">
        <v>0.11557788944723749</v>
      </c>
      <c r="BM235" s="281">
        <v>2062.3718592965056</v>
      </c>
      <c r="BN235" s="282">
        <v>4507.6683417085733</v>
      </c>
      <c r="BO235" s="282">
        <v>129.05025125628299</v>
      </c>
      <c r="BP235" s="282">
        <v>0</v>
      </c>
      <c r="BQ235" s="283">
        <v>0</v>
      </c>
      <c r="BR235" s="284"/>
      <c r="BS235" s="147"/>
      <c r="BT235" s="285">
        <v>0.75621119196886022</v>
      </c>
      <c r="BU235" s="288">
        <v>2.6306807652877486E-2</v>
      </c>
      <c r="BV235" s="287">
        <v>0.81652624370748705</v>
      </c>
      <c r="BW235" s="288">
        <v>0</v>
      </c>
      <c r="BX235" s="286">
        <v>98.972028354396727</v>
      </c>
      <c r="BY235" s="287">
        <v>1.0279716456032642</v>
      </c>
      <c r="BZ235" s="288">
        <v>0</v>
      </c>
      <c r="CA235" s="286">
        <v>0.75982375294686055</v>
      </c>
      <c r="CB235" s="286">
        <v>1.1227711668889413</v>
      </c>
      <c r="CC235" s="287">
        <v>1.216757040547257</v>
      </c>
      <c r="CD235" s="286">
        <v>0</v>
      </c>
      <c r="CE235" s="286">
        <v>15.634663403334477</v>
      </c>
      <c r="CF235" s="286">
        <v>21.453204899369542</v>
      </c>
      <c r="CG235" s="287">
        <v>22.590257044352661</v>
      </c>
      <c r="CH235" s="288">
        <v>0</v>
      </c>
      <c r="CI235" s="286">
        <v>1.3850750780190388</v>
      </c>
      <c r="CJ235" s="286">
        <v>247.63426942439924</v>
      </c>
      <c r="CK235" s="287"/>
      <c r="CL235" s="288"/>
      <c r="CM235" s="286"/>
      <c r="CN235" s="287"/>
      <c r="CO235" s="289"/>
      <c r="CP235" s="290"/>
      <c r="CQ235" s="289"/>
      <c r="CR235" s="290"/>
      <c r="CS235" s="284"/>
      <c r="CT235" s="147"/>
      <c r="CU235" s="291"/>
      <c r="CV235" s="292"/>
    </row>
    <row r="236" spans="2:100">
      <c r="B236">
        <v>178</v>
      </c>
      <c r="C236" s="243">
        <v>0.75939539720156368</v>
      </c>
      <c r="D236" s="592">
        <v>0.12336475147518595</v>
      </c>
      <c r="E236" s="245">
        <v>5.6714275123521674E-3</v>
      </c>
      <c r="F236" s="243">
        <v>7.0888356845384016E-3</v>
      </c>
      <c r="G236" s="245">
        <v>9.6085790671195607E-3</v>
      </c>
      <c r="H236" s="243">
        <v>0.11952353785879102</v>
      </c>
      <c r="I236" s="245">
        <v>0.16200846161563057</v>
      </c>
      <c r="J236" s="242">
        <v>8.618638986943733E-2</v>
      </c>
      <c r="K236" s="242">
        <v>26.33036550828054</v>
      </c>
      <c r="L236" s="242">
        <v>5.0251256281407036E-3</v>
      </c>
      <c r="M236" s="243">
        <v>88.08753945029359</v>
      </c>
      <c r="N236" s="592">
        <v>28.849042126292019</v>
      </c>
      <c r="O236" s="245">
        <v>0.37333927262170874</v>
      </c>
      <c r="P236" s="245">
        <v>1.6574068505034527</v>
      </c>
      <c r="Q236" s="254">
        <v>82.591914955335213</v>
      </c>
      <c r="R236" s="255">
        <v>0</v>
      </c>
      <c r="S236" s="256">
        <v>0</v>
      </c>
      <c r="T236" s="257">
        <v>0</v>
      </c>
      <c r="U236" s="255">
        <v>1.1936000255100474E-2</v>
      </c>
      <c r="V236" s="256">
        <v>1.6178679729654394E-2</v>
      </c>
      <c r="W236" s="257">
        <v>8.6133235857611068E-2</v>
      </c>
      <c r="X236" s="255">
        <v>2.3805859927167675E-2</v>
      </c>
      <c r="Y236" s="256">
        <v>3.2267709049861891E-2</v>
      </c>
      <c r="Z236" s="257">
        <v>8.5655948465150539E-2</v>
      </c>
      <c r="AA236" s="255">
        <v>3.5719147829756964E-2</v>
      </c>
      <c r="AB236" s="256">
        <v>4.841560326767546E-2</v>
      </c>
      <c r="AC236" s="257">
        <v>8.5969337702959892E-2</v>
      </c>
      <c r="AD236" s="255">
        <v>4.7666988815882154E-2</v>
      </c>
      <c r="AE236" s="256">
        <v>6.4610332544156227E-2</v>
      </c>
      <c r="AF236" s="257">
        <v>8.6218681606294076E-2</v>
      </c>
      <c r="AG236" s="255">
        <v>5.9639969331210074E-2</v>
      </c>
      <c r="AH236" s="256">
        <v>8.0839137254855545E-2</v>
      </c>
      <c r="AI236" s="257">
        <v>8.6400094889796927E-2</v>
      </c>
      <c r="AJ236" s="255">
        <v>7.16282230619604E-2</v>
      </c>
      <c r="AK236" s="256">
        <v>9.7088644081463032E-2</v>
      </c>
      <c r="AL236" s="257">
        <v>8.6510310325300127E-2</v>
      </c>
      <c r="AM236" s="255">
        <v>8.362147622104138E-2</v>
      </c>
      <c r="AN236" s="256">
        <v>0.11334492739500619</v>
      </c>
      <c r="AO236" s="257">
        <v>8.6546387480993248E-2</v>
      </c>
      <c r="AP236" s="255">
        <v>9.5609100293320842E-2</v>
      </c>
      <c r="AQ236" s="256">
        <v>0.12959358074955257</v>
      </c>
      <c r="AR236" s="257">
        <v>8.6505766548455182E-2</v>
      </c>
      <c r="AS236" s="255">
        <v>0.1075801717327535</v>
      </c>
      <c r="AT236" s="256">
        <v>0.14581979779882187</v>
      </c>
      <c r="AU236" s="257">
        <v>8.6386318509029295E-2</v>
      </c>
      <c r="AV236" s="255">
        <v>0.11952353785879102</v>
      </c>
      <c r="AW236" s="256">
        <v>0.16200846161563057</v>
      </c>
      <c r="AX236" s="257">
        <v>8.618638986943733E-2</v>
      </c>
      <c r="AY236" s="243">
        <v>0</v>
      </c>
      <c r="AZ236" s="244">
        <v>0</v>
      </c>
      <c r="BA236" s="244">
        <v>0</v>
      </c>
      <c r="BB236" s="244">
        <v>0</v>
      </c>
      <c r="BC236" s="244">
        <v>0</v>
      </c>
      <c r="BD236" s="244">
        <v>0</v>
      </c>
      <c r="BE236" s="244">
        <v>0</v>
      </c>
      <c r="BF236" s="244">
        <v>0</v>
      </c>
      <c r="BG236" s="244">
        <v>0</v>
      </c>
      <c r="BH236" s="245">
        <v>0</v>
      </c>
      <c r="BK236">
        <v>178</v>
      </c>
      <c r="BL236" s="281">
        <v>0.11055276381909677</v>
      </c>
      <c r="BM236" s="281">
        <v>1972.7035175879628</v>
      </c>
      <c r="BN236" s="282">
        <v>4475.2914572864629</v>
      </c>
      <c r="BO236" s="282">
        <v>128.74371859296642</v>
      </c>
      <c r="BP236" s="282">
        <v>0</v>
      </c>
      <c r="BQ236" s="283">
        <v>0</v>
      </c>
      <c r="BR236" s="284"/>
      <c r="BS236" s="147"/>
      <c r="BT236" s="285">
        <v>0.75372396968921274</v>
      </c>
      <c r="BU236" s="288">
        <v>2.6222985370863938E-2</v>
      </c>
      <c r="BV236" s="287">
        <v>0.81675314201796401</v>
      </c>
      <c r="BW236" s="288">
        <v>0</v>
      </c>
      <c r="BX236" s="286">
        <v>98.961829102445648</v>
      </c>
      <c r="BY236" s="287">
        <v>1.0381708975543422</v>
      </c>
      <c r="BZ236" s="288">
        <v>0</v>
      </c>
      <c r="CA236" s="286">
        <v>0.75967090342666566</v>
      </c>
      <c r="CB236" s="286">
        <v>1.1228587280474558</v>
      </c>
      <c r="CC236" s="287">
        <v>1.2167195145124756</v>
      </c>
      <c r="CD236" s="286">
        <v>0</v>
      </c>
      <c r="CE236" s="286">
        <v>15.633292684253261</v>
      </c>
      <c r="CF236" s="286">
        <v>21.456001324985998</v>
      </c>
      <c r="CG236" s="287">
        <v>22.591485609345447</v>
      </c>
      <c r="CH236" s="288">
        <v>0</v>
      </c>
      <c r="CI236" s="286">
        <v>1.3805725778365014</v>
      </c>
      <c r="CJ236" s="286">
        <v>248.52146435137561</v>
      </c>
      <c r="CK236" s="287"/>
      <c r="CL236" s="288"/>
      <c r="CM236" s="286"/>
      <c r="CN236" s="287"/>
      <c r="CO236" s="289"/>
      <c r="CP236" s="290"/>
      <c r="CQ236" s="289"/>
      <c r="CR236" s="290"/>
      <c r="CS236" s="284"/>
      <c r="CT236" s="147"/>
      <c r="CU236" s="291"/>
      <c r="CV236" s="292"/>
    </row>
    <row r="237" spans="2:100">
      <c r="B237">
        <v>179</v>
      </c>
      <c r="C237" s="243">
        <v>0.75689255321384241</v>
      </c>
      <c r="D237" s="592">
        <v>0.12342087133017995</v>
      </c>
      <c r="E237" s="245">
        <v>5.6480198839427009E-3</v>
      </c>
      <c r="F237" s="243">
        <v>7.0772753165909575E-3</v>
      </c>
      <c r="G237" s="245">
        <v>9.5926135746848308E-3</v>
      </c>
      <c r="H237" s="243">
        <v>0.11932862064847374</v>
      </c>
      <c r="I237" s="245">
        <v>0.16173927042198802</v>
      </c>
      <c r="J237" s="242">
        <v>8.609056096576953E-2</v>
      </c>
      <c r="K237" s="242">
        <v>26.317490218232646</v>
      </c>
      <c r="L237" s="242">
        <v>5.0251256281407036E-3</v>
      </c>
      <c r="M237" s="243">
        <v>88.182753839571305</v>
      </c>
      <c r="N237" s="592">
        <v>28.942247165206858</v>
      </c>
      <c r="O237" s="245">
        <v>0.37286091336638483</v>
      </c>
      <c r="P237" s="245">
        <v>1.6565963948369375</v>
      </c>
      <c r="Q237" s="254">
        <v>82.463227965911869</v>
      </c>
      <c r="R237" s="255">
        <v>0</v>
      </c>
      <c r="S237" s="256">
        <v>0</v>
      </c>
      <c r="T237" s="257">
        <v>0</v>
      </c>
      <c r="U237" s="255">
        <v>1.1912648940617904E-2</v>
      </c>
      <c r="V237" s="256">
        <v>1.6146529960525881E-2</v>
      </c>
      <c r="W237" s="257">
        <v>8.5962074570448785E-2</v>
      </c>
      <c r="X237" s="255">
        <v>2.3758594801522686E-2</v>
      </c>
      <c r="Y237" s="256">
        <v>3.2202649863606429E-2</v>
      </c>
      <c r="Z237" s="257">
        <v>8.5480742908535426E-2</v>
      </c>
      <c r="AA237" s="255">
        <v>3.5648842928103545E-2</v>
      </c>
      <c r="AB237" s="256">
        <v>4.8318817524630971E-2</v>
      </c>
      <c r="AC237" s="257">
        <v>8.5800429544536386E-2</v>
      </c>
      <c r="AD237" s="255">
        <v>4.7574666229436097E-2</v>
      </c>
      <c r="AE237" s="256">
        <v>6.4483204152557205E-2</v>
      </c>
      <c r="AF237" s="257">
        <v>8.6057141199526468E-2</v>
      </c>
      <c r="AG237" s="255">
        <v>5.952679902580512E-2</v>
      </c>
      <c r="AH237" s="256">
        <v>8.0683250947417795E-2</v>
      </c>
      <c r="AI237" s="257">
        <v>8.6246991398714737E-2</v>
      </c>
      <c r="AJ237" s="255">
        <v>7.1495521244835478E-2</v>
      </c>
      <c r="AK237" s="256">
        <v>9.690578322064379E-2</v>
      </c>
      <c r="AL237" s="257">
        <v>8.6366701229416767E-2</v>
      </c>
      <c r="AM237" s="255">
        <v>8.3470701609762818E-2</v>
      </c>
      <c r="AN237" s="256">
        <v>0.11313706893290211</v>
      </c>
      <c r="AO237" s="257">
        <v>8.6413303426959159E-2</v>
      </c>
      <c r="AP237" s="255">
        <v>9.5441848213364933E-2</v>
      </c>
      <c r="AQ237" s="256">
        <v>0.1293628872425352</v>
      </c>
      <c r="AR237" s="257">
        <v>8.638419566985428E-2</v>
      </c>
      <c r="AS237" s="255">
        <v>0.10739816602635326</v>
      </c>
      <c r="AT237" s="256">
        <v>0.14556860645304118</v>
      </c>
      <c r="AU237" s="257">
        <v>8.6277190619097999E-2</v>
      </c>
      <c r="AV237" s="255">
        <v>0.11932862064847374</v>
      </c>
      <c r="AW237" s="256">
        <v>0.16173927042198802</v>
      </c>
      <c r="AX237" s="257">
        <v>8.609056096576953E-2</v>
      </c>
      <c r="AY237" s="243">
        <v>0</v>
      </c>
      <c r="AZ237" s="244">
        <v>0</v>
      </c>
      <c r="BA237" s="244">
        <v>0</v>
      </c>
      <c r="BB237" s="244">
        <v>0</v>
      </c>
      <c r="BC237" s="244">
        <v>0</v>
      </c>
      <c r="BD237" s="244">
        <v>0</v>
      </c>
      <c r="BE237" s="244">
        <v>0</v>
      </c>
      <c r="BF237" s="244">
        <v>0</v>
      </c>
      <c r="BG237" s="244">
        <v>0</v>
      </c>
      <c r="BH237" s="245">
        <v>0</v>
      </c>
      <c r="BK237">
        <v>179</v>
      </c>
      <c r="BL237" s="281">
        <v>0.10552763819095606</v>
      </c>
      <c r="BM237" s="281">
        <v>1883.03517587942</v>
      </c>
      <c r="BN237" s="282">
        <v>4442.9145728643525</v>
      </c>
      <c r="BO237" s="282">
        <v>128.43718592964984</v>
      </c>
      <c r="BP237" s="282">
        <v>0</v>
      </c>
      <c r="BQ237" s="283">
        <v>0</v>
      </c>
      <c r="BR237" s="284"/>
      <c r="BS237" s="147"/>
      <c r="BT237" s="285">
        <v>0.75124453332990093</v>
      </c>
      <c r="BU237" s="288">
        <v>2.6139406743799352E-2</v>
      </c>
      <c r="BV237" s="287">
        <v>0.81697948198196446</v>
      </c>
      <c r="BW237" s="288">
        <v>0</v>
      </c>
      <c r="BX237" s="286">
        <v>98.951667611524528</v>
      </c>
      <c r="BY237" s="287">
        <v>1.0483323884754803</v>
      </c>
      <c r="BZ237" s="288">
        <v>0</v>
      </c>
      <c r="CA237" s="286">
        <v>0.75951774188250254</v>
      </c>
      <c r="CB237" s="286">
        <v>1.1229459474888206</v>
      </c>
      <c r="CC237" s="287">
        <v>1.2166819757799554</v>
      </c>
      <c r="CD237" s="286">
        <v>0</v>
      </c>
      <c r="CE237" s="286">
        <v>15.6319162124403</v>
      </c>
      <c r="CF237" s="286">
        <v>21.458791721556452</v>
      </c>
      <c r="CG237" s="287">
        <v>22.592714232470659</v>
      </c>
      <c r="CH237" s="288">
        <v>0</v>
      </c>
      <c r="CI237" s="286">
        <v>1.3760826104226487</v>
      </c>
      <c r="CJ237" s="286">
        <v>249.41352506342355</v>
      </c>
      <c r="CK237" s="287"/>
      <c r="CL237" s="288"/>
      <c r="CM237" s="286"/>
      <c r="CN237" s="287"/>
      <c r="CO237" s="289"/>
      <c r="CP237" s="290"/>
      <c r="CQ237" s="289"/>
      <c r="CR237" s="290"/>
      <c r="CS237" s="284"/>
      <c r="CT237" s="147"/>
      <c r="CU237" s="291"/>
      <c r="CV237" s="292"/>
    </row>
    <row r="238" spans="2:100">
      <c r="B238">
        <v>180</v>
      </c>
      <c r="C238" s="243">
        <v>0.75439734785317847</v>
      </c>
      <c r="D238" s="592">
        <v>0.12346088993817152</v>
      </c>
      <c r="E238" s="245">
        <v>5.6244979164368214E-3</v>
      </c>
      <c r="F238" s="243">
        <v>7.0649850393677948E-3</v>
      </c>
      <c r="G238" s="245">
        <v>9.5756596527166327E-3</v>
      </c>
      <c r="H238" s="243">
        <v>0.11912139657383737</v>
      </c>
      <c r="I238" s="245">
        <v>0.16145341350212167</v>
      </c>
      <c r="J238" s="242">
        <v>8.5984706238683067E-2</v>
      </c>
      <c r="K238" s="242">
        <v>26.303737547729853</v>
      </c>
      <c r="L238" s="242">
        <v>5.0251256281407036E-3</v>
      </c>
      <c r="M238" s="243">
        <v>88.281284278853519</v>
      </c>
      <c r="N238" s="592">
        <v>29.036766372098246</v>
      </c>
      <c r="O238" s="245">
        <v>0.37239589906778109</v>
      </c>
      <c r="P238" s="245">
        <v>1.6557307110583785</v>
      </c>
      <c r="Q238" s="254">
        <v>82.326553253132715</v>
      </c>
      <c r="R238" s="255">
        <v>0</v>
      </c>
      <c r="S238" s="256">
        <v>0</v>
      </c>
      <c r="T238" s="257">
        <v>0</v>
      </c>
      <c r="U238" s="255">
        <v>1.1888257690634617E-2</v>
      </c>
      <c r="V238" s="256">
        <v>1.6112972479768312E-2</v>
      </c>
      <c r="W238" s="257">
        <v>8.5783418805381553E-2</v>
      </c>
      <c r="X238" s="255">
        <v>2.3709208192436562E-2</v>
      </c>
      <c r="Y238" s="256">
        <v>3.2134718901894399E-2</v>
      </c>
      <c r="Z238" s="257">
        <v>8.5297742862068635E-2</v>
      </c>
      <c r="AA238" s="255">
        <v>3.5575286522227689E-2</v>
      </c>
      <c r="AB238" s="256">
        <v>4.8217630169987299E-2</v>
      </c>
      <c r="AC238" s="257">
        <v>8.5623376732810119E-2</v>
      </c>
      <c r="AD238" s="255">
        <v>4.7477915264904753E-2</v>
      </c>
      <c r="AE238" s="256">
        <v>6.4350080724010994E-2</v>
      </c>
      <c r="AF238" s="257">
        <v>8.5887117598603596E-2</v>
      </c>
      <c r="AG238" s="255">
        <v>5.9407978821681695E-2</v>
      </c>
      <c r="AH238" s="256">
        <v>8.0519715566606032E-2</v>
      </c>
      <c r="AI238" s="257">
        <v>8.6085082027792567E-2</v>
      </c>
      <c r="AJ238" s="255">
        <v>7.1355906177498124E-2</v>
      </c>
      <c r="AK238" s="256">
        <v>9.6713562443445075E-2</v>
      </c>
      <c r="AL238" s="257">
        <v>8.6213983822684373E-2</v>
      </c>
      <c r="AM238" s="255">
        <v>8.3311712006537336E-2</v>
      </c>
      <c r="AN238" s="256">
        <v>0.11291808755636586</v>
      </c>
      <c r="AO238" s="257">
        <v>8.6270833395229243E-2</v>
      </c>
      <c r="AP238" s="255">
        <v>9.5265045076091709E-2</v>
      </c>
      <c r="AQ238" s="256">
        <v>0.12911926116845573</v>
      </c>
      <c r="AR238" s="257">
        <v>8.6252990430514681E-2</v>
      </c>
      <c r="AS238" s="255">
        <v>0.10720524355202687</v>
      </c>
      <c r="AT238" s="256">
        <v>0.14530263256334719</v>
      </c>
      <c r="AU238" s="257">
        <v>8.6158213687395901E-2</v>
      </c>
      <c r="AV238" s="255">
        <v>0.11912139657383737</v>
      </c>
      <c r="AW238" s="256">
        <v>0.16145341350212167</v>
      </c>
      <c r="AX238" s="257">
        <v>8.5984706238683067E-2</v>
      </c>
      <c r="AY238" s="243">
        <v>0</v>
      </c>
      <c r="AZ238" s="244">
        <v>0</v>
      </c>
      <c r="BA238" s="244">
        <v>0</v>
      </c>
      <c r="BB238" s="244">
        <v>0</v>
      </c>
      <c r="BC238" s="244">
        <v>0</v>
      </c>
      <c r="BD238" s="244">
        <v>0</v>
      </c>
      <c r="BE238" s="244">
        <v>0</v>
      </c>
      <c r="BF238" s="244">
        <v>0</v>
      </c>
      <c r="BG238" s="244">
        <v>0</v>
      </c>
      <c r="BH238" s="245">
        <v>0</v>
      </c>
      <c r="BK238">
        <v>180</v>
      </c>
      <c r="BL238" s="281">
        <v>0.10050251256281535</v>
      </c>
      <c r="BM238" s="281">
        <v>1793.3668341708772</v>
      </c>
      <c r="BN238" s="282">
        <v>4410.5376884422421</v>
      </c>
      <c r="BO238" s="282">
        <v>128.13065326633327</v>
      </c>
      <c r="BP238" s="282">
        <v>0</v>
      </c>
      <c r="BQ238" s="283">
        <v>0</v>
      </c>
      <c r="BR238" s="284"/>
      <c r="BS238" s="147"/>
      <c r="BT238" s="285">
        <v>0.74877284993674287</v>
      </c>
      <c r="BU238" s="288">
        <v>2.6056070846888241E-2</v>
      </c>
      <c r="BV238" s="287">
        <v>0.81720526101939095</v>
      </c>
      <c r="BW238" s="288">
        <v>0</v>
      </c>
      <c r="BX238" s="286">
        <v>98.941543687246792</v>
      </c>
      <c r="BY238" s="287">
        <v>1.0584563127531967</v>
      </c>
      <c r="BZ238" s="288">
        <v>0</v>
      </c>
      <c r="CA238" s="286">
        <v>0.75936426565063897</v>
      </c>
      <c r="CB238" s="286">
        <v>1.1230328231809472</v>
      </c>
      <c r="CC238" s="287">
        <v>1.2166444243144223</v>
      </c>
      <c r="CD238" s="286">
        <v>0</v>
      </c>
      <c r="CE238" s="286">
        <v>15.630533939704176</v>
      </c>
      <c r="CF238" s="286">
        <v>21.461576047181641</v>
      </c>
      <c r="CG238" s="287">
        <v>22.593942913431448</v>
      </c>
      <c r="CH238" s="288">
        <v>0</v>
      </c>
      <c r="CI238" s="286">
        <v>1.3716050975343232</v>
      </c>
      <c r="CJ238" s="286">
        <v>250.31047329835121</v>
      </c>
      <c r="CK238" s="287"/>
      <c r="CL238" s="288"/>
      <c r="CM238" s="286"/>
      <c r="CN238" s="287"/>
      <c r="CO238" s="289"/>
      <c r="CP238" s="290"/>
      <c r="CQ238" s="289"/>
      <c r="CR238" s="290"/>
      <c r="CS238" s="284"/>
      <c r="CT238" s="147"/>
      <c r="CU238" s="291"/>
      <c r="CV238" s="292"/>
    </row>
    <row r="239" spans="2:100">
      <c r="B239">
        <v>181</v>
      </c>
      <c r="C239" s="243">
        <v>0.75190975994396203</v>
      </c>
      <c r="D239" s="592">
        <v>0.12348530596497324</v>
      </c>
      <c r="E239" s="245">
        <v>5.6008735447979907E-3</v>
      </c>
      <c r="F239" s="243">
        <v>7.0519951957224774E-3</v>
      </c>
      <c r="G239" s="245">
        <v>9.5577585175477802E-3</v>
      </c>
      <c r="H239" s="243">
        <v>0.11890237724008314</v>
      </c>
      <c r="I239" s="245">
        <v>0.16115158579694061</v>
      </c>
      <c r="J239" s="242">
        <v>8.5869166791893742E-2</v>
      </c>
      <c r="K239" s="242">
        <v>26.289148572782647</v>
      </c>
      <c r="L239" s="242">
        <v>5.0251256281407036E-3</v>
      </c>
      <c r="M239" s="243">
        <v>88.383010758039859</v>
      </c>
      <c r="N239" s="592">
        <v>29.132567742755711</v>
      </c>
      <c r="O239" s="245">
        <v>0.37194358299850727</v>
      </c>
      <c r="P239" s="245">
        <v>1.6548123847627669</v>
      </c>
      <c r="Q239" s="254">
        <v>82.182217193782307</v>
      </c>
      <c r="R239" s="255">
        <v>0</v>
      </c>
      <c r="S239" s="256">
        <v>0</v>
      </c>
      <c r="T239" s="257">
        <v>0</v>
      </c>
      <c r="U239" s="255">
        <v>1.1862877789004465E-2</v>
      </c>
      <c r="V239" s="256">
        <v>1.6078076924848181E-2</v>
      </c>
      <c r="W239" s="257">
        <v>8.5597639303435627E-2</v>
      </c>
      <c r="X239" s="255">
        <v>2.3657803366488889E-2</v>
      </c>
      <c r="Y239" s="256">
        <v>3.2064056392109339E-2</v>
      </c>
      <c r="Z239" s="257">
        <v>8.5107324137502216E-2</v>
      </c>
      <c r="AA239" s="255">
        <v>3.549863440757911E-2</v>
      </c>
      <c r="AB239" s="256">
        <v>4.8112252767295575E-2</v>
      </c>
      <c r="AC239" s="257">
        <v>8.5438559052476076E-2</v>
      </c>
      <c r="AD239" s="255">
        <v>4.7376944493237608E-2</v>
      </c>
      <c r="AE239" s="256">
        <v>6.4211245498337136E-2</v>
      </c>
      <c r="AF239" s="257">
        <v>8.5708992398874237E-2</v>
      </c>
      <c r="AG239" s="255">
        <v>5.9283769991217386E-2</v>
      </c>
      <c r="AH239" s="256">
        <v>8.0348885933671024E-2</v>
      </c>
      <c r="AI239" s="257">
        <v>8.5914747867477964E-2</v>
      </c>
      <c r="AJ239" s="255">
        <v>7.120969142235388E-2</v>
      </c>
      <c r="AK239" s="256">
        <v>9.6512407600161998E-2</v>
      </c>
      <c r="AL239" s="257">
        <v>8.6052536254712902E-2</v>
      </c>
      <c r="AM239" s="255">
        <v>8.3144872503867998E-2</v>
      </c>
      <c r="AN239" s="256">
        <v>0.11268847911953998</v>
      </c>
      <c r="AO239" s="257">
        <v>8.6119350077395448E-2</v>
      </c>
      <c r="AP239" s="255">
        <v>9.5079106390677848E-2</v>
      </c>
      <c r="AQ239" s="256">
        <v>0.12886326688049199</v>
      </c>
      <c r="AR239" s="257">
        <v>8.6112515510599077E-2</v>
      </c>
      <c r="AS239" s="255">
        <v>0.10700186877062828</v>
      </c>
      <c r="AT239" s="256">
        <v>0.1450225070000529</v>
      </c>
      <c r="AU239" s="257">
        <v>8.6029741842701277E-2</v>
      </c>
      <c r="AV239" s="255">
        <v>0.11890237724008314</v>
      </c>
      <c r="AW239" s="256">
        <v>0.16115158579694061</v>
      </c>
      <c r="AX239" s="257">
        <v>8.5869166791893742E-2</v>
      </c>
      <c r="AY239" s="243">
        <v>0</v>
      </c>
      <c r="AZ239" s="244">
        <v>0</v>
      </c>
      <c r="BA239" s="244">
        <v>0</v>
      </c>
      <c r="BB239" s="244">
        <v>0</v>
      </c>
      <c r="BC239" s="244">
        <v>0</v>
      </c>
      <c r="BD239" s="244">
        <v>0</v>
      </c>
      <c r="BE239" s="244">
        <v>0</v>
      </c>
      <c r="BF239" s="244">
        <v>0</v>
      </c>
      <c r="BG239" s="244">
        <v>0</v>
      </c>
      <c r="BH239" s="245">
        <v>0</v>
      </c>
      <c r="BK239">
        <v>181</v>
      </c>
      <c r="BL239" s="281">
        <v>9.5477386934674641E-2</v>
      </c>
      <c r="BM239" s="281">
        <v>1703.6984924623343</v>
      </c>
      <c r="BN239" s="282">
        <v>4378.1608040201318</v>
      </c>
      <c r="BO239" s="282">
        <v>127.82412060301668</v>
      </c>
      <c r="BP239" s="282">
        <v>0</v>
      </c>
      <c r="BQ239" s="283">
        <v>0</v>
      </c>
      <c r="BR239" s="284"/>
      <c r="BS239" s="147"/>
      <c r="BT239" s="285">
        <v>0.74630888639916526</v>
      </c>
      <c r="BU239" s="288">
        <v>2.5972976748429161E-2</v>
      </c>
      <c r="BV239" s="287">
        <v>0.81743047650514156</v>
      </c>
      <c r="BW239" s="288">
        <v>0</v>
      </c>
      <c r="BX239" s="286">
        <v>98.931457134750076</v>
      </c>
      <c r="BY239" s="287">
        <v>1.0685428652499163</v>
      </c>
      <c r="BZ239" s="288">
        <v>0</v>
      </c>
      <c r="CA239" s="286">
        <v>0.75921047204426839</v>
      </c>
      <c r="CB239" s="286">
        <v>1.1231193530616757</v>
      </c>
      <c r="CC239" s="287">
        <v>1.2166068600804989</v>
      </c>
      <c r="CD239" s="286">
        <v>0</v>
      </c>
      <c r="CE239" s="286">
        <v>15.629145817428816</v>
      </c>
      <c r="CF239" s="286">
        <v>21.464354259376105</v>
      </c>
      <c r="CG239" s="287">
        <v>22.595171651929565</v>
      </c>
      <c r="CH239" s="288">
        <v>0</v>
      </c>
      <c r="CI239" s="286">
        <v>1.3671399613507507</v>
      </c>
      <c r="CJ239" s="286">
        <v>251.21233080029694</v>
      </c>
      <c r="CK239" s="287"/>
      <c r="CL239" s="288"/>
      <c r="CM239" s="286"/>
      <c r="CN239" s="287"/>
      <c r="CO239" s="289"/>
      <c r="CP239" s="290"/>
      <c r="CQ239" s="289"/>
      <c r="CR239" s="290"/>
      <c r="CS239" s="284"/>
      <c r="CT239" s="147"/>
      <c r="CU239" s="291"/>
      <c r="CV239" s="292"/>
    </row>
    <row r="240" spans="2:100">
      <c r="B240">
        <v>182</v>
      </c>
      <c r="C240" s="243">
        <v>0.74942976778278991</v>
      </c>
      <c r="D240" s="592">
        <v>0.12349460838084388</v>
      </c>
      <c r="E240" s="245">
        <v>5.5771581690584604E-3</v>
      </c>
      <c r="F240" s="243">
        <v>7.0383351379467787E-3</v>
      </c>
      <c r="G240" s="245">
        <v>9.5389500379999825E-3</v>
      </c>
      <c r="H240" s="243">
        <v>0.11867205755073441</v>
      </c>
      <c r="I240" s="245">
        <v>0.16083445952722036</v>
      </c>
      <c r="J240" s="242">
        <v>8.5744275522441932E-2</v>
      </c>
      <c r="K240" s="242">
        <v>26.273763055956028</v>
      </c>
      <c r="L240" s="242">
        <v>5.0251256281407036E-3</v>
      </c>
      <c r="M240" s="243">
        <v>88.487817443311855</v>
      </c>
      <c r="N240" s="592">
        <v>29.229620327475075</v>
      </c>
      <c r="O240" s="245">
        <v>0.37150334030554188</v>
      </c>
      <c r="P240" s="245">
        <v>1.6538439188681726</v>
      </c>
      <c r="Q240" s="254">
        <v>82.03053532192628</v>
      </c>
      <c r="R240" s="255">
        <v>0</v>
      </c>
      <c r="S240" s="256">
        <v>0</v>
      </c>
      <c r="T240" s="257">
        <v>0</v>
      </c>
      <c r="U240" s="255">
        <v>1.1836558433121947E-2</v>
      </c>
      <c r="V240" s="256">
        <v>1.6041910096988535E-2</v>
      </c>
      <c r="W240" s="257">
        <v>8.5405091705837377E-2</v>
      </c>
      <c r="X240" s="255">
        <v>2.3604479480899384E-2</v>
      </c>
      <c r="Y240" s="256">
        <v>3.1990796975174894E-2</v>
      </c>
      <c r="Z240" s="257">
        <v>8.4909847904785077E-2</v>
      </c>
      <c r="AA240" s="255">
        <v>3.5419036318089431E-2</v>
      </c>
      <c r="AB240" s="256">
        <v>4.8002888639219088E-2</v>
      </c>
      <c r="AC240" s="257">
        <v>8.5246342156392277E-2</v>
      </c>
      <c r="AD240" s="255">
        <v>4.7271954556744863E-2</v>
      </c>
      <c r="AE240" s="256">
        <v>6.4066970935251405E-2</v>
      </c>
      <c r="AF240" s="257">
        <v>8.5523133677223903E-2</v>
      </c>
      <c r="AG240" s="255">
        <v>5.9154424109517163E-2</v>
      </c>
      <c r="AH240" s="256">
        <v>8.0171103684038958E-2</v>
      </c>
      <c r="AI240" s="257">
        <v>8.5736357200466615E-2</v>
      </c>
      <c r="AJ240" s="255">
        <v>7.1057179186586619E-2</v>
      </c>
      <c r="AK240" s="256">
        <v>9.6302729099625242E-2</v>
      </c>
      <c r="AL240" s="257">
        <v>8.588272466637227E-2</v>
      </c>
      <c r="AM240" s="255">
        <v>8.297053530231227E-2</v>
      </c>
      <c r="AN240" s="256">
        <v>0.11244872194388753</v>
      </c>
      <c r="AO240" s="257">
        <v>8.5959215031686118E-2</v>
      </c>
      <c r="AP240" s="255">
        <v>9.4884433367367224E-2</v>
      </c>
      <c r="AQ240" s="256">
        <v>0.12859544928394662</v>
      </c>
      <c r="AR240" s="257">
        <v>8.5963125394012352E-2</v>
      </c>
      <c r="AS240" s="255">
        <v>0.10678849057298567</v>
      </c>
      <c r="AT240" s="256">
        <v>0.14472883945482351</v>
      </c>
      <c r="AU240" s="257">
        <v>8.5892119999379554E-2</v>
      </c>
      <c r="AV240" s="255">
        <v>0.11867205755073441</v>
      </c>
      <c r="AW240" s="256">
        <v>0.16083445952722036</v>
      </c>
      <c r="AX240" s="257">
        <v>8.5744275522441932E-2</v>
      </c>
      <c r="AY240" s="243">
        <v>0</v>
      </c>
      <c r="AZ240" s="244">
        <v>0</v>
      </c>
      <c r="BA240" s="244">
        <v>0</v>
      </c>
      <c r="BB240" s="244">
        <v>0</v>
      </c>
      <c r="BC240" s="244">
        <v>0</v>
      </c>
      <c r="BD240" s="244">
        <v>0</v>
      </c>
      <c r="BE240" s="244">
        <v>0</v>
      </c>
      <c r="BF240" s="244">
        <v>0</v>
      </c>
      <c r="BG240" s="244">
        <v>0</v>
      </c>
      <c r="BH240" s="245">
        <v>0</v>
      </c>
      <c r="BK240">
        <v>182</v>
      </c>
      <c r="BL240" s="281">
        <v>9.0452261306533929E-2</v>
      </c>
      <c r="BM240" s="281">
        <v>1614.0301507537915</v>
      </c>
      <c r="BN240" s="282">
        <v>4345.7839195980214</v>
      </c>
      <c r="BO240" s="282">
        <v>127.51758793970009</v>
      </c>
      <c r="BP240" s="282">
        <v>0</v>
      </c>
      <c r="BQ240" s="283">
        <v>0</v>
      </c>
      <c r="BR240" s="284"/>
      <c r="BS240" s="147"/>
      <c r="BT240" s="285">
        <v>0.74385260961373267</v>
      </c>
      <c r="BU240" s="288">
        <v>2.5890123515317325E-2</v>
      </c>
      <c r="BV240" s="287">
        <v>0.81765512580442101</v>
      </c>
      <c r="BW240" s="288">
        <v>0</v>
      </c>
      <c r="BX240" s="286">
        <v>98.921407759428945</v>
      </c>
      <c r="BY240" s="287">
        <v>1.0785922405710613</v>
      </c>
      <c r="BZ240" s="288">
        <v>0</v>
      </c>
      <c r="CA240" s="286">
        <v>0.75905635835443186</v>
      </c>
      <c r="CB240" s="286">
        <v>1.1232055350572279</v>
      </c>
      <c r="CC240" s="287">
        <v>1.2165692830426742</v>
      </c>
      <c r="CD240" s="286">
        <v>0</v>
      </c>
      <c r="CE240" s="286">
        <v>15.627751796589067</v>
      </c>
      <c r="CF240" s="286">
        <v>21.46712631537379</v>
      </c>
      <c r="CG240" s="287">
        <v>22.596400447665079</v>
      </c>
      <c r="CH240" s="288">
        <v>0</v>
      </c>
      <c r="CI240" s="286">
        <v>1.3626871248834382</v>
      </c>
      <c r="CJ240" s="286">
        <v>252.11911935428023</v>
      </c>
      <c r="CK240" s="287"/>
      <c r="CL240" s="288"/>
      <c r="CM240" s="286"/>
      <c r="CN240" s="287"/>
      <c r="CO240" s="289"/>
      <c r="CP240" s="290"/>
      <c r="CQ240" s="289"/>
      <c r="CR240" s="290"/>
      <c r="CS240" s="284"/>
      <c r="CT240" s="147"/>
      <c r="CU240" s="291"/>
      <c r="CV240" s="292"/>
    </row>
    <row r="241" spans="2:100">
      <c r="B241">
        <v>183</v>
      </c>
      <c r="C241" s="243">
        <v>0.74695734907624267</v>
      </c>
      <c r="D241" s="592">
        <v>0.12348927651087618</v>
      </c>
      <c r="E241" s="245">
        <v>5.5533629174143728E-3</v>
      </c>
      <c r="F241" s="243">
        <v>7.0240332560858728E-3</v>
      </c>
      <c r="G241" s="245">
        <v>9.5192727739613296E-3</v>
      </c>
      <c r="H241" s="243">
        <v>0.11843091618505396</v>
      </c>
      <c r="I241" s="245">
        <v>0.16050268484405045</v>
      </c>
      <c r="J241" s="242">
        <v>8.5610357275628921E-2</v>
      </c>
      <c r="K241" s="242">
        <v>26.257619471705123</v>
      </c>
      <c r="L241" s="242">
        <v>5.0251256281407036E-3</v>
      </c>
      <c r="M241" s="243">
        <v>88.595592548138271</v>
      </c>
      <c r="N241" s="592">
        <v>29.327894218193912</v>
      </c>
      <c r="O241" s="245">
        <v>0.37107456724347998</v>
      </c>
      <c r="P241" s="245">
        <v>1.6528277352105352</v>
      </c>
      <c r="Q241" s="254">
        <v>81.871812668402299</v>
      </c>
      <c r="R241" s="255">
        <v>0</v>
      </c>
      <c r="S241" s="256">
        <v>0</v>
      </c>
      <c r="T241" s="257">
        <v>0</v>
      </c>
      <c r="U241" s="255">
        <v>1.1809346812054547E-2</v>
      </c>
      <c r="V241" s="256">
        <v>1.6004536067487477E-2</v>
      </c>
      <c r="W241" s="257">
        <v>8.5206117120039546E-2</v>
      </c>
      <c r="X241" s="255">
        <v>2.3549331732849083E-2</v>
      </c>
      <c r="Y241" s="256">
        <v>3.1915069908768266E-2</v>
      </c>
      <c r="Z241" s="257">
        <v>8.4705661207919558E-2</v>
      </c>
      <c r="AA241" s="255">
        <v>3.5336636139584487E-2</v>
      </c>
      <c r="AB241" s="256">
        <v>4.7889733158007722E-2</v>
      </c>
      <c r="AC241" s="257">
        <v>8.5047078030145704E-2</v>
      </c>
      <c r="AD241" s="255">
        <v>4.7163138439433115E-2</v>
      </c>
      <c r="AE241" s="256">
        <v>6.3917519082369201E-2</v>
      </c>
      <c r="AF241" s="257">
        <v>8.5329896404829603E-2</v>
      </c>
      <c r="AG241" s="255">
        <v>5.9020183374590342E-2</v>
      </c>
      <c r="AH241" s="256">
        <v>7.9986697703225432E-2</v>
      </c>
      <c r="AI241" s="257">
        <v>8.5550265863248987E-2</v>
      </c>
      <c r="AJ241" s="255">
        <v>7.0898660685343548E-2</v>
      </c>
      <c r="AK241" s="256">
        <v>9.6084922403741835E-2</v>
      </c>
      <c r="AL241" s="257">
        <v>8.5704903501913884E-2</v>
      </c>
      <c r="AM241" s="255">
        <v>8.278904011025455E-2</v>
      </c>
      <c r="AN241" s="256">
        <v>0.1121992773626332</v>
      </c>
      <c r="AO241" s="257">
        <v>8.5790778948629645E-2</v>
      </c>
      <c r="AP241" s="255">
        <v>9.4681413347981649E-2</v>
      </c>
      <c r="AQ241" s="256">
        <v>0.1283163344226344</v>
      </c>
      <c r="AR241" s="257">
        <v>8.5805164591716235E-2</v>
      </c>
      <c r="AS241" s="255">
        <v>0.10656554273601526</v>
      </c>
      <c r="AT241" s="256">
        <v>0.14442221906202213</v>
      </c>
      <c r="AU241" s="257">
        <v>8.5745684043495959E-2</v>
      </c>
      <c r="AV241" s="255">
        <v>0.11843091618505396</v>
      </c>
      <c r="AW241" s="256">
        <v>0.16050268484405045</v>
      </c>
      <c r="AX241" s="257">
        <v>8.5610357275628921E-2</v>
      </c>
      <c r="AY241" s="243">
        <v>0</v>
      </c>
      <c r="AZ241" s="244">
        <v>0</v>
      </c>
      <c r="BA241" s="244">
        <v>0</v>
      </c>
      <c r="BB241" s="244">
        <v>0</v>
      </c>
      <c r="BC241" s="244">
        <v>0</v>
      </c>
      <c r="BD241" s="244">
        <v>0</v>
      </c>
      <c r="BE241" s="244">
        <v>0</v>
      </c>
      <c r="BF241" s="244">
        <v>0</v>
      </c>
      <c r="BG241" s="244">
        <v>0</v>
      </c>
      <c r="BH241" s="245">
        <v>0</v>
      </c>
      <c r="BK241">
        <v>183</v>
      </c>
      <c r="BL241" s="281">
        <v>8.5427135678393232E-2</v>
      </c>
      <c r="BM241" s="281">
        <v>1524.3618090452487</v>
      </c>
      <c r="BN241" s="282">
        <v>4313.407035175911</v>
      </c>
      <c r="BO241" s="282">
        <v>127.2110552763835</v>
      </c>
      <c r="BP241" s="282">
        <v>0</v>
      </c>
      <c r="BQ241" s="283">
        <v>0</v>
      </c>
      <c r="BR241" s="284"/>
      <c r="BS241" s="147"/>
      <c r="BT241" s="285">
        <v>0.74140398615882963</v>
      </c>
      <c r="BU241" s="288">
        <v>2.5807510202111042E-2</v>
      </c>
      <c r="BV241" s="287">
        <v>0.81787920620324828</v>
      </c>
      <c r="BW241" s="288">
        <v>0</v>
      </c>
      <c r="BX241" s="286">
        <v>98.911395365471876</v>
      </c>
      <c r="BY241" s="287">
        <v>1.0886046345281177</v>
      </c>
      <c r="BZ241" s="288">
        <v>0</v>
      </c>
      <c r="CA241" s="286">
        <v>0.75890192184739014</v>
      </c>
      <c r="CB241" s="286">
        <v>1.1232913670456937</v>
      </c>
      <c r="CC241" s="287">
        <v>1.2165316931653225</v>
      </c>
      <c r="CD241" s="286">
        <v>0</v>
      </c>
      <c r="CE241" s="286">
        <v>15.626351827705081</v>
      </c>
      <c r="CF241" s="286">
        <v>21.469892171519763</v>
      </c>
      <c r="CG241" s="287">
        <v>22.597629300336539</v>
      </c>
      <c r="CH241" s="288">
        <v>0</v>
      </c>
      <c r="CI241" s="286">
        <v>1.3582465111685154</v>
      </c>
      <c r="CJ241" s="286">
        <v>253.03086071172996</v>
      </c>
      <c r="CK241" s="287"/>
      <c r="CL241" s="288"/>
      <c r="CM241" s="286"/>
      <c r="CN241" s="287"/>
      <c r="CO241" s="289"/>
      <c r="CP241" s="290"/>
      <c r="CQ241" s="289"/>
      <c r="CR241" s="290"/>
      <c r="CS241" s="284"/>
      <c r="CT241" s="147"/>
      <c r="CU241" s="291"/>
      <c r="CV241" s="292"/>
    </row>
    <row r="242" spans="2:100">
      <c r="B242">
        <v>184</v>
      </c>
      <c r="C242" s="243">
        <v>0.74449248099241372</v>
      </c>
      <c r="D242" s="592">
        <v>0.12346977998680843</v>
      </c>
      <c r="E242" s="245">
        <v>5.5294984004982117E-3</v>
      </c>
      <c r="F242" s="243">
        <v>7.0091170024610414E-3</v>
      </c>
      <c r="G242" s="245">
        <v>9.4987640098170428E-3</v>
      </c>
      <c r="H242" s="243">
        <v>0.11817941601151664</v>
      </c>
      <c r="I242" s="245">
        <v>0.16015689039250416</v>
      </c>
      <c r="J242" s="242">
        <v>8.5467728983454047E-2</v>
      </c>
      <c r="K242" s="242">
        <v>26.240755028694785</v>
      </c>
      <c r="L242" s="242">
        <v>5.0251256281407036E-3</v>
      </c>
      <c r="M242" s="243">
        <v>88.706228215810924</v>
      </c>
      <c r="N242" s="592">
        <v>29.427360507629476</v>
      </c>
      <c r="O242" s="245">
        <v>0.37065668072327052</v>
      </c>
      <c r="P242" s="245">
        <v>1.6517661759486075</v>
      </c>
      <c r="Q242" s="254">
        <v>81.70634405552299</v>
      </c>
      <c r="R242" s="255">
        <v>0</v>
      </c>
      <c r="S242" s="256">
        <v>0</v>
      </c>
      <c r="T242" s="257">
        <v>0</v>
      </c>
      <c r="U242" s="255">
        <v>1.1781288173282332E-2</v>
      </c>
      <c r="V242" s="256">
        <v>1.5966016268577677E-2</v>
      </c>
      <c r="W242" s="257">
        <v>8.5001042603445695E-2</v>
      </c>
      <c r="X242" s="255">
        <v>2.3492451487228456E-2</v>
      </c>
      <c r="Y242" s="256">
        <v>3.1836999241260544E-2</v>
      </c>
      <c r="Z242" s="257">
        <v>8.4495097407273068E-2</v>
      </c>
      <c r="AA242" s="255">
        <v>3.5251572092694985E-2</v>
      </c>
      <c r="AB242" s="256">
        <v>4.7772973994583155E-2</v>
      </c>
      <c r="AC242" s="257">
        <v>8.4841105392114341E-2</v>
      </c>
      <c r="AD242" s="255">
        <v>4.7050681699107866E-2</v>
      </c>
      <c r="AE242" s="256">
        <v>6.3763141891328021E-2</v>
      </c>
      <c r="AF242" s="257">
        <v>8.5129622804057323E-2</v>
      </c>
      <c r="AG242" s="255">
        <v>5.8881280882691928E-2</v>
      </c>
      <c r="AH242" s="256">
        <v>7.9795984501908154E-2</v>
      </c>
      <c r="AI242" s="257">
        <v>8.5356817559955223E-2</v>
      </c>
      <c r="AJ242" s="255">
        <v>7.0734416454531643E-2</v>
      </c>
      <c r="AK242" s="256">
        <v>9.5859368453658514E-2</v>
      </c>
      <c r="AL242" s="257">
        <v>8.5519415780970803E-2</v>
      </c>
      <c r="AM242" s="255">
        <v>8.2600714488698684E-2</v>
      </c>
      <c r="AN242" s="256">
        <v>0.11194059019059516</v>
      </c>
      <c r="AO242" s="257">
        <v>8.5614381883539134E-2</v>
      </c>
      <c r="AP242" s="255">
        <v>9.4470420177726333E-2</v>
      </c>
      <c r="AQ242" s="256">
        <v>0.12802642998560335</v>
      </c>
      <c r="AR242" s="257">
        <v>8.5638967838124372E-2</v>
      </c>
      <c r="AS242" s="255">
        <v>0.10633344431717358</v>
      </c>
      <c r="AT242" s="256">
        <v>0.14410321493637629</v>
      </c>
      <c r="AU242" s="257">
        <v>8.5590760997566073E-2</v>
      </c>
      <c r="AV242" s="255">
        <v>0.11817941601151664</v>
      </c>
      <c r="AW242" s="256">
        <v>0.16015689039250416</v>
      </c>
      <c r="AX242" s="257">
        <v>8.5467728983454047E-2</v>
      </c>
      <c r="AY242" s="243">
        <v>0</v>
      </c>
      <c r="AZ242" s="244">
        <v>0</v>
      </c>
      <c r="BA242" s="244">
        <v>0</v>
      </c>
      <c r="BB242" s="244">
        <v>0</v>
      </c>
      <c r="BC242" s="244">
        <v>0</v>
      </c>
      <c r="BD242" s="244">
        <v>0</v>
      </c>
      <c r="BE242" s="244">
        <v>0</v>
      </c>
      <c r="BF242" s="244">
        <v>0</v>
      </c>
      <c r="BG242" s="244">
        <v>0</v>
      </c>
      <c r="BH242" s="245">
        <v>0</v>
      </c>
      <c r="BK242">
        <v>184</v>
      </c>
      <c r="BL242" s="281">
        <v>8.040201005025252E-2</v>
      </c>
      <c r="BM242" s="281">
        <v>1434.6934673367059</v>
      </c>
      <c r="BN242" s="282">
        <v>4281.0301507538006</v>
      </c>
      <c r="BO242" s="282">
        <v>126.90452261306692</v>
      </c>
      <c r="BP242" s="282">
        <v>0</v>
      </c>
      <c r="BQ242" s="283">
        <v>0</v>
      </c>
      <c r="BR242" s="284"/>
      <c r="BS242" s="147"/>
      <c r="BT242" s="285">
        <v>0.73896298259191684</v>
      </c>
      <c r="BU242" s="288">
        <v>2.5725135861029973E-2</v>
      </c>
      <c r="BV242" s="287">
        <v>0.81810271497234877</v>
      </c>
      <c r="BW242" s="288">
        <v>0</v>
      </c>
      <c r="BX242" s="286">
        <v>98.901419757194816</v>
      </c>
      <c r="BY242" s="287">
        <v>1.0985802428051783</v>
      </c>
      <c r="BZ242" s="288">
        <v>0</v>
      </c>
      <c r="CA242" s="286">
        <v>0.75874715976649676</v>
      </c>
      <c r="CB242" s="286">
        <v>1.1233768468904508</v>
      </c>
      <c r="CC242" s="287">
        <v>1.2164940904126953</v>
      </c>
      <c r="CD242" s="286">
        <v>0</v>
      </c>
      <c r="CE242" s="286">
        <v>15.62494586087427</v>
      </c>
      <c r="CF242" s="286">
        <v>21.47265178382488</v>
      </c>
      <c r="CG242" s="287">
        <v>22.598858209640927</v>
      </c>
      <c r="CH242" s="288">
        <v>0</v>
      </c>
      <c r="CI242" s="286">
        <v>1.3538180440098553</v>
      </c>
      <c r="CJ242" s="286">
        <v>253.947576654561</v>
      </c>
      <c r="CK242" s="287"/>
      <c r="CL242" s="288"/>
      <c r="CM242" s="286"/>
      <c r="CN242" s="287"/>
      <c r="CO242" s="289"/>
      <c r="CP242" s="290"/>
      <c r="CQ242" s="289"/>
      <c r="CR242" s="290"/>
      <c r="CS242" s="284"/>
      <c r="CT242" s="147"/>
      <c r="CU242" s="291"/>
      <c r="CV242" s="292"/>
    </row>
    <row r="243" spans="2:100">
      <c r="B243">
        <v>185</v>
      </c>
      <c r="C243" s="243">
        <v>0.74203514015881</v>
      </c>
      <c r="D243" s="592">
        <v>0.12343657876335001</v>
      </c>
      <c r="E243" s="245">
        <v>5.5055748426641182E-3</v>
      </c>
      <c r="F243" s="243">
        <v>6.9936129168689859E-3</v>
      </c>
      <c r="G243" s="245">
        <v>9.477459788791243E-3</v>
      </c>
      <c r="H243" s="243">
        <v>0.11791800451269042</v>
      </c>
      <c r="I243" s="245">
        <v>0.15979768389066873</v>
      </c>
      <c r="J243" s="242">
        <v>8.5316699796569959E-2</v>
      </c>
      <c r="K243" s="242">
        <v>26.223205694159645</v>
      </c>
      <c r="L243" s="242">
        <v>5.0251256281407036E-3</v>
      </c>
      <c r="M243" s="243">
        <v>88.819620404671895</v>
      </c>
      <c r="N243" s="592">
        <v>29.527991270530762</v>
      </c>
      <c r="O243" s="245">
        <v>0.37024911768334973</v>
      </c>
      <c r="P243" s="245">
        <v>1.6506615050973361</v>
      </c>
      <c r="Q243" s="254">
        <v>81.534414396033682</v>
      </c>
      <c r="R243" s="255">
        <v>0</v>
      </c>
      <c r="S243" s="256">
        <v>0</v>
      </c>
      <c r="T243" s="257">
        <v>0</v>
      </c>
      <c r="U243" s="255">
        <v>1.1752425891999697E-2</v>
      </c>
      <c r="V243" s="256">
        <v>1.592640958774167E-2</v>
      </c>
      <c r="W243" s="257">
        <v>8.479018166553294E-2</v>
      </c>
      <c r="X243" s="255">
        <v>2.3433926409329172E-2</v>
      </c>
      <c r="Y243" s="256">
        <v>3.1756703992325198E-2</v>
      </c>
      <c r="Z243" s="257">
        <v>8.427847663899217E-2</v>
      </c>
      <c r="AA243" s="255">
        <v>3.5163976922859282E-2</v>
      </c>
      <c r="AB243" s="256">
        <v>4.7652791377190439E-2</v>
      </c>
      <c r="AC243" s="257">
        <v>8.4628750108958456E-2</v>
      </c>
      <c r="AD243" s="255">
        <v>4.6934762708438688E-2</v>
      </c>
      <c r="AE243" s="256">
        <v>6.3604081545998933E-2</v>
      </c>
      <c r="AF243" s="257">
        <v>8.4922642718790312E-2</v>
      </c>
      <c r="AG243" s="255">
        <v>5.8737940914168493E-2</v>
      </c>
      <c r="AH243" s="256">
        <v>7.9599268605168139E-2</v>
      </c>
      <c r="AI243" s="257">
        <v>8.515634418726821E-2</v>
      </c>
      <c r="AJ243" s="255">
        <v>7.056471667527818E-2</v>
      </c>
      <c r="AK243" s="256">
        <v>9.5626434111655639E-2</v>
      </c>
      <c r="AL243" s="257">
        <v>8.5326593378874285E-2</v>
      </c>
      <c r="AM243" s="255">
        <v>8.2405874208445667E-2</v>
      </c>
      <c r="AN243" s="256">
        <v>0.11167308921071703</v>
      </c>
      <c r="AO243" s="257">
        <v>8.5430353494161046E-2</v>
      </c>
      <c r="AP243" s="255">
        <v>9.4251814589609961E-2</v>
      </c>
      <c r="AQ243" s="256">
        <v>0.12772622583086124</v>
      </c>
      <c r="AR243" s="257">
        <v>8.5464860289120204E-2</v>
      </c>
      <c r="AS243" s="255">
        <v>0.10609260006121299</v>
      </c>
      <c r="AT243" s="256">
        <v>0.14377237672722254</v>
      </c>
      <c r="AU243" s="257">
        <v>8.5427669183029686E-2</v>
      </c>
      <c r="AV243" s="255">
        <v>0.11791800451269042</v>
      </c>
      <c r="AW243" s="256">
        <v>0.15979768389066873</v>
      </c>
      <c r="AX243" s="257">
        <v>8.5316699796569959E-2</v>
      </c>
      <c r="AY243" s="243">
        <v>0</v>
      </c>
      <c r="AZ243" s="244">
        <v>0</v>
      </c>
      <c r="BA243" s="244">
        <v>0</v>
      </c>
      <c r="BB243" s="244">
        <v>0</v>
      </c>
      <c r="BC243" s="244">
        <v>0</v>
      </c>
      <c r="BD243" s="244">
        <v>0</v>
      </c>
      <c r="BE243" s="244">
        <v>0</v>
      </c>
      <c r="BF243" s="244">
        <v>0</v>
      </c>
      <c r="BG243" s="244">
        <v>0</v>
      </c>
      <c r="BH243" s="245">
        <v>0</v>
      </c>
      <c r="BK243">
        <v>185</v>
      </c>
      <c r="BL243" s="281">
        <v>7.5376884422111809E-2</v>
      </c>
      <c r="BM243" s="281">
        <v>1345.0251256281631</v>
      </c>
      <c r="BN243" s="282">
        <v>4248.6532663316902</v>
      </c>
      <c r="BO243" s="282">
        <v>126.59798994975033</v>
      </c>
      <c r="BP243" s="282">
        <v>0</v>
      </c>
      <c r="BQ243" s="283">
        <v>0</v>
      </c>
      <c r="BR243" s="284"/>
      <c r="BS243" s="147"/>
      <c r="BT243" s="285">
        <v>0.73652956531614722</v>
      </c>
      <c r="BU243" s="288">
        <v>2.5642999537474738E-2</v>
      </c>
      <c r="BV243" s="287">
        <v>0.81832564933886187</v>
      </c>
      <c r="BW243" s="288">
        <v>0</v>
      </c>
      <c r="BX243" s="286">
        <v>98.891480738440308</v>
      </c>
      <c r="BY243" s="287">
        <v>1.1085192615596935</v>
      </c>
      <c r="BZ243" s="288">
        <v>0</v>
      </c>
      <c r="CA243" s="286">
        <v>0.75859206933096124</v>
      </c>
      <c r="CB243" s="286">
        <v>1.1234619724252681</v>
      </c>
      <c r="CC243" s="287">
        <v>1.2164564747489222</v>
      </c>
      <c r="CD243" s="286">
        <v>0</v>
      </c>
      <c r="CE243" s="286">
        <v>15.623533845749655</v>
      </c>
      <c r="CF243" s="286">
        <v>21.475405107716789</v>
      </c>
      <c r="CG243" s="287">
        <v>22.600087175273597</v>
      </c>
      <c r="CH243" s="288">
        <v>0</v>
      </c>
      <c r="CI243" s="286">
        <v>1.3494016476497768</v>
      </c>
      <c r="CJ243" s="286">
        <v>254.86928896344315</v>
      </c>
      <c r="CK243" s="287"/>
      <c r="CL243" s="288"/>
      <c r="CM243" s="286"/>
      <c r="CN243" s="287"/>
      <c r="CO243" s="289"/>
      <c r="CP243" s="290"/>
      <c r="CQ243" s="289"/>
      <c r="CR243" s="290"/>
      <c r="CS243" s="284"/>
      <c r="CT243" s="147"/>
      <c r="CU243" s="291"/>
      <c r="CV243" s="292"/>
    </row>
    <row r="244" spans="2:100">
      <c r="B244">
        <v>186</v>
      </c>
      <c r="C244" s="243">
        <v>0.73958530266719136</v>
      </c>
      <c r="D244" s="592">
        <v>0.12339012313878553</v>
      </c>
      <c r="E244" s="245">
        <v>5.4816020771036866E-3</v>
      </c>
      <c r="F244" s="243">
        <v>6.9775466518401533E-3</v>
      </c>
      <c r="G244" s="245">
        <v>9.4553949473624443E-3</v>
      </c>
      <c r="H244" s="243">
        <v>0.11764711421111221</v>
      </c>
      <c r="I244" s="245">
        <v>0.15942565270991849</v>
      </c>
      <c r="J244" s="242">
        <v>8.515757122129948E-2</v>
      </c>
      <c r="K244" s="242">
        <v>26.205006219722357</v>
      </c>
      <c r="L244" s="242">
        <v>5.0251256281407036E-3</v>
      </c>
      <c r="M244" s="243">
        <v>88.935668772761858</v>
      </c>
      <c r="N244" s="592">
        <v>29.629759537113163</v>
      </c>
      <c r="O244" s="245">
        <v>0.36985133451431179</v>
      </c>
      <c r="P244" s="245">
        <v>1.6495159101530337</v>
      </c>
      <c r="Q244" s="254">
        <v>81.356298989840582</v>
      </c>
      <c r="R244" s="255">
        <v>0</v>
      </c>
      <c r="S244" s="256">
        <v>0</v>
      </c>
      <c r="T244" s="257">
        <v>0</v>
      </c>
      <c r="U244" s="255">
        <v>1.172280153916686E-2</v>
      </c>
      <c r="V244" s="256">
        <v>1.5885772460315799E-2</v>
      </c>
      <c r="W244" s="257">
        <v>8.4573834760863539E-2</v>
      </c>
      <c r="X244" s="255">
        <v>2.3373840595452278E-2</v>
      </c>
      <c r="Y244" s="256">
        <v>3.1674298330690361E-2</v>
      </c>
      <c r="Z244" s="257">
        <v>8.4056106268321329E-2</v>
      </c>
      <c r="AA244" s="255">
        <v>3.5073978087818813E-2</v>
      </c>
      <c r="AB244" s="256">
        <v>4.7529358346604787E-2</v>
      </c>
      <c r="AC244" s="257">
        <v>8.4410325607978939E-2</v>
      </c>
      <c r="AD244" s="255">
        <v>4.6815552893454154E-2</v>
      </c>
      <c r="AE244" s="256">
        <v>6.3440570787155592E-2</v>
      </c>
      <c r="AF244" s="257">
        <v>8.470927398423711E-2</v>
      </c>
      <c r="AG244" s="255">
        <v>5.8590379216974416E-2</v>
      </c>
      <c r="AH244" s="256">
        <v>7.9396842938502896E-2</v>
      </c>
      <c r="AI244" s="257">
        <v>8.4949166161013348E-2</v>
      </c>
      <c r="AJ244" s="255">
        <v>7.0389821496539773E-2</v>
      </c>
      <c r="AK244" s="256">
        <v>9.5386472600452035E-2</v>
      </c>
      <c r="AL244" s="257">
        <v>8.5126757310371629E-2</v>
      </c>
      <c r="AM244" s="255">
        <v>8.2204823606065583E-2</v>
      </c>
      <c r="AN244" s="256">
        <v>0.111397187658878</v>
      </c>
      <c r="AO244" s="257">
        <v>8.5239013282937939E-2</v>
      </c>
      <c r="AP244" s="255">
        <v>9.4025944588397775E-2</v>
      </c>
      <c r="AQ244" s="256">
        <v>0.1274161945083738</v>
      </c>
      <c r="AR244" s="257">
        <v>8.5283157725366723E-2</v>
      </c>
      <c r="AS244" s="255">
        <v>0.10584340080722719</v>
      </c>
      <c r="AT244" s="256">
        <v>0.14343023517304329</v>
      </c>
      <c r="AU244" s="257">
        <v>8.5256718388158431E-2</v>
      </c>
      <c r="AV244" s="255">
        <v>0.11764711421111221</v>
      </c>
      <c r="AW244" s="256">
        <v>0.15942565270991849</v>
      </c>
      <c r="AX244" s="257">
        <v>8.515757122129948E-2</v>
      </c>
      <c r="AY244" s="243">
        <v>0</v>
      </c>
      <c r="AZ244" s="244">
        <v>0</v>
      </c>
      <c r="BA244" s="244">
        <v>0</v>
      </c>
      <c r="BB244" s="244">
        <v>0</v>
      </c>
      <c r="BC244" s="244">
        <v>0</v>
      </c>
      <c r="BD244" s="244">
        <v>0</v>
      </c>
      <c r="BE244" s="244">
        <v>0</v>
      </c>
      <c r="BF244" s="244">
        <v>0</v>
      </c>
      <c r="BG244" s="244">
        <v>0</v>
      </c>
      <c r="BH244" s="245">
        <v>0</v>
      </c>
      <c r="BK244">
        <v>186</v>
      </c>
      <c r="BL244" s="281">
        <v>7.0351758793971098E-2</v>
      </c>
      <c r="BM244" s="281">
        <v>1255.3567839196203</v>
      </c>
      <c r="BN244" s="282">
        <v>4216.2763819095799</v>
      </c>
      <c r="BO244" s="282">
        <v>126.29145728643374</v>
      </c>
      <c r="BP244" s="282">
        <v>0</v>
      </c>
      <c r="BQ244" s="283">
        <v>0</v>
      </c>
      <c r="BR244" s="284"/>
      <c r="BS244" s="147"/>
      <c r="BT244" s="285">
        <v>0.734103700590089</v>
      </c>
      <c r="BU244" s="288">
        <v>2.5561100270357524E-2</v>
      </c>
      <c r="BV244" s="287">
        <v>0.81854800648861192</v>
      </c>
      <c r="BW244" s="288">
        <v>0</v>
      </c>
      <c r="BX244" s="286">
        <v>98.88157811261938</v>
      </c>
      <c r="BY244" s="287">
        <v>1.118421887380618</v>
      </c>
      <c r="BZ244" s="288">
        <v>0</v>
      </c>
      <c r="CA244" s="286">
        <v>0.75843664773563069</v>
      </c>
      <c r="CB244" s="286">
        <v>1.1235467414554128</v>
      </c>
      <c r="CC244" s="287">
        <v>1.216418846138003</v>
      </c>
      <c r="CD244" s="286">
        <v>0</v>
      </c>
      <c r="CE244" s="286">
        <v>15.6221157315358</v>
      </c>
      <c r="CF244" s="286">
        <v>21.478152098057258</v>
      </c>
      <c r="CG244" s="287">
        <v>22.601316196928281</v>
      </c>
      <c r="CH244" s="288">
        <v>0</v>
      </c>
      <c r="CI244" s="286">
        <v>1.3449972467961597</v>
      </c>
      <c r="CJ244" s="286">
        <v>255.79601941768081</v>
      </c>
      <c r="CK244" s="287"/>
      <c r="CL244" s="288"/>
      <c r="CM244" s="286"/>
      <c r="CN244" s="287"/>
      <c r="CO244" s="289"/>
      <c r="CP244" s="290"/>
      <c r="CQ244" s="289"/>
      <c r="CR244" s="290"/>
      <c r="CS244" s="284"/>
      <c r="CT244" s="147"/>
      <c r="CU244" s="291"/>
      <c r="CV244" s="292"/>
    </row>
    <row r="245" spans="2:100">
      <c r="B245">
        <v>187</v>
      </c>
      <c r="C245" s="243">
        <v>0.73714294408038528</v>
      </c>
      <c r="D245" s="592">
        <v>0.12333085378427208</v>
      </c>
      <c r="E245" s="245">
        <v>5.4575895521495887E-3</v>
      </c>
      <c r="F245" s="243">
        <v>6.960942997374521E-3</v>
      </c>
      <c r="G245" s="245">
        <v>9.4326031489650047E-3</v>
      </c>
      <c r="H245" s="243">
        <v>0.11736716308635335</v>
      </c>
      <c r="I245" s="245">
        <v>0.15904136444314881</v>
      </c>
      <c r="J245" s="242">
        <v>8.4990637252849249E-2</v>
      </c>
      <c r="K245" s="242">
        <v>26.186190167702808</v>
      </c>
      <c r="L245" s="242">
        <v>5.0251256281407036E-3</v>
      </c>
      <c r="M245" s="243">
        <v>89.054276565901546</v>
      </c>
      <c r="N245" s="592">
        <v>29.732639267651027</v>
      </c>
      <c r="O245" s="245">
        <v>0.36946280649174695</v>
      </c>
      <c r="P245" s="245">
        <v>1.6483315037494528</v>
      </c>
      <c r="Q245" s="254">
        <v>81.172263812396722</v>
      </c>
      <c r="R245" s="255">
        <v>0</v>
      </c>
      <c r="S245" s="256">
        <v>0</v>
      </c>
      <c r="T245" s="257">
        <v>0</v>
      </c>
      <c r="U245" s="255">
        <v>1.1692454947690634E-2</v>
      </c>
      <c r="V245" s="256">
        <v>1.5844158959542783E-2</v>
      </c>
      <c r="W245" s="257">
        <v>8.4352289768513306E-2</v>
      </c>
      <c r="X245" s="255">
        <v>2.3312274700097453E-2</v>
      </c>
      <c r="Y245" s="256">
        <v>3.1589891747226637E-2</v>
      </c>
      <c r="Z245" s="257">
        <v>8.3828281331672347E-2</v>
      </c>
      <c r="AA245" s="255">
        <v>3.4981697940455102E-2</v>
      </c>
      <c r="AB245" s="256">
        <v>4.7402841004980878E-2</v>
      </c>
      <c r="AC245" s="257">
        <v>8.4186133280461262E-2</v>
      </c>
      <c r="AD245" s="255">
        <v>4.6693216966409219E-2</v>
      </c>
      <c r="AE245" s="256">
        <v>6.327283322946034E-2</v>
      </c>
      <c r="AF245" s="257">
        <v>8.4489822789683394E-2</v>
      </c>
      <c r="AG245" s="255">
        <v>5.8438803283814567E-2</v>
      </c>
      <c r="AH245" s="256">
        <v>7.9188989205135688E-2</v>
      </c>
      <c r="AI245" s="257">
        <v>8.4735592737310197E-2</v>
      </c>
      <c r="AJ245" s="255">
        <v>7.020998135076098E-2</v>
      </c>
      <c r="AK245" s="256">
        <v>9.5139823933014525E-2</v>
      </c>
      <c r="AL245" s="257">
        <v>8.4920218009131132E-2</v>
      </c>
      <c r="AM245" s="255">
        <v>8.1997855932450153E-2</v>
      </c>
      <c r="AN245" s="256">
        <v>0.1111132836985641</v>
      </c>
      <c r="AO245" s="257">
        <v>8.5040670835847723E-2</v>
      </c>
      <c r="AP245" s="255">
        <v>9.379314582672113E-2</v>
      </c>
      <c r="AQ245" s="256">
        <v>0.12709679177234373</v>
      </c>
      <c r="AR245" s="257">
        <v>8.5094166752524042E-2</v>
      </c>
      <c r="AS245" s="255">
        <v>0.10558622388741058</v>
      </c>
      <c r="AT245" s="256">
        <v>0.14307730264467897</v>
      </c>
      <c r="AU245" s="257">
        <v>8.5078210032739937E-2</v>
      </c>
      <c r="AV245" s="255">
        <v>0.11736716308635335</v>
      </c>
      <c r="AW245" s="256">
        <v>0.15904136444314881</v>
      </c>
      <c r="AX245" s="257">
        <v>8.4990637252849249E-2</v>
      </c>
      <c r="AY245" s="243">
        <v>0</v>
      </c>
      <c r="AZ245" s="244">
        <v>0</v>
      </c>
      <c r="BA245" s="244">
        <v>0</v>
      </c>
      <c r="BB245" s="244">
        <v>0</v>
      </c>
      <c r="BC245" s="244">
        <v>0</v>
      </c>
      <c r="BD245" s="244">
        <v>0</v>
      </c>
      <c r="BE245" s="244">
        <v>0</v>
      </c>
      <c r="BF245" s="244">
        <v>0</v>
      </c>
      <c r="BG245" s="244">
        <v>0</v>
      </c>
      <c r="BH245" s="245">
        <v>0</v>
      </c>
      <c r="BK245">
        <v>187</v>
      </c>
      <c r="BL245" s="281">
        <v>6.5326633165830386E-2</v>
      </c>
      <c r="BM245" s="281">
        <v>1165.6884422110775</v>
      </c>
      <c r="BN245" s="282">
        <v>4183.8994974874695</v>
      </c>
      <c r="BO245" s="282">
        <v>125.98492462311715</v>
      </c>
      <c r="BP245" s="282">
        <v>0</v>
      </c>
      <c r="BQ245" s="283">
        <v>0</v>
      </c>
      <c r="BR245" s="284"/>
      <c r="BS245" s="147"/>
      <c r="BT245" s="285">
        <v>0.73168535452823702</v>
      </c>
      <c r="BU245" s="288">
        <v>2.5479437092122817E-2</v>
      </c>
      <c r="BV245" s="287">
        <v>0.81876978356642149</v>
      </c>
      <c r="BW245" s="288">
        <v>0</v>
      </c>
      <c r="BX245" s="286">
        <v>98.871711682712117</v>
      </c>
      <c r="BY245" s="287">
        <v>1.1282883172878808</v>
      </c>
      <c r="BZ245" s="288">
        <v>0</v>
      </c>
      <c r="CA245" s="286">
        <v>0.75828089215070782</v>
      </c>
      <c r="CB245" s="286">
        <v>1.1236311517577384</v>
      </c>
      <c r="CC245" s="287">
        <v>1.2163812045438254</v>
      </c>
      <c r="CD245" s="286">
        <v>0</v>
      </c>
      <c r="CE245" s="286">
        <v>15.620691466983562</v>
      </c>
      <c r="CF245" s="286">
        <v>21.480892709142427</v>
      </c>
      <c r="CG245" s="287">
        <v>22.602545274297182</v>
      </c>
      <c r="CH245" s="288">
        <v>0</v>
      </c>
      <c r="CI245" s="286">
        <v>1.3406047666268648</v>
      </c>
      <c r="CJ245" s="286">
        <v>256.72778979302933</v>
      </c>
      <c r="CK245" s="287"/>
      <c r="CL245" s="288"/>
      <c r="CM245" s="286"/>
      <c r="CN245" s="287"/>
      <c r="CO245" s="289"/>
      <c r="CP245" s="290"/>
      <c r="CQ245" s="289"/>
      <c r="CR245" s="290"/>
      <c r="CS245" s="284"/>
      <c r="CT245" s="147"/>
      <c r="CU245" s="291"/>
      <c r="CV245" s="292"/>
    </row>
    <row r="246" spans="2:100">
      <c r="B246">
        <v>188</v>
      </c>
      <c r="C246" s="243">
        <v>0.73470803943921004</v>
      </c>
      <c r="D246" s="592">
        <v>0.12325920178312075</v>
      </c>
      <c r="E246" s="245">
        <v>5.4335463417675145E-3</v>
      </c>
      <c r="F246" s="243">
        <v>6.9438259052826247E-3</v>
      </c>
      <c r="G246" s="245">
        <v>9.4091169171493221E-3</v>
      </c>
      <c r="H246" s="243">
        <v>0.11707855498542917</v>
      </c>
      <c r="I246" s="245">
        <v>0.15864536746388397</v>
      </c>
      <c r="J246" s="242">
        <v>8.4816184506323986E-2</v>
      </c>
      <c r="K246" s="242">
        <v>26.166789937980226</v>
      </c>
      <c r="L246" s="242">
        <v>5.0251256281407036E-3</v>
      </c>
      <c r="M246" s="243">
        <v>89.175350508490169</v>
      </c>
      <c r="N246" s="592">
        <v>29.836605327764843</v>
      </c>
      <c r="O246" s="245">
        <v>0.36908302721666203</v>
      </c>
      <c r="P246" s="245">
        <v>1.6471103253486654</v>
      </c>
      <c r="Q246" s="254">
        <v>80.982565796355033</v>
      </c>
      <c r="R246" s="255">
        <v>0</v>
      </c>
      <c r="S246" s="256">
        <v>0</v>
      </c>
      <c r="T246" s="257">
        <v>0</v>
      </c>
      <c r="U246" s="255">
        <v>1.1661424276988849E-2</v>
      </c>
      <c r="V246" s="256">
        <v>1.5801620884417267E-2</v>
      </c>
      <c r="W246" s="257">
        <v>8.4125822459750227E-2</v>
      </c>
      <c r="X246" s="255">
        <v>2.3249306060223275E-2</v>
      </c>
      <c r="Y246" s="256">
        <v>3.1503589224033887E-2</v>
      </c>
      <c r="Z246" s="257">
        <v>8.3595284969141967E-2</v>
      </c>
      <c r="AA246" s="255">
        <v>3.4887253907677475E-2</v>
      </c>
      <c r="AB246" s="256">
        <v>4.7273398759304183E-2</v>
      </c>
      <c r="AC246" s="257">
        <v>8.3956462877583404E-2</v>
      </c>
      <c r="AD246" s="255">
        <v>4.6567913153941501E-2</v>
      </c>
      <c r="AE246" s="256">
        <v>6.3101083672007396E-2</v>
      </c>
      <c r="AF246" s="257">
        <v>8.4264584035680157E-2</v>
      </c>
      <c r="AG246" s="255">
        <v>5.8283412624030223E-2</v>
      </c>
      <c r="AH246" s="256">
        <v>7.8975978256130633E-2</v>
      </c>
      <c r="AI246" s="257">
        <v>8.4515922329726975E-2</v>
      </c>
      <c r="AJ246" s="255">
        <v>7.0025437263896317E-2</v>
      </c>
      <c r="AK246" s="256">
        <v>9.4886815334649155E-2</v>
      </c>
      <c r="AL246" s="257">
        <v>8.470727560445597E-2</v>
      </c>
      <c r="AM246" s="255">
        <v>8.1785253695459595E-2</v>
      </c>
      <c r="AN246" s="256">
        <v>0.110821760887448</v>
      </c>
      <c r="AO246" s="257">
        <v>8.4835626059255195E-2</v>
      </c>
      <c r="AP246" s="255">
        <v>9.3553741975062693E-2</v>
      </c>
      <c r="AQ246" s="256">
        <v>0.1267684570850941</v>
      </c>
      <c r="AR246" s="257">
        <v>8.489818499985001E-2</v>
      </c>
      <c r="AS246" s="255">
        <v>0.10532143351946271</v>
      </c>
      <c r="AT246" s="256">
        <v>0.14271407367982678</v>
      </c>
      <c r="AU246" s="257">
        <v>8.4892437331070575E-2</v>
      </c>
      <c r="AV246" s="255">
        <v>0.11707855498542917</v>
      </c>
      <c r="AW246" s="256">
        <v>0.15864536746388397</v>
      </c>
      <c r="AX246" s="257">
        <v>8.4816184506323986E-2</v>
      </c>
      <c r="AY246" s="243">
        <v>0</v>
      </c>
      <c r="AZ246" s="244">
        <v>0</v>
      </c>
      <c r="BA246" s="244">
        <v>0</v>
      </c>
      <c r="BB246" s="244">
        <v>0</v>
      </c>
      <c r="BC246" s="244">
        <v>0</v>
      </c>
      <c r="BD246" s="244">
        <v>0</v>
      </c>
      <c r="BE246" s="244">
        <v>0</v>
      </c>
      <c r="BF246" s="244">
        <v>0</v>
      </c>
      <c r="BG246" s="244">
        <v>0</v>
      </c>
      <c r="BH246" s="245">
        <v>0</v>
      </c>
      <c r="BK246">
        <v>188</v>
      </c>
      <c r="BL246" s="281">
        <v>6.0301507537689682E-2</v>
      </c>
      <c r="BM246" s="281">
        <v>1076.0201005025347</v>
      </c>
      <c r="BN246" s="282">
        <v>4151.5226130653591</v>
      </c>
      <c r="BO246" s="282">
        <v>125.67839195980056</v>
      </c>
      <c r="BP246" s="282">
        <v>0</v>
      </c>
      <c r="BQ246" s="283">
        <v>0</v>
      </c>
      <c r="BR246" s="284"/>
      <c r="BS246" s="147"/>
      <c r="BT246" s="285">
        <v>0.72927449309744385</v>
      </c>
      <c r="BU246" s="288">
        <v>2.5398009028631117E-2</v>
      </c>
      <c r="BV246" s="287">
        <v>0.81899097767572016</v>
      </c>
      <c r="BW246" s="288">
        <v>0</v>
      </c>
      <c r="BX246" s="286">
        <v>98.861881251250054</v>
      </c>
      <c r="BY246" s="287">
        <v>1.1381187487499429</v>
      </c>
      <c r="BZ246" s="288">
        <v>0</v>
      </c>
      <c r="CA246" s="286">
        <v>0.75812479972142988</v>
      </c>
      <c r="CB246" s="286">
        <v>1.1237152010804163</v>
      </c>
      <c r="CC246" s="287">
        <v>1.2163435499301467</v>
      </c>
      <c r="CD246" s="286">
        <v>0</v>
      </c>
      <c r="CE246" s="286">
        <v>15.619261000384222</v>
      </c>
      <c r="CF246" s="286">
        <v>21.483626894697053</v>
      </c>
      <c r="CG246" s="287">
        <v>22.603774407070844</v>
      </c>
      <c r="CH246" s="288">
        <v>0</v>
      </c>
      <c r="CI246" s="286">
        <v>1.3362241327839837</v>
      </c>
      <c r="CJ246" s="286">
        <v>257.66462185871239</v>
      </c>
      <c r="CK246" s="287"/>
      <c r="CL246" s="288"/>
      <c r="CM246" s="286"/>
      <c r="CN246" s="287"/>
      <c r="CO246" s="289"/>
      <c r="CP246" s="290"/>
      <c r="CQ246" s="289"/>
      <c r="CR246" s="290"/>
      <c r="CS246" s="284"/>
      <c r="CT246" s="147"/>
      <c r="CU246" s="291"/>
      <c r="CV246" s="292"/>
    </row>
    <row r="247" spans="2:100">
      <c r="B247">
        <v>189</v>
      </c>
      <c r="C247" s="243">
        <v>0.73228056326904067</v>
      </c>
      <c r="D247" s="592">
        <v>0.12317558867995347</v>
      </c>
      <c r="E247" s="245">
        <v>5.4094811570466472E-3</v>
      </c>
      <c r="F247" s="243">
        <v>6.9262185131531376E-3</v>
      </c>
      <c r="G247" s="245">
        <v>9.3849676682302291E-3</v>
      </c>
      <c r="H247" s="243">
        <v>0.11678168002691186</v>
      </c>
      <c r="I247" s="245">
        <v>0.15823819147675561</v>
      </c>
      <c r="J247" s="242">
        <v>8.4634492346176357E-2</v>
      </c>
      <c r="K247" s="242">
        <v>26.1468367953367</v>
      </c>
      <c r="L247" s="242">
        <v>5.0251256281407036E-3</v>
      </c>
      <c r="M247" s="243">
        <v>89.298800696826177</v>
      </c>
      <c r="N247" s="592">
        <v>29.941633464208149</v>
      </c>
      <c r="O247" s="245">
        <v>0.368711508064267</v>
      </c>
      <c r="P247" s="245">
        <v>1.6458543429622434</v>
      </c>
      <c r="Q247" s="254">
        <v>80.787453106930784</v>
      </c>
      <c r="R247" s="255">
        <v>0</v>
      </c>
      <c r="S247" s="256">
        <v>0</v>
      </c>
      <c r="T247" s="257">
        <v>0</v>
      </c>
      <c r="U247" s="255">
        <v>1.1629746075968218E-2</v>
      </c>
      <c r="V247" s="256">
        <v>1.5758207845366013E-2</v>
      </c>
      <c r="W247" s="257">
        <v>8.3894696954184805E-2</v>
      </c>
      <c r="X247" s="255">
        <v>2.3185008816629611E-2</v>
      </c>
      <c r="Y247" s="256">
        <v>3.1415491399598414E-2</v>
      </c>
      <c r="Z247" s="257">
        <v>8.3357388847637617E-2</v>
      </c>
      <c r="AA247" s="255">
        <v>3.4790758665427385E-2</v>
      </c>
      <c r="AB247" s="256">
        <v>4.7141184559537377E-2</v>
      </c>
      <c r="AC247" s="257">
        <v>8.3721592899000941E-2</v>
      </c>
      <c r="AD247" s="255">
        <v>4.6439793420595517E-2</v>
      </c>
      <c r="AE247" s="256">
        <v>6.292552840253475E-2</v>
      </c>
      <c r="AF247" s="257">
        <v>8.403384168576819E-2</v>
      </c>
      <c r="AG247" s="255">
        <v>5.8124399030323202E-2</v>
      </c>
      <c r="AH247" s="256">
        <v>7.8758070453448722E-2</v>
      </c>
      <c r="AI247" s="257">
        <v>8.4290442822558362E-2</v>
      </c>
      <c r="AJ247" s="255">
        <v>6.9836421159914702E-2</v>
      </c>
      <c r="AK247" s="256">
        <v>9.4627761657541831E-2</v>
      </c>
      <c r="AL247" s="257">
        <v>8.4488220195382269E-2</v>
      </c>
      <c r="AM247" s="255">
        <v>8.156728899681745E-2</v>
      </c>
      <c r="AN247" s="256">
        <v>0.11052298863609325</v>
      </c>
      <c r="AO247" s="257">
        <v>8.4624169415032896E-2</v>
      </c>
      <c r="AP247" s="255">
        <v>9.3308045085820593E-2</v>
      </c>
      <c r="AQ247" s="256">
        <v>0.12643161411284126</v>
      </c>
      <c r="AR247" s="257">
        <v>8.4695501317548341E-2</v>
      </c>
      <c r="AS247" s="255">
        <v>0.1050493811929102</v>
      </c>
      <c r="AT247" s="256">
        <v>0.14234102550920444</v>
      </c>
      <c r="AU247" s="257">
        <v>8.4699685453751658E-2</v>
      </c>
      <c r="AV247" s="255">
        <v>0.11678168002691186</v>
      </c>
      <c r="AW247" s="256">
        <v>0.15823819147675561</v>
      </c>
      <c r="AX247" s="257">
        <v>8.4634492346176357E-2</v>
      </c>
      <c r="AY247" s="243">
        <v>0</v>
      </c>
      <c r="AZ247" s="244">
        <v>0</v>
      </c>
      <c r="BA247" s="244">
        <v>0</v>
      </c>
      <c r="BB247" s="244">
        <v>0</v>
      </c>
      <c r="BC247" s="244">
        <v>0</v>
      </c>
      <c r="BD247" s="244">
        <v>0</v>
      </c>
      <c r="BE247" s="244">
        <v>0</v>
      </c>
      <c r="BF247" s="244">
        <v>0</v>
      </c>
      <c r="BG247" s="244">
        <v>0</v>
      </c>
      <c r="BH247" s="245">
        <v>0</v>
      </c>
      <c r="BK247">
        <v>189</v>
      </c>
      <c r="BL247" s="281">
        <v>5.5276381909548977E-2</v>
      </c>
      <c r="BM247" s="281">
        <v>986.35175879399196</v>
      </c>
      <c r="BN247" s="282">
        <v>4119.1457286432487</v>
      </c>
      <c r="BO247" s="282">
        <v>125.37185929648398</v>
      </c>
      <c r="BP247" s="282">
        <v>0</v>
      </c>
      <c r="BQ247" s="283">
        <v>0</v>
      </c>
      <c r="BR247" s="284"/>
      <c r="BS247" s="147"/>
      <c r="BT247" s="285">
        <v>0.72687108211199536</v>
      </c>
      <c r="BU247" s="288">
        <v>2.5316815098996442E-2</v>
      </c>
      <c r="BV247" s="287">
        <v>0.81921158587754817</v>
      </c>
      <c r="BW247" s="288">
        <v>0</v>
      </c>
      <c r="BX247" s="286">
        <v>98.852086620292084</v>
      </c>
      <c r="BY247" s="287">
        <v>1.1479133797079115</v>
      </c>
      <c r="BZ247" s="288">
        <v>0</v>
      </c>
      <c r="CA247" s="286">
        <v>0.75796836756774078</v>
      </c>
      <c r="CB247" s="286">
        <v>1.1237988871423119</v>
      </c>
      <c r="CC247" s="287">
        <v>1.2163058822605979</v>
      </c>
      <c r="CD247" s="286">
        <v>0</v>
      </c>
      <c r="CE247" s="286">
        <v>15.617824279563555</v>
      </c>
      <c r="CF247" s="286">
        <v>21.486354607863085</v>
      </c>
      <c r="CG247" s="287">
        <v>22.605003594938179</v>
      </c>
      <c r="CH247" s="288">
        <v>0</v>
      </c>
      <c r="CI247" s="286">
        <v>1.3318552713648801</v>
      </c>
      <c r="CJ247" s="286">
        <v>258.60653737370455</v>
      </c>
      <c r="CK247" s="287"/>
      <c r="CL247" s="288"/>
      <c r="CM247" s="286"/>
      <c r="CN247" s="287"/>
      <c r="CO247" s="289"/>
      <c r="CP247" s="290"/>
      <c r="CQ247" s="289"/>
      <c r="CR247" s="290"/>
      <c r="CS247" s="284"/>
      <c r="CT247" s="147"/>
      <c r="CU247" s="291"/>
      <c r="CV247" s="292"/>
    </row>
    <row r="248" spans="2:100">
      <c r="B248">
        <v>190</v>
      </c>
      <c r="C248" s="243">
        <v>0.72986048958677729</v>
      </c>
      <c r="D248" s="592">
        <v>0.1230804265384598</v>
      </c>
      <c r="E248" s="245">
        <v>5.3854023559350983E-3</v>
      </c>
      <c r="F248" s="243">
        <v>6.9081431679017076E-3</v>
      </c>
      <c r="G248" s="245">
        <v>9.3601857433621236E-3</v>
      </c>
      <c r="H248" s="243">
        <v>0.11647691499798304</v>
      </c>
      <c r="I248" s="245">
        <v>0.15782034805831566</v>
      </c>
      <c r="J248" s="242">
        <v>8.4445833014110239E-2</v>
      </c>
      <c r="K248" s="242">
        <v>26.126360897131608</v>
      </c>
      <c r="L248" s="242">
        <v>5.0251256281407036E-3</v>
      </c>
      <c r="M248" s="243">
        <v>89.424540495061066</v>
      </c>
      <c r="N248" s="592">
        <v>30.047700281009362</v>
      </c>
      <c r="O248" s="245">
        <v>0.36834777764356791</v>
      </c>
      <c r="P248" s="245">
        <v>1.64456545489327</v>
      </c>
      <c r="Q248" s="254">
        <v>80.587165410669101</v>
      </c>
      <c r="R248" s="255">
        <v>0</v>
      </c>
      <c r="S248" s="256">
        <v>0</v>
      </c>
      <c r="T248" s="257">
        <v>0</v>
      </c>
      <c r="U248" s="255">
        <v>1.1597455344306099E-2</v>
      </c>
      <c r="V248" s="256">
        <v>1.5713967347614387E-2</v>
      </c>
      <c r="W248" s="257">
        <v>8.3659166163602763E-2</v>
      </c>
      <c r="X248" s="255">
        <v>2.3119454032240423E-2</v>
      </c>
      <c r="Y248" s="256">
        <v>3.1325694729720445E-2</v>
      </c>
      <c r="Z248" s="257">
        <v>8.3114853573802175E-2</v>
      </c>
      <c r="AA248" s="255">
        <v>3.4692320309465605E-2</v>
      </c>
      <c r="AB248" s="256">
        <v>4.7006345131009403E-2</v>
      </c>
      <c r="AC248" s="257">
        <v>8.3481790973299469E-2</v>
      </c>
      <c r="AD248" s="255">
        <v>4.6309003687272983E-2</v>
      </c>
      <c r="AE248" s="256">
        <v>6.2746365494706011E-2</v>
      </c>
      <c r="AF248" s="257">
        <v>8.3797869111958842E-2</v>
      </c>
      <c r="AG248" s="255">
        <v>5.7961946839777234E-2</v>
      </c>
      <c r="AH248" s="256">
        <v>7.8535516025210986E-2</v>
      </c>
      <c r="AI248" s="257">
        <v>8.4059431879511079E-2</v>
      </c>
      <c r="AJ248" s="255">
        <v>6.9643156159159114E-2</v>
      </c>
      <c r="AK248" s="256">
        <v>9.4362965786898206E-2</v>
      </c>
      <c r="AL248" s="257">
        <v>8.4263332121540011E-2</v>
      </c>
      <c r="AM248" s="255">
        <v>8.1344223862558088E-2</v>
      </c>
      <c r="AN248" s="256">
        <v>0.11021732265783968</v>
      </c>
      <c r="AO248" s="257">
        <v>8.4406582153456783E-2</v>
      </c>
      <c r="AP248" s="255">
        <v>9.3056355950709171E-2</v>
      </c>
      <c r="AQ248" s="256">
        <v>0.12608667121234923</v>
      </c>
      <c r="AR248" s="257">
        <v>8.4486395972522776E-2</v>
      </c>
      <c r="AS248" s="255">
        <v>0.10477040604857926</v>
      </c>
      <c r="AT248" s="256">
        <v>0.14195861857333847</v>
      </c>
      <c r="AU248" s="257">
        <v>8.4500231688119154E-2</v>
      </c>
      <c r="AV248" s="255">
        <v>0.11647691499798304</v>
      </c>
      <c r="AW248" s="256">
        <v>0.15782034805831566</v>
      </c>
      <c r="AX248" s="257">
        <v>8.4445833014110239E-2</v>
      </c>
      <c r="AY248" s="243">
        <v>0</v>
      </c>
      <c r="AZ248" s="244">
        <v>0</v>
      </c>
      <c r="BA248" s="244">
        <v>0</v>
      </c>
      <c r="BB248" s="244">
        <v>0</v>
      </c>
      <c r="BC248" s="244">
        <v>0</v>
      </c>
      <c r="BD248" s="244">
        <v>0</v>
      </c>
      <c r="BE248" s="244">
        <v>0</v>
      </c>
      <c r="BF248" s="244">
        <v>0</v>
      </c>
      <c r="BG248" s="244">
        <v>0</v>
      </c>
      <c r="BH248" s="245">
        <v>0</v>
      </c>
      <c r="BK248">
        <v>190</v>
      </c>
      <c r="BL248" s="281">
        <v>5.0251256281408273E-2</v>
      </c>
      <c r="BM248" s="281">
        <v>896.68341708544926</v>
      </c>
      <c r="BN248" s="282">
        <v>4086.7688442211384</v>
      </c>
      <c r="BO248" s="282">
        <v>125.06532663316739</v>
      </c>
      <c r="BP248" s="282">
        <v>0</v>
      </c>
      <c r="BQ248" s="283">
        <v>0</v>
      </c>
      <c r="BR248" s="284"/>
      <c r="BS248" s="147"/>
      <c r="BT248" s="285">
        <v>0.72447508723084353</v>
      </c>
      <c r="BU248" s="288">
        <v>2.5235854315496638E-2</v>
      </c>
      <c r="BV248" s="287">
        <v>0.81943160519036484</v>
      </c>
      <c r="BW248" s="288">
        <v>0</v>
      </c>
      <c r="BX248" s="286">
        <v>98.842327591410537</v>
      </c>
      <c r="BY248" s="287">
        <v>1.1576724085894621</v>
      </c>
      <c r="BZ248" s="288">
        <v>0</v>
      </c>
      <c r="CA248" s="286">
        <v>0.75781159278396237</v>
      </c>
      <c r="CB248" s="286">
        <v>1.1238822076328285</v>
      </c>
      <c r="CC248" s="287">
        <v>1.2162682014986843</v>
      </c>
      <c r="CD248" s="286">
        <v>0</v>
      </c>
      <c r="CE248" s="286">
        <v>15.616381251875676</v>
      </c>
      <c r="CF248" s="286">
        <v>21.489075801195654</v>
      </c>
      <c r="CG248" s="287">
        <v>22.606232837586443</v>
      </c>
      <c r="CH248" s="288">
        <v>0</v>
      </c>
      <c r="CI248" s="286">
        <v>1.3274981089186788</v>
      </c>
      <c r="CJ248" s="286">
        <v>259.55355808379767</v>
      </c>
      <c r="CK248" s="287"/>
      <c r="CL248" s="288"/>
      <c r="CM248" s="286"/>
      <c r="CN248" s="287"/>
      <c r="CO248" s="289"/>
      <c r="CP248" s="290"/>
      <c r="CQ248" s="289"/>
      <c r="CR248" s="290"/>
      <c r="CS248" s="284"/>
      <c r="CT248" s="147"/>
      <c r="CU248" s="291"/>
      <c r="CV248" s="292"/>
    </row>
    <row r="249" spans="2:100">
      <c r="B249">
        <v>191</v>
      </c>
      <c r="C249" s="243">
        <v>0.72744779190744124</v>
      </c>
      <c r="D249" s="592">
        <v>0.12297411800797241</v>
      </c>
      <c r="E249" s="245">
        <v>5.3613179546206924E-3</v>
      </c>
      <c r="F249" s="243">
        <v>6.8896214489078313E-3</v>
      </c>
      <c r="G249" s="245">
        <v>9.3348004400501707E-3</v>
      </c>
      <c r="H249" s="243">
        <v>0.11616462374454026</v>
      </c>
      <c r="I249" s="245">
        <v>0.15739233118834067</v>
      </c>
      <c r="J249" s="242">
        <v>8.4250471755659431E-2</v>
      </c>
      <c r="K249" s="242">
        <v>26.105391321224438</v>
      </c>
      <c r="L249" s="242">
        <v>5.0251256281407036E-3</v>
      </c>
      <c r="M249" s="243">
        <v>89.552486433682105</v>
      </c>
      <c r="N249" s="592">
        <v>30.154783216179748</v>
      </c>
      <c r="O249" s="245">
        <v>0.36799138126614872</v>
      </c>
      <c r="P249" s="245">
        <v>1.6432454914939862</v>
      </c>
      <c r="Q249" s="254">
        <v>80.381934137869024</v>
      </c>
      <c r="R249" s="255">
        <v>0</v>
      </c>
      <c r="S249" s="256">
        <v>0</v>
      </c>
      <c r="T249" s="257">
        <v>0</v>
      </c>
      <c r="U249" s="255">
        <v>1.1564585592073134E-2</v>
      </c>
      <c r="V249" s="256">
        <v>1.5668944872289797E-2</v>
      </c>
      <c r="W249" s="257">
        <v>8.341947222374943E-2</v>
      </c>
      <c r="X249" s="255">
        <v>2.3052709807346687E-2</v>
      </c>
      <c r="Y249" s="256">
        <v>3.1234291644293737E-2</v>
      </c>
      <c r="Z249" s="257">
        <v>8.2867929096904117E-2</v>
      </c>
      <c r="AA249" s="255">
        <v>3.4592042522011174E-2</v>
      </c>
      <c r="AB249" s="256">
        <v>4.6869021201142051E-2</v>
      </c>
      <c r="AC249" s="257">
        <v>8.3237314230383511E-2</v>
      </c>
      <c r="AD249" s="255">
        <v>4.6175684044678665E-2</v>
      </c>
      <c r="AE249" s="256">
        <v>6.2563785098557825E-2</v>
      </c>
      <c r="AF249" s="257">
        <v>8.3556929433976093E-2</v>
      </c>
      <c r="AG249" s="255">
        <v>5.7796233189241701E-2</v>
      </c>
      <c r="AH249" s="256">
        <v>7.8308555413258873E-2</v>
      </c>
      <c r="AI249" s="257">
        <v>8.3823157247765609E-2</v>
      </c>
      <c r="AJ249" s="255">
        <v>6.9445856870621978E-2</v>
      </c>
      <c r="AK249" s="256">
        <v>9.4092719038766412E-2</v>
      </c>
      <c r="AL249" s="257">
        <v>8.4032882230743608E-2</v>
      </c>
      <c r="AM249" s="255">
        <v>8.1116310567086319E-2</v>
      </c>
      <c r="AN249" s="256">
        <v>0.10990510540995233</v>
      </c>
      <c r="AO249" s="257">
        <v>8.4183136543869636E-2</v>
      </c>
      <c r="AP249" s="255">
        <v>9.2798964451562285E-2</v>
      </c>
      <c r="AQ249" s="256">
        <v>0.12573402190855734</v>
      </c>
      <c r="AR249" s="257">
        <v>8.4271140842584774E-2</v>
      </c>
      <c r="AS249" s="255">
        <v>0.10448483525130312</v>
      </c>
      <c r="AT249" s="256">
        <v>0.14156729703009291</v>
      </c>
      <c r="AU249" s="257">
        <v>8.4294345597432777E-2</v>
      </c>
      <c r="AV249" s="255">
        <v>0.11616462374454026</v>
      </c>
      <c r="AW249" s="256">
        <v>0.15739233118834067</v>
      </c>
      <c r="AX249" s="257">
        <v>8.4250471755659431E-2</v>
      </c>
      <c r="AY249" s="243">
        <v>0</v>
      </c>
      <c r="AZ249" s="244">
        <v>0</v>
      </c>
      <c r="BA249" s="244">
        <v>0</v>
      </c>
      <c r="BB249" s="244">
        <v>0</v>
      </c>
      <c r="BC249" s="244">
        <v>0</v>
      </c>
      <c r="BD249" s="244">
        <v>0</v>
      </c>
      <c r="BE249" s="244">
        <v>0</v>
      </c>
      <c r="BF249" s="244">
        <v>0</v>
      </c>
      <c r="BG249" s="244">
        <v>0</v>
      </c>
      <c r="BH249" s="245">
        <v>0</v>
      </c>
      <c r="BK249">
        <v>191</v>
      </c>
      <c r="BL249" s="281">
        <v>4.5226130653267575E-2</v>
      </c>
      <c r="BM249" s="281">
        <v>807.01507537690657</v>
      </c>
      <c r="BN249" s="282">
        <v>4054.391959799028</v>
      </c>
      <c r="BO249" s="282">
        <v>124.7587939698508</v>
      </c>
      <c r="BP249" s="282">
        <v>0</v>
      </c>
      <c r="BQ249" s="283">
        <v>0</v>
      </c>
      <c r="BR249" s="284"/>
      <c r="BS249" s="147"/>
      <c r="BT249" s="285">
        <v>0.72208647395282188</v>
      </c>
      <c r="BU249" s="288">
        <v>2.5155125683415512E-2</v>
      </c>
      <c r="BV249" s="287">
        <v>0.8196510325891615</v>
      </c>
      <c r="BW249" s="288">
        <v>0</v>
      </c>
      <c r="BX249" s="286">
        <v>98.832603965667786</v>
      </c>
      <c r="BY249" s="287">
        <v>1.1673960343322078</v>
      </c>
      <c r="BZ249" s="288">
        <v>0</v>
      </c>
      <c r="CA249" s="286">
        <v>0.75765447243845896</v>
      </c>
      <c r="CB249" s="286">
        <v>1.1239651602113538</v>
      </c>
      <c r="CC249" s="287">
        <v>1.2162305076077902</v>
      </c>
      <c r="CD249" s="286">
        <v>0</v>
      </c>
      <c r="CE249" s="286">
        <v>15.614931864197027</v>
      </c>
      <c r="CF249" s="286">
        <v>21.491790426652727</v>
      </c>
      <c r="CG249" s="287">
        <v>22.607462134701315</v>
      </c>
      <c r="CH249" s="288">
        <v>0</v>
      </c>
      <c r="CI249" s="286">
        <v>1.3231525724378856</v>
      </c>
      <c r="CJ249" s="286">
        <v>260.50570571786977</v>
      </c>
      <c r="CK249" s="287"/>
      <c r="CL249" s="288"/>
      <c r="CM249" s="286"/>
      <c r="CN249" s="287"/>
      <c r="CO249" s="289"/>
      <c r="CP249" s="290"/>
      <c r="CQ249" s="289"/>
      <c r="CR249" s="290"/>
      <c r="CS249" s="284"/>
      <c r="CT249" s="147"/>
      <c r="CU249" s="291"/>
      <c r="CV249" s="292"/>
    </row>
    <row r="250" spans="2:100">
      <c r="B250">
        <v>192</v>
      </c>
      <c r="C250" s="243">
        <v>0.72504244325084655</v>
      </c>
      <c r="D250" s="592">
        <v>0.12285705639791716</v>
      </c>
      <c r="E250" s="245">
        <v>5.3372356377860974E-3</v>
      </c>
      <c r="F250" s="243">
        <v>6.8706741907180657E-3</v>
      </c>
      <c r="G250" s="245">
        <v>9.3088400430682092E-3</v>
      </c>
      <c r="H250" s="243">
        <v>0.11584515755399162</v>
      </c>
      <c r="I250" s="245">
        <v>0.15695461777113304</v>
      </c>
      <c r="J250" s="242">
        <v>8.4048666945574654E-2</v>
      </c>
      <c r="K250" s="242">
        <v>26.083956094039049</v>
      </c>
      <c r="L250" s="242">
        <v>5.0251256281407036E-3</v>
      </c>
      <c r="M250" s="243">
        <v>89.68255811055441</v>
      </c>
      <c r="N250" s="592">
        <v>30.262860518826919</v>
      </c>
      <c r="O250" s="245">
        <v>0.36764188042592372</v>
      </c>
      <c r="P250" s="245">
        <v>1.6418962169323403</v>
      </c>
      <c r="Q250" s="254">
        <v>80.171982738593883</v>
      </c>
      <c r="R250" s="255">
        <v>0</v>
      </c>
      <c r="S250" s="256">
        <v>0</v>
      </c>
      <c r="T250" s="257">
        <v>0</v>
      </c>
      <c r="U250" s="255">
        <v>1.1531168897647139E-2</v>
      </c>
      <c r="V250" s="256">
        <v>1.562318395519522E-2</v>
      </c>
      <c r="W250" s="257">
        <v>8.3175846913709869E-2</v>
      </c>
      <c r="X250" s="255">
        <v>2.298484139170405E-2</v>
      </c>
      <c r="Y250" s="256">
        <v>3.1141370699795144E-2</v>
      </c>
      <c r="Z250" s="257">
        <v>8.2616855101292713E-2</v>
      </c>
      <c r="AA250" s="255">
        <v>3.4490024734067488E-2</v>
      </c>
      <c r="AB250" s="256">
        <v>4.6729347720292011E-2</v>
      </c>
      <c r="AC250" s="257">
        <v>8.2988409665376295E-2</v>
      </c>
      <c r="AD250" s="255">
        <v>4.6039968961537607E-2</v>
      </c>
      <c r="AE250" s="256">
        <v>6.2377969723810649E-2</v>
      </c>
      <c r="AF250" s="257">
        <v>8.3311275851831568E-2</v>
      </c>
      <c r="AG250" s="255">
        <v>5.7627428264798025E-2</v>
      </c>
      <c r="AH250" s="256">
        <v>7.8077419612634535E-2</v>
      </c>
      <c r="AI250" s="257">
        <v>8.3581877057016196E-2</v>
      </c>
      <c r="AJ250" s="255">
        <v>6.9244729677809272E-2</v>
      </c>
      <c r="AK250" s="256">
        <v>9.381730154910134E-2</v>
      </c>
      <c r="AL250" s="257">
        <v>8.3797132142970465E-2</v>
      </c>
      <c r="AM250" s="255">
        <v>8.0883791950486519E-2</v>
      </c>
      <c r="AN250" s="256">
        <v>0.10958666652554468</v>
      </c>
      <c r="AO250" s="257">
        <v>8.3954096102856715E-2</v>
      </c>
      <c r="AP250" s="255">
        <v>9.2536149904156359E-2</v>
      </c>
      <c r="AQ250" s="256">
        <v>0.12537404536266425</v>
      </c>
      <c r="AR250" s="257">
        <v>8.4049999608968529E-2</v>
      </c>
      <c r="AS250" s="255">
        <v>0.10419298435547905</v>
      </c>
      <c r="AT250" s="256">
        <v>0.14116748925241868</v>
      </c>
      <c r="AU250" s="257">
        <v>8.4082289178810735E-2</v>
      </c>
      <c r="AV250" s="255">
        <v>0.11584515755399162</v>
      </c>
      <c r="AW250" s="256">
        <v>0.15695461777113304</v>
      </c>
      <c r="AX250" s="257">
        <v>8.4048666945574654E-2</v>
      </c>
      <c r="AY250" s="243">
        <v>0</v>
      </c>
      <c r="AZ250" s="244">
        <v>0</v>
      </c>
      <c r="BA250" s="244">
        <v>0</v>
      </c>
      <c r="BB250" s="244">
        <v>0</v>
      </c>
      <c r="BC250" s="244">
        <v>0</v>
      </c>
      <c r="BD250" s="244">
        <v>0</v>
      </c>
      <c r="BE250" s="244">
        <v>0</v>
      </c>
      <c r="BF250" s="244">
        <v>0</v>
      </c>
      <c r="BG250" s="244">
        <v>0</v>
      </c>
      <c r="BH250" s="245">
        <v>0</v>
      </c>
      <c r="BK250">
        <v>192</v>
      </c>
      <c r="BL250" s="281">
        <v>4.0201005025126871E-2</v>
      </c>
      <c r="BM250" s="281">
        <v>717.34673366836387</v>
      </c>
      <c r="BN250" s="282">
        <v>4022.0150753769176</v>
      </c>
      <c r="BO250" s="282">
        <v>124.45226130653421</v>
      </c>
      <c r="BP250" s="282">
        <v>0</v>
      </c>
      <c r="BQ250" s="283">
        <v>0</v>
      </c>
      <c r="BR250" s="284"/>
      <c r="BS250" s="147"/>
      <c r="BT250" s="285">
        <v>0.71970520761306178</v>
      </c>
      <c r="BU250" s="288">
        <v>2.5074628200925049E-2</v>
      </c>
      <c r="BV250" s="287">
        <v>0.81986986500500159</v>
      </c>
      <c r="BW250" s="288">
        <v>0</v>
      </c>
      <c r="BX250" s="286">
        <v>98.822915543598555</v>
      </c>
      <c r="BY250" s="287">
        <v>1.1770844564014435</v>
      </c>
      <c r="BZ250" s="288">
        <v>0</v>
      </c>
      <c r="CA250" s="286">
        <v>0.75749700357329863</v>
      </c>
      <c r="CB250" s="286">
        <v>1.1240477425069373</v>
      </c>
      <c r="CC250" s="287">
        <v>1.2161928005511742</v>
      </c>
      <c r="CD250" s="286">
        <v>0</v>
      </c>
      <c r="CE250" s="286">
        <v>15.613476062920071</v>
      </c>
      <c r="CF250" s="286">
        <v>21.49449843558844</v>
      </c>
      <c r="CG250" s="287">
        <v>22.608691485966826</v>
      </c>
      <c r="CH250" s="288">
        <v>0</v>
      </c>
      <c r="CI250" s="286">
        <v>1.3188185893530868</v>
      </c>
      <c r="CJ250" s="286">
        <v>261.46300198448023</v>
      </c>
      <c r="CK250" s="287"/>
      <c r="CL250" s="288"/>
      <c r="CM250" s="286"/>
      <c r="CN250" s="287"/>
      <c r="CO250" s="289"/>
      <c r="CP250" s="290"/>
      <c r="CQ250" s="289"/>
      <c r="CR250" s="290"/>
      <c r="CS250" s="284"/>
      <c r="CT250" s="147"/>
      <c r="CU250" s="291"/>
      <c r="CV250" s="292"/>
    </row>
    <row r="251" spans="2:100">
      <c r="B251">
        <v>193</v>
      </c>
      <c r="C251" s="243">
        <v>0.7226444161103156</v>
      </c>
      <c r="D251" s="592">
        <v>0.12272962579573292</v>
      </c>
      <c r="E251" s="245">
        <v>5.3131628533389375E-3</v>
      </c>
      <c r="F251" s="243">
        <v>6.8513215067740919E-3</v>
      </c>
      <c r="G251" s="245">
        <v>9.2823318567595656E-3</v>
      </c>
      <c r="H251" s="243">
        <v>0.11551885555533027</v>
      </c>
      <c r="I251" s="245">
        <v>0.15650766818013889</v>
      </c>
      <c r="J251" s="242">
        <v>8.3840670222154717E-2</v>
      </c>
      <c r="K251" s="242">
        <v>26.062082220483383</v>
      </c>
      <c r="L251" s="242">
        <v>5.0251256281407036E-3</v>
      </c>
      <c r="M251" s="243">
        <v>89.814678089235201</v>
      </c>
      <c r="N251" s="592">
        <v>30.371911231741027</v>
      </c>
      <c r="O251" s="245">
        <v>0.36729885221025399</v>
      </c>
      <c r="P251" s="245">
        <v>1.6405193310753321</v>
      </c>
      <c r="Q251" s="254">
        <v>79.957526948401124</v>
      </c>
      <c r="R251" s="255">
        <v>0</v>
      </c>
      <c r="S251" s="256">
        <v>0</v>
      </c>
      <c r="T251" s="257">
        <v>0</v>
      </c>
      <c r="U251" s="255">
        <v>1.149723596745097E-2</v>
      </c>
      <c r="V251" s="256">
        <v>1.5576726268039508E-2</v>
      </c>
      <c r="W251" s="257">
        <v>8.2928512088368864E-2</v>
      </c>
      <c r="X251" s="255">
        <v>2.2915911300324034E-2</v>
      </c>
      <c r="Y251" s="256">
        <v>3.104701673675056E-2</v>
      </c>
      <c r="Z251" s="257">
        <v>8.2361861412266577E-2</v>
      </c>
      <c r="AA251" s="255">
        <v>3.4386362293335054E-2</v>
      </c>
      <c r="AB251" s="256">
        <v>4.6587454090121466E-2</v>
      </c>
      <c r="AC251" s="257">
        <v>8.2735314516107286E-2</v>
      </c>
      <c r="AD251" s="255">
        <v>4.5901987500298509E-2</v>
      </c>
      <c r="AE251" s="256">
        <v>6.2189094533270053E-2</v>
      </c>
      <c r="AF251" s="257">
        <v>8.3061151992040019E-2</v>
      </c>
      <c r="AG251" s="255">
        <v>5.7455695560594405E-2</v>
      </c>
      <c r="AH251" s="256">
        <v>7.7842330523691439E-2</v>
      </c>
      <c r="AI251" s="257">
        <v>8.3335840132031186E-2</v>
      </c>
      <c r="AJ251" s="255">
        <v>6.903997303580732E-2</v>
      </c>
      <c r="AK251" s="256">
        <v>9.353698267793556E-2</v>
      </c>
      <c r="AL251" s="257">
        <v>8.3556334527523882E-2</v>
      </c>
      <c r="AM251" s="255">
        <v>8.0646901748785194E-2</v>
      </c>
      <c r="AN251" s="256">
        <v>0.10926232326297261</v>
      </c>
      <c r="AO251" s="257">
        <v>8.3719715835007397E-2</v>
      </c>
      <c r="AP251" s="255">
        <v>9.2268181416613124E-2</v>
      </c>
      <c r="AQ251" s="256">
        <v>0.12500710685987937</v>
      </c>
      <c r="AR251" s="257">
        <v>8.3823227960541799E-2</v>
      </c>
      <c r="AS251" s="255">
        <v>0.10389515768666262</v>
      </c>
      <c r="AT251" s="256">
        <v>0.14075960834773968</v>
      </c>
      <c r="AU251" s="257">
        <v>8.3864317031648386E-2</v>
      </c>
      <c r="AV251" s="255">
        <v>0.11551885555533027</v>
      </c>
      <c r="AW251" s="256">
        <v>0.15650766818013889</v>
      </c>
      <c r="AX251" s="257">
        <v>8.3840670222154717E-2</v>
      </c>
      <c r="AY251" s="243">
        <v>0</v>
      </c>
      <c r="AZ251" s="244">
        <v>0</v>
      </c>
      <c r="BA251" s="244">
        <v>0</v>
      </c>
      <c r="BB251" s="244">
        <v>0</v>
      </c>
      <c r="BC251" s="244">
        <v>0</v>
      </c>
      <c r="BD251" s="244">
        <v>0</v>
      </c>
      <c r="BE251" s="244">
        <v>0</v>
      </c>
      <c r="BF251" s="244">
        <v>0</v>
      </c>
      <c r="BG251" s="244">
        <v>0</v>
      </c>
      <c r="BH251" s="245">
        <v>0</v>
      </c>
      <c r="BK251">
        <v>193</v>
      </c>
      <c r="BL251" s="281">
        <v>3.5175879396986166E-2</v>
      </c>
      <c r="BM251" s="281">
        <v>627.67839195982117</v>
      </c>
      <c r="BN251" s="282">
        <v>3989.6381909548072</v>
      </c>
      <c r="BO251" s="282">
        <v>124.14572864321762</v>
      </c>
      <c r="BP251" s="282">
        <v>0</v>
      </c>
      <c r="BQ251" s="283">
        <v>0</v>
      </c>
      <c r="BR251" s="284"/>
      <c r="BS251" s="147"/>
      <c r="BT251" s="285">
        <v>0.717331253256978</v>
      </c>
      <c r="BU251" s="288">
        <v>2.4994360854841701E-2</v>
      </c>
      <c r="BV251" s="287">
        <v>0.82008809929789195</v>
      </c>
      <c r="BW251" s="288">
        <v>0</v>
      </c>
      <c r="BX251" s="286">
        <v>98.813262124639536</v>
      </c>
      <c r="BY251" s="287">
        <v>1.1867378753604703</v>
      </c>
      <c r="BZ251" s="288">
        <v>0</v>
      </c>
      <c r="CA251" s="286">
        <v>0.75733918320307303</v>
      </c>
      <c r="CB251" s="286">
        <v>1.1241299521040184</v>
      </c>
      <c r="CC251" s="287">
        <v>1.2161550802919632</v>
      </c>
      <c r="CD251" s="286">
        <v>0</v>
      </c>
      <c r="CE251" s="286">
        <v>15.612013793932704</v>
      </c>
      <c r="CF251" s="286">
        <v>21.497199778512787</v>
      </c>
      <c r="CG251" s="287">
        <v>22.609920891065315</v>
      </c>
      <c r="CH251" s="288">
        <v>0</v>
      </c>
      <c r="CI251" s="286">
        <v>1.3144960872205946</v>
      </c>
      <c r="CJ251" s="286">
        <v>262.42546853905293</v>
      </c>
      <c r="CK251" s="287"/>
      <c r="CL251" s="288"/>
      <c r="CM251" s="286"/>
      <c r="CN251" s="287"/>
      <c r="CO251" s="289"/>
      <c r="CP251" s="290"/>
      <c r="CQ251" s="289"/>
      <c r="CR251" s="290"/>
      <c r="CS251" s="284"/>
      <c r="CT251" s="147"/>
      <c r="CU251" s="291"/>
      <c r="CV251" s="292"/>
    </row>
    <row r="252" spans="2:100">
      <c r="B252">
        <v>194</v>
      </c>
      <c r="C252" s="243">
        <v>0.7202536826111835</v>
      </c>
      <c r="D252" s="592">
        <v>0.1225922010098443</v>
      </c>
      <c r="E252" s="245">
        <v>5.2891064009263911E-3</v>
      </c>
      <c r="F252" s="243">
        <v>6.8315828056423715E-3</v>
      </c>
      <c r="G252" s="245">
        <v>9.2553022271734224E-3</v>
      </c>
      <c r="H252" s="243">
        <v>0.11518604499277958</v>
      </c>
      <c r="I252" s="245">
        <v>0.15605192663118539</v>
      </c>
      <c r="J252" s="242">
        <v>8.3626726576095295E-2</v>
      </c>
      <c r="K252" s="242">
        <v>26.039795705244476</v>
      </c>
      <c r="L252" s="242">
        <v>5.0251256281407036E-3</v>
      </c>
      <c r="M252" s="243">
        <v>89.948771824008844</v>
      </c>
      <c r="N252" s="592">
        <v>30.481915144138394</v>
      </c>
      <c r="O252" s="245">
        <v>0.36696188914693711</v>
      </c>
      <c r="P252" s="245">
        <v>1.6391164708294614</v>
      </c>
      <c r="Q252" s="254">
        <v>79.738774970569622</v>
      </c>
      <c r="R252" s="255">
        <v>0</v>
      </c>
      <c r="S252" s="256">
        <v>0</v>
      </c>
      <c r="T252" s="257">
        <v>0</v>
      </c>
      <c r="U252" s="255">
        <v>1.146281617643353E-2</v>
      </c>
      <c r="V252" s="256">
        <v>1.5529611673564278E-2</v>
      </c>
      <c r="W252" s="257">
        <v>8.2677679971899412E-2</v>
      </c>
      <c r="X252" s="255">
        <v>2.2845979392168904E-2</v>
      </c>
      <c r="Y252" s="256">
        <v>3.0951310986915094E-2</v>
      </c>
      <c r="Z252" s="257">
        <v>8.2103168273198746E-2</v>
      </c>
      <c r="AA252" s="255">
        <v>3.4281146578706533E-2</v>
      </c>
      <c r="AB252" s="256">
        <v>4.6443464319558536E-2</v>
      </c>
      <c r="AC252" s="257">
        <v>8.2478256522811974E-2</v>
      </c>
      <c r="AD252" s="255">
        <v>4.5761863464621362E-2</v>
      </c>
      <c r="AE252" s="256">
        <v>6.1997327543758113E-2</v>
      </c>
      <c r="AF252" s="257">
        <v>8.2806792147039024E-2</v>
      </c>
      <c r="AG252" s="255">
        <v>5.7281192056181388E-2</v>
      </c>
      <c r="AH252" s="256">
        <v>7.7603501193728691E-2</v>
      </c>
      <c r="AI252" s="257">
        <v>8.3085286209350351E-2</v>
      </c>
      <c r="AJ252" s="255">
        <v>6.8831777675060338E-2</v>
      </c>
      <c r="AK252" s="256">
        <v>9.325202128709166E-2</v>
      </c>
      <c r="AL252" s="257">
        <v>8.3310733295107506E-2</v>
      </c>
      <c r="AM252" s="255">
        <v>8.0405864820590756E-2</v>
      </c>
      <c r="AN252" s="256">
        <v>0.10893238081476256</v>
      </c>
      <c r="AO252" s="257">
        <v>8.3480242399103802E-2</v>
      </c>
      <c r="AP252" s="255">
        <v>9.1995318135253898E-2</v>
      </c>
      <c r="AQ252" s="256">
        <v>0.12463355814460951</v>
      </c>
      <c r="AR252" s="257">
        <v>8.3591073733602667E-2</v>
      </c>
      <c r="AS252" s="255">
        <v>0.10359164860303501</v>
      </c>
      <c r="AT252" s="256">
        <v>0.14034405251450119</v>
      </c>
      <c r="AU252" s="257">
        <v>8.3640676471346362E-2</v>
      </c>
      <c r="AV252" s="255">
        <v>0.11518604499277958</v>
      </c>
      <c r="AW252" s="256">
        <v>0.15605192663118539</v>
      </c>
      <c r="AX252" s="257">
        <v>8.3626726576095295E-2</v>
      </c>
      <c r="AY252" s="243">
        <v>0</v>
      </c>
      <c r="AZ252" s="244">
        <v>0</v>
      </c>
      <c r="BA252" s="244">
        <v>0</v>
      </c>
      <c r="BB252" s="244">
        <v>0</v>
      </c>
      <c r="BC252" s="244">
        <v>0</v>
      </c>
      <c r="BD252" s="244">
        <v>0</v>
      </c>
      <c r="BE252" s="244">
        <v>0</v>
      </c>
      <c r="BF252" s="244">
        <v>0</v>
      </c>
      <c r="BG252" s="244">
        <v>0</v>
      </c>
      <c r="BH252" s="245">
        <v>0</v>
      </c>
      <c r="BK252">
        <v>194</v>
      </c>
      <c r="BL252" s="281">
        <v>3.0150753768845465E-2</v>
      </c>
      <c r="BM252" s="281">
        <v>538.01005025127847</v>
      </c>
      <c r="BN252" s="282">
        <v>3957.2613065326968</v>
      </c>
      <c r="BO252" s="282">
        <v>123.83919597990104</v>
      </c>
      <c r="BP252" s="282">
        <v>0</v>
      </c>
      <c r="BQ252" s="283">
        <v>0</v>
      </c>
      <c r="BR252" s="284"/>
      <c r="BS252" s="147"/>
      <c r="BT252" s="285">
        <v>0.71496457621025844</v>
      </c>
      <c r="BU252" s="288">
        <v>2.4914322639838633E-2</v>
      </c>
      <c r="BV252" s="287">
        <v>0.82030573238087667</v>
      </c>
      <c r="BW252" s="288">
        <v>0</v>
      </c>
      <c r="BX252" s="286">
        <v>98.80364350969991</v>
      </c>
      <c r="BY252" s="287">
        <v>1.1963564903000858</v>
      </c>
      <c r="BZ252" s="288">
        <v>0</v>
      </c>
      <c r="CA252" s="286">
        <v>0.75718100831845891</v>
      </c>
      <c r="CB252" s="286">
        <v>1.1242117866073269</v>
      </c>
      <c r="CC252" s="287">
        <v>1.2161173467931568</v>
      </c>
      <c r="CD252" s="286">
        <v>0</v>
      </c>
      <c r="CE252" s="286">
        <v>15.61054500267894</v>
      </c>
      <c r="CF252" s="286">
        <v>21.499894406177237</v>
      </c>
      <c r="CG252" s="287">
        <v>22.611150349677438</v>
      </c>
      <c r="CH252" s="288">
        <v>0</v>
      </c>
      <c r="CI252" s="286">
        <v>1.3101849951563203</v>
      </c>
      <c r="CJ252" s="286">
        <v>263.39312711760471</v>
      </c>
      <c r="CK252" s="287"/>
      <c r="CL252" s="288"/>
      <c r="CM252" s="286"/>
      <c r="CN252" s="287"/>
      <c r="CO252" s="289"/>
      <c r="CP252" s="290"/>
      <c r="CQ252" s="289"/>
      <c r="CR252" s="290"/>
      <c r="CS252" s="284"/>
      <c r="CT252" s="147"/>
      <c r="CU252" s="291"/>
      <c r="CV252" s="292"/>
    </row>
    <row r="253" spans="2:100">
      <c r="B253">
        <v>195</v>
      </c>
      <c r="C253" s="243">
        <v>0.71787021429409337</v>
      </c>
      <c r="D253" s="592">
        <v>0.12244514800797947</v>
      </c>
      <c r="E253" s="245">
        <v>5.2650732767646202E-3</v>
      </c>
      <c r="F253" s="243">
        <v>6.8114768279490794E-3</v>
      </c>
      <c r="G253" s="245">
        <v>9.2277765922474525E-3</v>
      </c>
      <c r="H253" s="243">
        <v>0.11484704184854622</v>
      </c>
      <c r="I253" s="245">
        <v>0.15558782202860061</v>
      </c>
      <c r="J253" s="242">
        <v>8.3407074575358162E-2</v>
      </c>
      <c r="K253" s="242">
        <v>26.017121600173819</v>
      </c>
      <c r="L253" s="242">
        <v>5.0251256281407036E-3</v>
      </c>
      <c r="M253" s="243">
        <v>90.084767509742292</v>
      </c>
      <c r="N253" s="592">
        <v>30.592852808799254</v>
      </c>
      <c r="O253" s="245">
        <v>0.36663059796927511</v>
      </c>
      <c r="P253" s="245">
        <v>1.6376892131234746</v>
      </c>
      <c r="Q253" s="254">
        <v>79.515927883956621</v>
      </c>
      <c r="R253" s="255">
        <v>0</v>
      </c>
      <c r="S253" s="256">
        <v>0</v>
      </c>
      <c r="T253" s="257">
        <v>0</v>
      </c>
      <c r="U253" s="255">
        <v>1.1427937659265048E-2</v>
      </c>
      <c r="V253" s="256">
        <v>1.5481878349365428E-2</v>
      </c>
      <c r="W253" s="257">
        <v>8.2423553816972722E-2</v>
      </c>
      <c r="X253" s="255">
        <v>2.2775103046991315E-2</v>
      </c>
      <c r="Y253" s="256">
        <v>3.0854331313394469E-2</v>
      </c>
      <c r="Z253" s="257">
        <v>8.1840986964702739E-2</v>
      </c>
      <c r="AA253" s="255">
        <v>3.4174465256813766E-2</v>
      </c>
      <c r="AB253" s="256">
        <v>4.6297497373172798E-2</v>
      </c>
      <c r="AC253" s="257">
        <v>8.2217454504463203E-2</v>
      </c>
      <c r="AD253" s="255">
        <v>4.5619715729264883E-2</v>
      </c>
      <c r="AE253" s="256">
        <v>6.180283007411274E-2</v>
      </c>
      <c r="AF253" s="257">
        <v>8.2548421805573327E-2</v>
      </c>
      <c r="AG253" s="255">
        <v>5.7104068613010407E-2</v>
      </c>
      <c r="AH253" s="256">
        <v>7.7361136355490093E-2</v>
      </c>
      <c r="AI253" s="257">
        <v>8.2830446419094428E-2</v>
      </c>
      <c r="AJ253" s="255">
        <v>6.862032705747409E-2</v>
      </c>
      <c r="AK253" s="256">
        <v>9.2962666359680313E-2</v>
      </c>
      <c r="AL253" s="257">
        <v>8.3060564029053749E-2</v>
      </c>
      <c r="AM253" s="255">
        <v>8.0160897655619595E-2</v>
      </c>
      <c r="AN253" s="256">
        <v>0.10859713299836538</v>
      </c>
      <c r="AO253" s="257">
        <v>8.3235914487478316E-2</v>
      </c>
      <c r="AP253" s="255">
        <v>9.1717809798306252E-2</v>
      </c>
      <c r="AQ253" s="256">
        <v>0.12425373817264368</v>
      </c>
      <c r="AR253" s="257">
        <v>8.3353777238930116E-2</v>
      </c>
      <c r="AS253" s="255">
        <v>0.10328274008711713</v>
      </c>
      <c r="AT253" s="256">
        <v>0.13992120584605208</v>
      </c>
      <c r="AU253" s="257">
        <v>8.3411607804539323E-2</v>
      </c>
      <c r="AV253" s="255">
        <v>0.11484704184854622</v>
      </c>
      <c r="AW253" s="256">
        <v>0.15558782202860061</v>
      </c>
      <c r="AX253" s="257">
        <v>8.3407074575358162E-2</v>
      </c>
      <c r="AY253" s="243">
        <v>0</v>
      </c>
      <c r="AZ253" s="244">
        <v>0</v>
      </c>
      <c r="BA253" s="244">
        <v>0</v>
      </c>
      <c r="BB253" s="244">
        <v>0</v>
      </c>
      <c r="BC253" s="244">
        <v>0</v>
      </c>
      <c r="BD253" s="244">
        <v>0</v>
      </c>
      <c r="BE253" s="244">
        <v>0</v>
      </c>
      <c r="BF253" s="244">
        <v>0</v>
      </c>
      <c r="BG253" s="244">
        <v>0</v>
      </c>
      <c r="BH253" s="245">
        <v>0</v>
      </c>
      <c r="BK253">
        <v>195</v>
      </c>
      <c r="BL253" s="281">
        <v>2.5125628140704761E-2</v>
      </c>
      <c r="BM253" s="281">
        <v>448.34170854273577</v>
      </c>
      <c r="BN253" s="282">
        <v>3924.8844221105865</v>
      </c>
      <c r="BO253" s="282">
        <v>123.53266331658445</v>
      </c>
      <c r="BP253" s="282">
        <v>0</v>
      </c>
      <c r="BQ253" s="283">
        <v>0</v>
      </c>
      <c r="BR253" s="284"/>
      <c r="BS253" s="147"/>
      <c r="BT253" s="285">
        <v>0.71260514101733008</v>
      </c>
      <c r="BU253" s="288">
        <v>2.4834512522673644E-2</v>
      </c>
      <c r="BV253" s="287">
        <v>0.82052276098969168</v>
      </c>
      <c r="BW253" s="288">
        <v>0</v>
      </c>
      <c r="BX253" s="286">
        <v>98.794059496369584</v>
      </c>
      <c r="BY253" s="287">
        <v>1.2059405036304234</v>
      </c>
      <c r="BZ253" s="288">
        <v>0</v>
      </c>
      <c r="CA253" s="286">
        <v>0.75702247587865645</v>
      </c>
      <c r="CB253" s="286">
        <v>1.1242932435211481</v>
      </c>
      <c r="CC253" s="287">
        <v>1.2160796000176284</v>
      </c>
      <c r="CD253" s="286">
        <v>0</v>
      </c>
      <c r="CE253" s="286">
        <v>15.609069634028707</v>
      </c>
      <c r="CF253" s="286">
        <v>21.502582267551858</v>
      </c>
      <c r="CG253" s="287">
        <v>22.612379861482228</v>
      </c>
      <c r="CH253" s="288">
        <v>0</v>
      </c>
      <c r="CI253" s="286">
        <v>1.3058852411768789</v>
      </c>
      <c r="CJ253" s="286">
        <v>264.36599927984935</v>
      </c>
      <c r="CK253" s="287"/>
      <c r="CL253" s="288"/>
      <c r="CM253" s="286"/>
      <c r="CN253" s="287"/>
      <c r="CO253" s="289"/>
      <c r="CP253" s="290"/>
      <c r="CQ253" s="289"/>
      <c r="CR253" s="290"/>
      <c r="CS253" s="284"/>
      <c r="CT253" s="147"/>
      <c r="CU253" s="291"/>
      <c r="CV253" s="292"/>
    </row>
    <row r="254" spans="2:100">
      <c r="B254">
        <v>196</v>
      </c>
      <c r="C254" s="243">
        <v>0.71549379795344503</v>
      </c>
      <c r="D254" s="592">
        <v>0.122288998531872</v>
      </c>
      <c r="E254" s="245">
        <v>5.2414775252719314E-3</v>
      </c>
      <c r="F254" s="243">
        <v>6.7910279732604955E-3</v>
      </c>
      <c r="G254" s="245">
        <v>9.1997880529540842E-3</v>
      </c>
      <c r="H254" s="243">
        <v>0.11450225751917169</v>
      </c>
      <c r="I254" s="245">
        <v>0.15511591248171414</v>
      </c>
      <c r="J254" s="242">
        <v>8.3181985095249017E-2</v>
      </c>
      <c r="K254" s="242">
        <v>25.994091996624341</v>
      </c>
      <c r="L254" s="242">
        <v>5.0251256281407036E-3</v>
      </c>
      <c r="M254" s="243">
        <v>90.222576567090456</v>
      </c>
      <c r="N254" s="592">
        <v>30.704737801041993</v>
      </c>
      <c r="O254" s="245">
        <v>0.36630417542089883</v>
      </c>
      <c r="P254" s="245">
        <v>1.6362395779987635</v>
      </c>
      <c r="Q254" s="254">
        <v>79.289249029150639</v>
      </c>
      <c r="R254" s="255">
        <v>0</v>
      </c>
      <c r="S254" s="256">
        <v>0</v>
      </c>
      <c r="T254" s="257">
        <v>0</v>
      </c>
      <c r="U254" s="255">
        <v>1.1392643203576459E-2</v>
      </c>
      <c r="V254" s="256">
        <v>1.5433584318680124E-2</v>
      </c>
      <c r="W254" s="257">
        <v>8.2166442531933351E-2</v>
      </c>
      <c r="X254" s="255">
        <v>2.270336788957672E-2</v>
      </c>
      <c r="Y254" s="256">
        <v>3.0756193833209738E-2</v>
      </c>
      <c r="Z254" s="257">
        <v>8.1575626770704832E-2</v>
      </c>
      <c r="AA254" s="255">
        <v>3.4066446665661713E-2</v>
      </c>
      <c r="AB254" s="256">
        <v>4.6149727298337301E-2</v>
      </c>
      <c r="AC254" s="257">
        <v>8.1953216874896678E-2</v>
      </c>
      <c r="AD254" s="255">
        <v>4.5475715096607069E-2</v>
      </c>
      <c r="AE254" s="256">
        <v>6.1605833769588177E-2</v>
      </c>
      <c r="AF254" s="257">
        <v>8.2286347611446223E-2</v>
      </c>
      <c r="AG254" s="255">
        <v>5.6924538108007683E-2</v>
      </c>
      <c r="AH254" s="256">
        <v>7.7115524728805354E-2</v>
      </c>
      <c r="AI254" s="257">
        <v>8.257162461905336E-2</v>
      </c>
      <c r="AJ254" s="255">
        <v>6.8405875587732756E-2</v>
      </c>
      <c r="AK254" s="256">
        <v>9.2669262954271053E-2</v>
      </c>
      <c r="AL254" s="257">
        <v>8.280612666965731E-2</v>
      </c>
      <c r="AM254" s="255">
        <v>7.991229546707046E-2</v>
      </c>
      <c r="AN254" s="256">
        <v>0.10825698024169975</v>
      </c>
      <c r="AO254" s="257">
        <v>8.2987026879512718E-2</v>
      </c>
      <c r="AP254" s="255">
        <v>9.1435991521558735E-2</v>
      </c>
      <c r="AQ254" s="256">
        <v>0.12386810151897749</v>
      </c>
      <c r="AR254" s="257">
        <v>8.3111626748683942E-2</v>
      </c>
      <c r="AS254" s="255">
        <v>0.10296880605220467</v>
      </c>
      <c r="AT254" s="256">
        <v>0.1394915755723514</v>
      </c>
      <c r="AU254" s="257">
        <v>8.3177391359564756E-2</v>
      </c>
      <c r="AV254" s="255">
        <v>0.11450225751917169</v>
      </c>
      <c r="AW254" s="256">
        <v>0.15511591248171414</v>
      </c>
      <c r="AX254" s="257">
        <v>8.3181985095249017E-2</v>
      </c>
      <c r="AY254" s="243">
        <v>0</v>
      </c>
      <c r="AZ254" s="244">
        <v>0</v>
      </c>
      <c r="BA254" s="244">
        <v>0</v>
      </c>
      <c r="BB254" s="244">
        <v>0</v>
      </c>
      <c r="BC254" s="244">
        <v>0</v>
      </c>
      <c r="BD254" s="244">
        <v>0</v>
      </c>
      <c r="BE254" s="244">
        <v>0</v>
      </c>
      <c r="BF254" s="244">
        <v>0</v>
      </c>
      <c r="BG254" s="244">
        <v>0</v>
      </c>
      <c r="BH254" s="245">
        <v>0</v>
      </c>
      <c r="BK254">
        <v>196</v>
      </c>
      <c r="BL254" s="281">
        <v>2.010050251256406E-2</v>
      </c>
      <c r="BM254" s="281">
        <v>358.67336683419308</v>
      </c>
      <c r="BN254" s="282">
        <v>3892.5075376884761</v>
      </c>
      <c r="BO254" s="282">
        <v>123.22613065326786</v>
      </c>
      <c r="BP254" s="282">
        <v>0</v>
      </c>
      <c r="BQ254" s="283">
        <v>0</v>
      </c>
      <c r="BR254" s="284"/>
      <c r="BS254" s="147"/>
      <c r="BT254" s="285">
        <v>0.71025232042817443</v>
      </c>
      <c r="BU254" s="288">
        <v>2.4754909355776806E-2</v>
      </c>
      <c r="BV254" s="287">
        <v>0.82073947460363927</v>
      </c>
      <c r="BW254" s="288">
        <v>0</v>
      </c>
      <c r="BX254" s="286">
        <v>98.784507833418189</v>
      </c>
      <c r="BY254" s="287">
        <v>1.2154921665818141</v>
      </c>
      <c r="BZ254" s="288">
        <v>0</v>
      </c>
      <c r="CA254" s="286">
        <v>0.75686357585486153</v>
      </c>
      <c r="CB254" s="286">
        <v>1.1243745003709691</v>
      </c>
      <c r="CC254" s="287">
        <v>1.2160418399281196</v>
      </c>
      <c r="CD254" s="286">
        <v>0</v>
      </c>
      <c r="CE254" s="286">
        <v>15.607587508934527</v>
      </c>
      <c r="CF254" s="286">
        <v>21.505266124535016</v>
      </c>
      <c r="CG254" s="287">
        <v>22.613609426156973</v>
      </c>
      <c r="CH254" s="288">
        <v>0</v>
      </c>
      <c r="CI254" s="286">
        <v>1.3015949850547541</v>
      </c>
      <c r="CJ254" s="286">
        <v>265.34450446364013</v>
      </c>
      <c r="CK254" s="287"/>
      <c r="CL254" s="288"/>
      <c r="CM254" s="286"/>
      <c r="CN254" s="287"/>
      <c r="CO254" s="289"/>
      <c r="CP254" s="290"/>
      <c r="CQ254" s="289"/>
      <c r="CR254" s="290"/>
      <c r="CS254" s="284"/>
      <c r="CT254" s="147"/>
      <c r="CU254" s="291"/>
      <c r="CV254" s="292"/>
    </row>
    <row r="255" spans="2:100">
      <c r="B255">
        <v>197</v>
      </c>
      <c r="C255" s="243">
        <v>0.71312465077643317</v>
      </c>
      <c r="D255" s="592">
        <v>0.12212385979625132</v>
      </c>
      <c r="E255" s="245">
        <v>5.2173739525057661E-3</v>
      </c>
      <c r="F255" s="243">
        <v>6.7702473794020003E-3</v>
      </c>
      <c r="G255" s="245">
        <v>9.171351741105907E-3</v>
      </c>
      <c r="H255" s="243">
        <v>0.11415187979745478</v>
      </c>
      <c r="I255" s="245">
        <v>0.15463645312519905</v>
      </c>
      <c r="J255" s="242">
        <v>8.2951668922705404E-2</v>
      </c>
      <c r="K255" s="242">
        <v>25.970722149218648</v>
      </c>
      <c r="L255" s="242">
        <v>5.0251256281407036E-3</v>
      </c>
      <c r="M255" s="243">
        <v>90.362143304768097</v>
      </c>
      <c r="N255" s="592">
        <v>30.817477268631844</v>
      </c>
      <c r="O255" s="245">
        <v>0.36598298090095621</v>
      </c>
      <c r="P255" s="245">
        <v>1.6347685256818776</v>
      </c>
      <c r="Q255" s="254">
        <v>79.058856565208671</v>
      </c>
      <c r="R255" s="255">
        <v>0</v>
      </c>
      <c r="S255" s="256">
        <v>0</v>
      </c>
      <c r="T255" s="257">
        <v>0</v>
      </c>
      <c r="U255" s="255">
        <v>1.1356939198820056E-2</v>
      </c>
      <c r="V255" s="256">
        <v>1.5384738290601772E-2</v>
      </c>
      <c r="W255" s="257">
        <v>8.1906392482888335E-2</v>
      </c>
      <c r="X255" s="255">
        <v>2.2630789642142702E-2</v>
      </c>
      <c r="Y255" s="256">
        <v>3.0656919955175974E-2</v>
      </c>
      <c r="Z255" s="257">
        <v>8.1307155302910064E-2</v>
      </c>
      <c r="AA255" s="255">
        <v>3.3957118913581913E-2</v>
      </c>
      <c r="AB255" s="256">
        <v>4.6000192344305149E-2</v>
      </c>
      <c r="AC255" s="257">
        <v>8.1685633290465395E-2</v>
      </c>
      <c r="AD255" s="255">
        <v>4.5329905012285419E-2</v>
      </c>
      <c r="AE255" s="256">
        <v>6.1406397722399086E-2</v>
      </c>
      <c r="AF255" s="257">
        <v>8.2020680529937634E-2</v>
      </c>
      <c r="AG255" s="255">
        <v>5.6742662142137322E-2</v>
      </c>
      <c r="AH255" s="256">
        <v>7.6866750071138704E-2</v>
      </c>
      <c r="AI255" s="257">
        <v>8.2308952123883103E-2</v>
      </c>
      <c r="AJ255" s="255">
        <v>6.8188505675373295E-2</v>
      </c>
      <c r="AK255" s="256">
        <v>9.2371923092784122E-2</v>
      </c>
      <c r="AL255" s="257">
        <v>8.2547571693291799E-2</v>
      </c>
      <c r="AM255" s="255">
        <v>7.9660163929779801E-2</v>
      </c>
      <c r="AN255" s="256">
        <v>0.10791206616422032</v>
      </c>
      <c r="AO255" s="257">
        <v>8.2733747796466653E-2</v>
      </c>
      <c r="AP255" s="255">
        <v>9.1149994474471988E-2</v>
      </c>
      <c r="AQ255" s="256">
        <v>0.12347682642566625</v>
      </c>
      <c r="AR255" s="257">
        <v>8.2864806589192111E-2</v>
      </c>
      <c r="AS255" s="255">
        <v>0.10265000513495354</v>
      </c>
      <c r="AT255" s="256">
        <v>0.13905537723529116</v>
      </c>
      <c r="AU255" s="257">
        <v>8.2938225716015432E-2</v>
      </c>
      <c r="AV255" s="255">
        <v>0.11415187979745478</v>
      </c>
      <c r="AW255" s="256">
        <v>0.15463645312519905</v>
      </c>
      <c r="AX255" s="257">
        <v>8.2951668922705404E-2</v>
      </c>
      <c r="AY255" s="243">
        <v>0</v>
      </c>
      <c r="AZ255" s="244">
        <v>0</v>
      </c>
      <c r="BA255" s="244">
        <v>0</v>
      </c>
      <c r="BB255" s="244">
        <v>0</v>
      </c>
      <c r="BC255" s="244">
        <v>0</v>
      </c>
      <c r="BD255" s="244">
        <v>0</v>
      </c>
      <c r="BE255" s="244">
        <v>0</v>
      </c>
      <c r="BF255" s="244">
        <v>0</v>
      </c>
      <c r="BG255" s="244">
        <v>0</v>
      </c>
      <c r="BH255" s="245">
        <v>0</v>
      </c>
      <c r="BK255">
        <v>197</v>
      </c>
      <c r="BL255" s="281">
        <v>1.5075376884423357E-2</v>
      </c>
      <c r="BM255" s="281">
        <v>269.00502512565038</v>
      </c>
      <c r="BN255" s="282">
        <v>3860.1306532663657</v>
      </c>
      <c r="BO255" s="282">
        <v>122.91959798995127</v>
      </c>
      <c r="BP255" s="282">
        <v>0</v>
      </c>
      <c r="BQ255" s="283">
        <v>0</v>
      </c>
      <c r="BR255" s="284"/>
      <c r="BS255" s="147"/>
      <c r="BT255" s="285">
        <v>0.70790727682392873</v>
      </c>
      <c r="BU255" s="288">
        <v>2.4675552809024857E-2</v>
      </c>
      <c r="BV255" s="287">
        <v>0.82095527462218554</v>
      </c>
      <c r="BW255" s="288">
        <v>0</v>
      </c>
      <c r="BX255" s="286">
        <v>98.774992465922821</v>
      </c>
      <c r="BY255" s="287">
        <v>1.2250075340771807</v>
      </c>
      <c r="BZ255" s="288">
        <v>0</v>
      </c>
      <c r="CA255" s="286">
        <v>0.75670431923849968</v>
      </c>
      <c r="CB255" s="286">
        <v>1.1244551885905791</v>
      </c>
      <c r="CC255" s="287">
        <v>1.2160040664872616</v>
      </c>
      <c r="CD255" s="286">
        <v>0</v>
      </c>
      <c r="CE255" s="286">
        <v>15.606098821004325</v>
      </c>
      <c r="CF255" s="286">
        <v>21.507940206138958</v>
      </c>
      <c r="CG255" s="287">
        <v>22.614839043377472</v>
      </c>
      <c r="CH255" s="288">
        <v>0</v>
      </c>
      <c r="CI255" s="286">
        <v>1.297317734164835</v>
      </c>
      <c r="CJ255" s="286">
        <v>266.3278571791385</v>
      </c>
      <c r="CK255" s="287"/>
      <c r="CL255" s="288"/>
      <c r="CM255" s="286"/>
      <c r="CN255" s="287"/>
      <c r="CO255" s="289"/>
      <c r="CP255" s="290"/>
      <c r="CQ255" s="289"/>
      <c r="CR255" s="290"/>
      <c r="CS255" s="284"/>
      <c r="CT255" s="147"/>
      <c r="CU255" s="291"/>
      <c r="CV255" s="292"/>
    </row>
    <row r="256" spans="2:100">
      <c r="B256">
        <v>198</v>
      </c>
      <c r="C256" s="243">
        <v>0.71076272290714582</v>
      </c>
      <c r="D256" s="592">
        <v>0.12195009252400291</v>
      </c>
      <c r="E256" s="245">
        <v>5.1933559171456478E-3</v>
      </c>
      <c r="F256" s="243">
        <v>6.7491489431907225E-3</v>
      </c>
      <c r="G256" s="245">
        <v>9.1424865240396658E-3</v>
      </c>
      <c r="H256" s="243">
        <v>0.11379614299504022</v>
      </c>
      <c r="I256" s="245">
        <v>0.15414976207770531</v>
      </c>
      <c r="J256" s="242">
        <v>8.2716297613553216E-2</v>
      </c>
      <c r="K256" s="242">
        <v>25.947030581875573</v>
      </c>
      <c r="L256" s="242">
        <v>5.0251256281407036E-3</v>
      </c>
      <c r="M256" s="243">
        <v>90.503425398974258</v>
      </c>
      <c r="N256" s="592">
        <v>30.931100847141849</v>
      </c>
      <c r="O256" s="245">
        <v>0.36566642207144545</v>
      </c>
      <c r="P256" s="245">
        <v>1.6332772221904304</v>
      </c>
      <c r="Q256" s="254">
        <v>78.824899038501258</v>
      </c>
      <c r="R256" s="255">
        <v>0</v>
      </c>
      <c r="S256" s="256">
        <v>0</v>
      </c>
      <c r="T256" s="257">
        <v>0</v>
      </c>
      <c r="U256" s="255">
        <v>1.1320847410166621E-2</v>
      </c>
      <c r="V256" s="256">
        <v>1.5335369801340726E-2</v>
      </c>
      <c r="W256" s="257">
        <v>8.1643560916869917E-2</v>
      </c>
      <c r="X256" s="255">
        <v>2.2557412466608626E-2</v>
      </c>
      <c r="Y256" s="256">
        <v>3.055656961034204E-2</v>
      </c>
      <c r="Z256" s="257">
        <v>8.1035734379577895E-2</v>
      </c>
      <c r="AA256" s="255">
        <v>3.3846549080743804E-2</v>
      </c>
      <c r="AB256" s="256">
        <v>4.5848983547495399E-2</v>
      </c>
      <c r="AC256" s="257">
        <v>8.1414869352209276E-2</v>
      </c>
      <c r="AD256" s="255">
        <v>4.5182375929997264E-2</v>
      </c>
      <c r="AE256" s="256">
        <v>6.1204644695366149E-2</v>
      </c>
      <c r="AF256" s="257">
        <v>8.1751589468379932E-2</v>
      </c>
      <c r="AG256" s="255">
        <v>5.6558554914358995E-2</v>
      </c>
      <c r="AH256" s="256">
        <v>7.661496737975787E-2</v>
      </c>
      <c r="AI256" s="257">
        <v>8.204260054568499E-2</v>
      </c>
      <c r="AJ256" s="255">
        <v>6.7968355534778396E-2</v>
      </c>
      <c r="AK256" s="256">
        <v>9.207083437753795E-2</v>
      </c>
      <c r="AL256" s="257">
        <v>8.2285072685105723E-2</v>
      </c>
      <c r="AM256" s="255">
        <v>7.9404665423679105E-2</v>
      </c>
      <c r="AN256" s="256">
        <v>0.10756261118141246</v>
      </c>
      <c r="AO256" s="257">
        <v>8.2476251931472969E-2</v>
      </c>
      <c r="AP256" s="255">
        <v>9.0860005214564207E-2</v>
      </c>
      <c r="AQ256" s="256">
        <v>0.1230801661424903</v>
      </c>
      <c r="AR256" s="257">
        <v>8.2613491566070646E-2</v>
      </c>
      <c r="AS256" s="255">
        <v>0.10232654792715197</v>
      </c>
      <c r="AT256" s="256">
        <v>0.13861289672964464</v>
      </c>
      <c r="AU256" s="257">
        <v>8.2694284671687032E-2</v>
      </c>
      <c r="AV256" s="255">
        <v>0.11379614299504022</v>
      </c>
      <c r="AW256" s="256">
        <v>0.15414976207770531</v>
      </c>
      <c r="AX256" s="257">
        <v>8.2716297613553216E-2</v>
      </c>
      <c r="AY256" s="243">
        <v>0</v>
      </c>
      <c r="AZ256" s="244">
        <v>0</v>
      </c>
      <c r="BA256" s="244">
        <v>0</v>
      </c>
      <c r="BB256" s="244">
        <v>0</v>
      </c>
      <c r="BC256" s="244">
        <v>0</v>
      </c>
      <c r="BD256" s="244">
        <v>0</v>
      </c>
      <c r="BE256" s="244">
        <v>0</v>
      </c>
      <c r="BF256" s="244">
        <v>0</v>
      </c>
      <c r="BG256" s="244">
        <v>0</v>
      </c>
      <c r="BH256" s="245">
        <v>0</v>
      </c>
      <c r="BK256">
        <v>198</v>
      </c>
      <c r="BL256" s="281">
        <v>1.0050251256282654E-2</v>
      </c>
      <c r="BM256" s="281">
        <v>179.33668341710768</v>
      </c>
      <c r="BN256" s="282">
        <v>3827.7537688442553</v>
      </c>
      <c r="BO256" s="282">
        <v>122.61306532663468</v>
      </c>
      <c r="BP256" s="282">
        <v>0</v>
      </c>
      <c r="BQ256" s="283">
        <v>0</v>
      </c>
      <c r="BR256" s="284"/>
      <c r="BS256" s="147"/>
      <c r="BT256" s="285">
        <v>0.70556936699000161</v>
      </c>
      <c r="BU256" s="288">
        <v>2.459642119277243E-2</v>
      </c>
      <c r="BV256" s="287">
        <v>0.82117046117758608</v>
      </c>
      <c r="BW256" s="288">
        <v>0</v>
      </c>
      <c r="BX256" s="286">
        <v>98.76551108783562</v>
      </c>
      <c r="BY256" s="287">
        <v>1.2344889121643901</v>
      </c>
      <c r="BZ256" s="288">
        <v>0</v>
      </c>
      <c r="CA256" s="286">
        <v>0.75654469576533312</v>
      </c>
      <c r="CB256" s="286">
        <v>1.1245354921862487</v>
      </c>
      <c r="CC256" s="287">
        <v>1.2159662796575215</v>
      </c>
      <c r="CD256" s="286">
        <v>0</v>
      </c>
      <c r="CE256" s="286">
        <v>15.60460338699526</v>
      </c>
      <c r="CF256" s="286">
        <v>21.510607374691208</v>
      </c>
      <c r="CG256" s="287">
        <v>22.616068712817505</v>
      </c>
      <c r="CH256" s="288">
        <v>0</v>
      </c>
      <c r="CI256" s="286">
        <v>1.2930516057245913</v>
      </c>
      <c r="CJ256" s="286">
        <v>267.31648923973864</v>
      </c>
      <c r="CK256" s="287"/>
      <c r="CL256" s="288"/>
      <c r="CM256" s="286"/>
      <c r="CN256" s="287"/>
      <c r="CO256" s="289"/>
      <c r="CP256" s="290"/>
      <c r="CQ256" s="289"/>
      <c r="CR256" s="290"/>
      <c r="CS256" s="284"/>
      <c r="CT256" s="147"/>
      <c r="CU256" s="291"/>
      <c r="CV256" s="292"/>
    </row>
    <row r="257" spans="2:100">
      <c r="B257">
        <v>199</v>
      </c>
      <c r="C257" s="243">
        <v>0.70840797143698186</v>
      </c>
      <c r="D257" s="592">
        <v>0.12176817837470599</v>
      </c>
      <c r="E257" s="245">
        <v>5.1694151158746537E-3</v>
      </c>
      <c r="F257" s="243">
        <v>6.7277586142617963E-3</v>
      </c>
      <c r="G257" s="245">
        <v>9.1132275931830528E-3</v>
      </c>
      <c r="H257" s="243">
        <v>0.11343548464389169</v>
      </c>
      <c r="I257" s="245">
        <v>0.15365643269533918</v>
      </c>
      <c r="J257" s="242">
        <v>8.2476167607051162E-2</v>
      </c>
      <c r="K257" s="242">
        <v>25.923051194089471</v>
      </c>
      <c r="L257" s="242">
        <v>5.0251256281407036E-3</v>
      </c>
      <c r="M257" s="243">
        <v>90.646317892880717</v>
      </c>
      <c r="N257" s="592">
        <v>31.045576918546885</v>
      </c>
      <c r="O257" s="245">
        <v>0.36535395951061983</v>
      </c>
      <c r="P257" s="245">
        <v>1.6317678013821599</v>
      </c>
      <c r="Q257" s="254">
        <v>78.587657481758626</v>
      </c>
      <c r="R257" s="255">
        <v>0</v>
      </c>
      <c r="S257" s="256">
        <v>0</v>
      </c>
      <c r="T257" s="257">
        <v>0</v>
      </c>
      <c r="U257" s="255">
        <v>1.1284411099802018E-2</v>
      </c>
      <c r="V257" s="256">
        <v>1.528553750271861E-2</v>
      </c>
      <c r="W257" s="257">
        <v>8.1378260088726423E-2</v>
      </c>
      <c r="X257" s="255">
        <v>2.2483324309735798E-2</v>
      </c>
      <c r="Y257" s="256">
        <v>3.0455262032086119E-2</v>
      </c>
      <c r="Z257" s="257">
        <v>8.0761686529220361E-2</v>
      </c>
      <c r="AA257" s="255">
        <v>3.373486999101577E-2</v>
      </c>
      <c r="AB257" s="256">
        <v>4.569628098767646E-2</v>
      </c>
      <c r="AC257" s="257">
        <v>8.114124899858112E-2</v>
      </c>
      <c r="AD257" s="255">
        <v>4.5033305593954277E-2</v>
      </c>
      <c r="AE257" s="256">
        <v>6.1000815677466139E-2</v>
      </c>
      <c r="AF257" s="257">
        <v>8.1479398699661684E-2</v>
      </c>
      <c r="AG257" s="255">
        <v>5.6372438964881699E-2</v>
      </c>
      <c r="AH257" s="256">
        <v>7.6360478388857456E-2</v>
      </c>
      <c r="AI257" s="257">
        <v>8.1772893284282985E-2</v>
      </c>
      <c r="AJ257" s="255">
        <v>6.7745692191619022E-2</v>
      </c>
      <c r="AK257" s="256">
        <v>9.1766358871912423E-2</v>
      </c>
      <c r="AL257" s="257">
        <v>8.2018950830018519E-2</v>
      </c>
      <c r="AM257" s="255">
        <v>7.9146110944954662E-2</v>
      </c>
      <c r="AN257" s="256">
        <v>0.10720903699304769</v>
      </c>
      <c r="AO257" s="257">
        <v>8.2214856781105738E-2</v>
      </c>
      <c r="AP257" s="255">
        <v>9.0566377972310652E-2</v>
      </c>
      <c r="AQ257" s="256">
        <v>0.12267860101316509</v>
      </c>
      <c r="AR257" s="257">
        <v>8.2357993892227782E-2</v>
      </c>
      <c r="AS257" s="255">
        <v>0.1019988309209022</v>
      </c>
      <c r="AT257" s="256">
        <v>0.13816467173038913</v>
      </c>
      <c r="AU257" s="257">
        <v>8.2445873450935528E-2</v>
      </c>
      <c r="AV257" s="255">
        <v>0.11343548464389169</v>
      </c>
      <c r="AW257" s="256">
        <v>0.15365643269533918</v>
      </c>
      <c r="AX257" s="257">
        <v>8.2476167607051162E-2</v>
      </c>
      <c r="AY257" s="243">
        <v>0</v>
      </c>
      <c r="AZ257" s="244">
        <v>0</v>
      </c>
      <c r="BA257" s="244">
        <v>0</v>
      </c>
      <c r="BB257" s="244">
        <v>0</v>
      </c>
      <c r="BC257" s="244">
        <v>0</v>
      </c>
      <c r="BD257" s="244">
        <v>0</v>
      </c>
      <c r="BE257" s="244">
        <v>0</v>
      </c>
      <c r="BF257" s="244">
        <v>0</v>
      </c>
      <c r="BG257" s="244">
        <v>0</v>
      </c>
      <c r="BH257" s="245">
        <v>0</v>
      </c>
      <c r="BK257">
        <v>199</v>
      </c>
      <c r="BL257" s="281">
        <v>5.0251256281419509E-3</v>
      </c>
      <c r="BM257" s="281">
        <v>89.668341708564967</v>
      </c>
      <c r="BN257" s="282">
        <v>3795.3768844221449</v>
      </c>
      <c r="BO257" s="282">
        <v>122.30653266331809</v>
      </c>
      <c r="BP257" s="282">
        <v>0</v>
      </c>
      <c r="BQ257" s="283">
        <v>0</v>
      </c>
      <c r="BR257" s="284"/>
      <c r="BS257" s="147"/>
      <c r="BT257" s="285">
        <v>0.70323855632110854</v>
      </c>
      <c r="BU257" s="288">
        <v>2.4517513496473263E-2</v>
      </c>
      <c r="BV257" s="287">
        <v>0.82138503024333609</v>
      </c>
      <c r="BW257" s="288">
        <v>0</v>
      </c>
      <c r="BX257" s="286">
        <v>98.756063500045954</v>
      </c>
      <c r="BY257" s="287">
        <v>1.2439364999540443</v>
      </c>
      <c r="BZ257" s="288">
        <v>0</v>
      </c>
      <c r="CA257" s="286">
        <v>0.75638470229890431</v>
      </c>
      <c r="CB257" s="286">
        <v>1.1246154081744328</v>
      </c>
      <c r="CC257" s="287">
        <v>1.2159284794012657</v>
      </c>
      <c r="CD257" s="286">
        <v>0</v>
      </c>
      <c r="CE257" s="286">
        <v>15.603101150004491</v>
      </c>
      <c r="CF257" s="286">
        <v>21.513267571017344</v>
      </c>
      <c r="CG257" s="287">
        <v>22.617298434149415</v>
      </c>
      <c r="CH257" s="288">
        <v>0</v>
      </c>
      <c r="CI257" s="286">
        <v>1.2887965339847156</v>
      </c>
      <c r="CJ257" s="286">
        <v>268.31042125015819</v>
      </c>
      <c r="CK257" s="287"/>
      <c r="CL257" s="288"/>
      <c r="CM257" s="286"/>
      <c r="CN257" s="287"/>
      <c r="CO257" s="289"/>
      <c r="CP257" s="290"/>
      <c r="CQ257" s="289"/>
      <c r="CR257" s="290"/>
      <c r="CS257" s="284"/>
      <c r="CT257" s="147"/>
      <c r="CU257" s="291"/>
      <c r="CV257" s="292"/>
    </row>
    <row r="258" spans="2:100">
      <c r="B258">
        <v>200</v>
      </c>
      <c r="C258" s="243">
        <v>0.70606123714160152</v>
      </c>
      <c r="D258" s="592">
        <v>0.12176817837470599</v>
      </c>
      <c r="E258" s="245">
        <v>5.1464284591605791E-3</v>
      </c>
      <c r="F258" s="243">
        <v>6.7172689396762754E-3</v>
      </c>
      <c r="G258" s="245">
        <v>9.0987356157270424E-3</v>
      </c>
      <c r="H258" s="243">
        <v>0.11325862019488442</v>
      </c>
      <c r="I258" s="245">
        <v>0.15341208616324364</v>
      </c>
      <c r="J258" s="242">
        <v>8.2337216755117085E-2</v>
      </c>
      <c r="K258" s="242">
        <v>25.91295103594868</v>
      </c>
      <c r="L258" s="242">
        <v>5.0251256281407036E-3</v>
      </c>
      <c r="M258" s="243">
        <v>90.741196810511411</v>
      </c>
      <c r="N258" s="592">
        <v>31.143877914456059</v>
      </c>
      <c r="O258" s="245">
        <v>0.36481642982933088</v>
      </c>
      <c r="P258" s="245">
        <v>1.6311320308195201</v>
      </c>
      <c r="Q258" s="254">
        <v>78.470042165006177</v>
      </c>
      <c r="R258" s="255">
        <v>0</v>
      </c>
      <c r="S258" s="256">
        <v>0</v>
      </c>
      <c r="T258" s="257">
        <v>0</v>
      </c>
      <c r="U258" s="255">
        <v>1.1268440013624743E-2</v>
      </c>
      <c r="V258" s="256">
        <v>1.5263428843834904E-2</v>
      </c>
      <c r="W258" s="257">
        <v>8.1260556397081227E-2</v>
      </c>
      <c r="X258" s="255">
        <v>2.2451032230419332E-2</v>
      </c>
      <c r="Y258" s="256">
        <v>3.0410574356815434E-2</v>
      </c>
      <c r="Z258" s="257">
        <v>8.0641478713972731E-2</v>
      </c>
      <c r="AA258" s="255">
        <v>3.3685750276066954E-2</v>
      </c>
      <c r="AB258" s="256">
        <v>4.5628325816906845E-2</v>
      </c>
      <c r="AC258" s="257">
        <v>8.101737580799237E-2</v>
      </c>
      <c r="AD258" s="255">
        <v>4.4966896099935275E-2</v>
      </c>
      <c r="AE258" s="256">
        <v>6.0908965049253513E-2</v>
      </c>
      <c r="AF258" s="257">
        <v>8.1352182319446728E-2</v>
      </c>
      <c r="AG258" s="255">
        <v>5.628832634665603E-2</v>
      </c>
      <c r="AH258" s="256">
        <v>7.6244170700818792E-2</v>
      </c>
      <c r="AI258" s="257">
        <v>8.1642687004315789E-2</v>
      </c>
      <c r="AJ258" s="255">
        <v>6.7643515856918079E-2</v>
      </c>
      <c r="AK258" s="256">
        <v>9.1625104254051001E-2</v>
      </c>
      <c r="AL258" s="257">
        <v>8.1886136544412236E-2</v>
      </c>
      <c r="AM258" s="255">
        <v>7.9025566673157466E-2</v>
      </c>
      <c r="AN258" s="256">
        <v>0.10704242222535189</v>
      </c>
      <c r="AO258" s="257">
        <v>8.2079842564644942E-2</v>
      </c>
      <c r="AP258" s="255">
        <v>9.0427221125227539E-2</v>
      </c>
      <c r="AQ258" s="256">
        <v>0.12248629388999636</v>
      </c>
      <c r="AR258" s="257">
        <v>8.2221211055144322E-2</v>
      </c>
      <c r="AS258" s="255">
        <v>0.10184087917721178</v>
      </c>
      <c r="AT258" s="256">
        <v>0.13794642477889354</v>
      </c>
      <c r="AU258" s="257">
        <v>8.2307773099811854E-2</v>
      </c>
      <c r="AV258" s="255">
        <v>0.11325862019488442</v>
      </c>
      <c r="AW258" s="256">
        <v>0.15341208616324364</v>
      </c>
      <c r="AX258" s="257">
        <v>8.2337216755117085E-2</v>
      </c>
      <c r="AY258" s="243">
        <v>0</v>
      </c>
      <c r="AZ258" s="244">
        <v>0</v>
      </c>
      <c r="BA258" s="244">
        <v>0</v>
      </c>
      <c r="BB258" s="244">
        <v>0</v>
      </c>
      <c r="BC258" s="244">
        <v>0</v>
      </c>
      <c r="BD258" s="244">
        <v>0</v>
      </c>
      <c r="BE258" s="244">
        <v>0</v>
      </c>
      <c r="BF258" s="244">
        <v>0</v>
      </c>
      <c r="BG258" s="244">
        <v>0</v>
      </c>
      <c r="BH258" s="245">
        <v>0</v>
      </c>
      <c r="BK258">
        <v>200</v>
      </c>
      <c r="BL258" s="293">
        <v>1.2471530197268739E-15</v>
      </c>
      <c r="BM258" s="281">
        <v>2.2254198484006338E-11</v>
      </c>
      <c r="BN258" s="282">
        <v>3763.0000000000346</v>
      </c>
      <c r="BO258" s="282">
        <v>122.00000000000151</v>
      </c>
      <c r="BP258" s="282">
        <v>0</v>
      </c>
      <c r="BQ258" s="283">
        <v>0</v>
      </c>
      <c r="BR258" s="284"/>
      <c r="BS258" s="147"/>
      <c r="BT258" s="285">
        <v>0.70091480868244227</v>
      </c>
      <c r="BU258" s="288">
        <v>2.4438828656092496E-2</v>
      </c>
      <c r="BV258" s="287">
        <v>0.82159897836806295</v>
      </c>
      <c r="BW258" s="288">
        <v>0</v>
      </c>
      <c r="BX258" s="286">
        <v>98.746649498086114</v>
      </c>
      <c r="BY258" s="287">
        <v>1.2533505019138769</v>
      </c>
      <c r="BZ258" s="288">
        <v>0</v>
      </c>
      <c r="CA258" s="286">
        <v>0.75622433565787939</v>
      </c>
      <c r="CB258" s="286">
        <v>1.1246949339219525</v>
      </c>
      <c r="CC258" s="287">
        <v>1.2158906656807174</v>
      </c>
      <c r="CD258" s="286">
        <v>0</v>
      </c>
      <c r="CE258" s="286">
        <v>15.601592052314345</v>
      </c>
      <c r="CF258" s="286">
        <v>21.515920741273064</v>
      </c>
      <c r="CG258" s="287">
        <v>22.61852820704371</v>
      </c>
      <c r="CH258" s="288">
        <v>0</v>
      </c>
      <c r="CI258" s="286">
        <v>1.2845524496218665</v>
      </c>
      <c r="CJ258" s="286">
        <v>269.30967461189255</v>
      </c>
      <c r="CK258" s="287"/>
      <c r="CL258" s="288"/>
      <c r="CM258" s="286"/>
      <c r="CN258" s="287"/>
      <c r="CO258" s="289"/>
      <c r="CP258" s="290"/>
      <c r="CQ258" s="289"/>
      <c r="CR258" s="290"/>
      <c r="CS258" s="284"/>
      <c r="CT258" s="147"/>
      <c r="CU258" s="291"/>
      <c r="CV258" s="292"/>
    </row>
    <row r="259" spans="2:100">
      <c r="B259">
        <v>201</v>
      </c>
      <c r="C259" s="243" t="str">
        <v/>
      </c>
      <c r="D259" s="592" t="str">
        <v/>
      </c>
      <c r="E259" s="245" t="str">
        <v/>
      </c>
      <c r="F259" s="243" t="str">
        <v/>
      </c>
      <c r="G259" s="245" t="str">
        <v/>
      </c>
      <c r="H259" s="243" t="str">
        <v/>
      </c>
      <c r="I259" s="245" t="str">
        <v/>
      </c>
      <c r="J259" s="242" t="str">
        <v/>
      </c>
      <c r="K259" s="242" t="str">
        <v/>
      </c>
      <c r="L259" s="242" t="str">
        <v/>
      </c>
      <c r="M259" s="243" t="str">
        <v/>
      </c>
      <c r="N259" s="592" t="str">
        <v/>
      </c>
      <c r="O259" s="245" t="str">
        <v/>
      </c>
      <c r="P259" s="245" t="str">
        <v/>
      </c>
      <c r="Q259" s="254" t="str">
        <v/>
      </c>
      <c r="R259" s="255" t="str">
        <v/>
      </c>
      <c r="S259" s="256" t="str">
        <v/>
      </c>
      <c r="T259" s="257" t="str">
        <v/>
      </c>
      <c r="U259" s="255" t="str">
        <v/>
      </c>
      <c r="V259" s="256" t="str">
        <v/>
      </c>
      <c r="W259" s="257" t="str">
        <v/>
      </c>
      <c r="X259" s="255" t="str">
        <v/>
      </c>
      <c r="Y259" s="256" t="str">
        <v/>
      </c>
      <c r="Z259" s="257" t="str">
        <v/>
      </c>
      <c r="AA259" s="255" t="str">
        <v/>
      </c>
      <c r="AB259" s="256" t="str">
        <v/>
      </c>
      <c r="AC259" s="257" t="str">
        <v/>
      </c>
      <c r="AD259" s="255" t="str">
        <v/>
      </c>
      <c r="AE259" s="256" t="str">
        <v/>
      </c>
      <c r="AF259" s="257" t="str">
        <v/>
      </c>
      <c r="AG259" s="255" t="str">
        <v/>
      </c>
      <c r="AH259" s="256" t="str">
        <v/>
      </c>
      <c r="AI259" s="257" t="str">
        <v/>
      </c>
      <c r="AJ259" s="255" t="str">
        <v/>
      </c>
      <c r="AK259" s="256" t="str">
        <v/>
      </c>
      <c r="AL259" s="257" t="str">
        <v/>
      </c>
      <c r="AM259" s="255" t="str">
        <v/>
      </c>
      <c r="AN259" s="256" t="str">
        <v/>
      </c>
      <c r="AO259" s="257" t="str">
        <v/>
      </c>
      <c r="AP259" s="255" t="str">
        <v/>
      </c>
      <c r="AQ259" s="256" t="str">
        <v/>
      </c>
      <c r="AR259" s="257" t="str">
        <v/>
      </c>
      <c r="AS259" s="255" t="str">
        <v/>
      </c>
      <c r="AT259" s="256" t="str">
        <v/>
      </c>
      <c r="AU259" s="257" t="str">
        <v/>
      </c>
      <c r="AV259" s="255" t="str">
        <v/>
      </c>
      <c r="AW259" s="256" t="str">
        <v/>
      </c>
      <c r="AX259" s="257" t="str">
        <v/>
      </c>
      <c r="AY259" s="243">
        <v>0</v>
      </c>
      <c r="AZ259" s="244">
        <v>0</v>
      </c>
      <c r="BA259" s="244">
        <v>0</v>
      </c>
      <c r="BB259" s="244">
        <v>0</v>
      </c>
      <c r="BC259" s="244">
        <v>0</v>
      </c>
      <c r="BD259" s="244">
        <v>0</v>
      </c>
      <c r="BE259" s="244">
        <v>0</v>
      </c>
      <c r="BF259" s="244">
        <v>0</v>
      </c>
      <c r="BG259" s="244">
        <v>0</v>
      </c>
      <c r="BH259" s="245">
        <v>0</v>
      </c>
      <c r="BK259">
        <v>201</v>
      </c>
      <c r="BL259" s="281"/>
      <c r="BM259" s="281"/>
      <c r="BN259" s="282"/>
      <c r="BO259" s="282"/>
      <c r="BP259" s="282"/>
      <c r="BQ259" s="283"/>
      <c r="BR259" s="284"/>
      <c r="BS259" s="147"/>
      <c r="BT259" s="285"/>
      <c r="BU259" s="288"/>
      <c r="BV259" s="287"/>
      <c r="BW259" s="288"/>
      <c r="BX259" s="286"/>
      <c r="BY259" s="287"/>
      <c r="BZ259" s="288"/>
      <c r="CA259" s="286"/>
      <c r="CB259" s="286"/>
      <c r="CC259" s="287"/>
      <c r="CD259" s="286"/>
      <c r="CE259" s="286"/>
      <c r="CF259" s="286"/>
      <c r="CG259" s="287"/>
      <c r="CH259" s="288"/>
      <c r="CI259" s="286"/>
      <c r="CJ259" s="286"/>
      <c r="CK259" s="287"/>
      <c r="CL259" s="288"/>
      <c r="CM259" s="286"/>
      <c r="CN259" s="294"/>
      <c r="CO259" s="289"/>
      <c r="CP259" s="290"/>
      <c r="CQ259" s="289"/>
      <c r="CR259" s="290"/>
      <c r="CS259" s="284"/>
      <c r="CT259" s="147"/>
      <c r="CU259" s="291"/>
      <c r="CV259" s="292"/>
    </row>
    <row r="260" spans="2:100">
      <c r="B260">
        <v>202</v>
      </c>
      <c r="C260" s="243" t="str">
        <v/>
      </c>
      <c r="D260" s="592" t="str">
        <v/>
      </c>
      <c r="E260" s="245" t="str">
        <v/>
      </c>
      <c r="F260" s="243" t="str">
        <v/>
      </c>
      <c r="G260" s="245" t="str">
        <v/>
      </c>
      <c r="H260" s="243" t="str">
        <v/>
      </c>
      <c r="I260" s="245" t="str">
        <v/>
      </c>
      <c r="J260" s="242" t="str">
        <v/>
      </c>
      <c r="K260" s="242" t="str">
        <v/>
      </c>
      <c r="L260" s="242" t="str">
        <v/>
      </c>
      <c r="M260" s="243" t="str">
        <v/>
      </c>
      <c r="N260" s="592" t="str">
        <v/>
      </c>
      <c r="O260" s="245" t="str">
        <v/>
      </c>
      <c r="P260" s="245" t="str">
        <v/>
      </c>
      <c r="Q260" s="254" t="str">
        <v/>
      </c>
      <c r="R260" s="255" t="str">
        <v/>
      </c>
      <c r="S260" s="256" t="str">
        <v/>
      </c>
      <c r="T260" s="257" t="str">
        <v/>
      </c>
      <c r="U260" s="255" t="str">
        <v/>
      </c>
      <c r="V260" s="256" t="str">
        <v/>
      </c>
      <c r="W260" s="257" t="str">
        <v/>
      </c>
      <c r="X260" s="255" t="str">
        <v/>
      </c>
      <c r="Y260" s="256" t="str">
        <v/>
      </c>
      <c r="Z260" s="257" t="str">
        <v/>
      </c>
      <c r="AA260" s="255" t="str">
        <v/>
      </c>
      <c r="AB260" s="256" t="str">
        <v/>
      </c>
      <c r="AC260" s="257" t="str">
        <v/>
      </c>
      <c r="AD260" s="255" t="str">
        <v/>
      </c>
      <c r="AE260" s="256" t="str">
        <v/>
      </c>
      <c r="AF260" s="257" t="str">
        <v/>
      </c>
      <c r="AG260" s="255" t="str">
        <v/>
      </c>
      <c r="AH260" s="256" t="str">
        <v/>
      </c>
      <c r="AI260" s="257" t="str">
        <v/>
      </c>
      <c r="AJ260" s="255" t="str">
        <v/>
      </c>
      <c r="AK260" s="256" t="str">
        <v/>
      </c>
      <c r="AL260" s="257" t="str">
        <v/>
      </c>
      <c r="AM260" s="255" t="str">
        <v/>
      </c>
      <c r="AN260" s="256" t="str">
        <v/>
      </c>
      <c r="AO260" s="257" t="str">
        <v/>
      </c>
      <c r="AP260" s="255" t="str">
        <v/>
      </c>
      <c r="AQ260" s="256" t="str">
        <v/>
      </c>
      <c r="AR260" s="257" t="str">
        <v/>
      </c>
      <c r="AS260" s="255" t="str">
        <v/>
      </c>
      <c r="AT260" s="256" t="str">
        <v/>
      </c>
      <c r="AU260" s="257" t="str">
        <v/>
      </c>
      <c r="AV260" s="255" t="str">
        <v/>
      </c>
      <c r="AW260" s="256" t="str">
        <v/>
      </c>
      <c r="AX260" s="257" t="str">
        <v/>
      </c>
      <c r="AY260" s="243">
        <v>0</v>
      </c>
      <c r="AZ260" s="244">
        <v>0</v>
      </c>
      <c r="BA260" s="244">
        <v>0</v>
      </c>
      <c r="BB260" s="244">
        <v>0</v>
      </c>
      <c r="BC260" s="244">
        <v>0</v>
      </c>
      <c r="BD260" s="244">
        <v>0</v>
      </c>
      <c r="BE260" s="244">
        <v>0</v>
      </c>
      <c r="BF260" s="244">
        <v>0</v>
      </c>
      <c r="BG260" s="244">
        <v>0</v>
      </c>
      <c r="BH260" s="245">
        <v>0</v>
      </c>
      <c r="BK260">
        <v>202</v>
      </c>
      <c r="BL260" s="281"/>
      <c r="BM260" s="281"/>
      <c r="BN260" s="282"/>
      <c r="BO260" s="282"/>
      <c r="BP260" s="282"/>
      <c r="BQ260" s="283"/>
      <c r="BR260" s="284"/>
      <c r="BS260" s="147"/>
      <c r="BT260" s="285"/>
      <c r="BU260" s="288"/>
      <c r="BV260" s="287"/>
      <c r="BW260" s="288"/>
      <c r="BX260" s="286"/>
      <c r="BY260" s="287"/>
      <c r="BZ260" s="288"/>
      <c r="CA260" s="286"/>
      <c r="CB260" s="286"/>
      <c r="CC260" s="287"/>
      <c r="CD260" s="286"/>
      <c r="CE260" s="286"/>
      <c r="CF260" s="286"/>
      <c r="CG260" s="287"/>
      <c r="CH260" s="288"/>
      <c r="CI260" s="286"/>
      <c r="CJ260" s="286"/>
      <c r="CK260" s="287"/>
      <c r="CL260" s="288"/>
      <c r="CM260" s="286"/>
      <c r="CN260" s="294"/>
      <c r="CO260" s="289"/>
      <c r="CP260" s="290"/>
      <c r="CQ260" s="289"/>
      <c r="CR260" s="290"/>
      <c r="CS260" s="284"/>
      <c r="CT260" s="147"/>
      <c r="CU260" s="291"/>
      <c r="CV260" s="292"/>
    </row>
    <row r="261" spans="2:100">
      <c r="B261">
        <v>203</v>
      </c>
      <c r="C261" s="243" t="str">
        <v/>
      </c>
      <c r="D261" s="592" t="str">
        <v/>
      </c>
      <c r="E261" s="245" t="str">
        <v/>
      </c>
      <c r="F261" s="243" t="str">
        <v/>
      </c>
      <c r="G261" s="245" t="str">
        <v/>
      </c>
      <c r="H261" s="243" t="str">
        <v/>
      </c>
      <c r="I261" s="245" t="str">
        <v/>
      </c>
      <c r="J261" s="242" t="str">
        <v/>
      </c>
      <c r="K261" s="242" t="str">
        <v/>
      </c>
      <c r="L261" s="242" t="str">
        <v/>
      </c>
      <c r="M261" s="243" t="str">
        <v/>
      </c>
      <c r="N261" s="592" t="str">
        <v/>
      </c>
      <c r="O261" s="245" t="str">
        <v/>
      </c>
      <c r="P261" s="245" t="str">
        <v/>
      </c>
      <c r="Q261" s="254" t="str">
        <v/>
      </c>
      <c r="R261" s="255" t="str">
        <v/>
      </c>
      <c r="S261" s="256" t="str">
        <v/>
      </c>
      <c r="T261" s="257" t="str">
        <v/>
      </c>
      <c r="U261" s="255" t="str">
        <v/>
      </c>
      <c r="V261" s="256" t="str">
        <v/>
      </c>
      <c r="W261" s="257" t="str">
        <v/>
      </c>
      <c r="X261" s="255" t="str">
        <v/>
      </c>
      <c r="Y261" s="256" t="str">
        <v/>
      </c>
      <c r="Z261" s="257" t="str">
        <v/>
      </c>
      <c r="AA261" s="255" t="str">
        <v/>
      </c>
      <c r="AB261" s="256" t="str">
        <v/>
      </c>
      <c r="AC261" s="257" t="str">
        <v/>
      </c>
      <c r="AD261" s="255" t="str">
        <v/>
      </c>
      <c r="AE261" s="256" t="str">
        <v/>
      </c>
      <c r="AF261" s="257" t="str">
        <v/>
      </c>
      <c r="AG261" s="255" t="str">
        <v/>
      </c>
      <c r="AH261" s="256" t="str">
        <v/>
      </c>
      <c r="AI261" s="257" t="str">
        <v/>
      </c>
      <c r="AJ261" s="255" t="str">
        <v/>
      </c>
      <c r="AK261" s="256" t="str">
        <v/>
      </c>
      <c r="AL261" s="257" t="str">
        <v/>
      </c>
      <c r="AM261" s="255" t="str">
        <v/>
      </c>
      <c r="AN261" s="256" t="str">
        <v/>
      </c>
      <c r="AO261" s="257" t="str">
        <v/>
      </c>
      <c r="AP261" s="255" t="str">
        <v/>
      </c>
      <c r="AQ261" s="256" t="str">
        <v/>
      </c>
      <c r="AR261" s="257" t="str">
        <v/>
      </c>
      <c r="AS261" s="255" t="str">
        <v/>
      </c>
      <c r="AT261" s="256" t="str">
        <v/>
      </c>
      <c r="AU261" s="257" t="str">
        <v/>
      </c>
      <c r="AV261" s="255" t="str">
        <v/>
      </c>
      <c r="AW261" s="256" t="str">
        <v/>
      </c>
      <c r="AX261" s="257" t="str">
        <v/>
      </c>
      <c r="AY261" s="243">
        <v>0</v>
      </c>
      <c r="AZ261" s="244">
        <v>0</v>
      </c>
      <c r="BA261" s="244">
        <v>0</v>
      </c>
      <c r="BB261" s="244">
        <v>0</v>
      </c>
      <c r="BC261" s="244">
        <v>0</v>
      </c>
      <c r="BD261" s="244">
        <v>0</v>
      </c>
      <c r="BE261" s="244">
        <v>0</v>
      </c>
      <c r="BF261" s="244">
        <v>0</v>
      </c>
      <c r="BG261" s="244">
        <v>0</v>
      </c>
      <c r="BH261" s="245">
        <v>0</v>
      </c>
      <c r="BK261">
        <v>203</v>
      </c>
      <c r="BL261" s="281"/>
      <c r="BM261" s="281"/>
      <c r="BN261" s="282"/>
      <c r="BO261" s="282"/>
      <c r="BP261" s="282"/>
      <c r="BQ261" s="283"/>
      <c r="BR261" s="284"/>
      <c r="BS261" s="147"/>
      <c r="BT261" s="285"/>
      <c r="BU261" s="288"/>
      <c r="BV261" s="287"/>
      <c r="BW261" s="288"/>
      <c r="BX261" s="286"/>
      <c r="BY261" s="287"/>
      <c r="BZ261" s="288"/>
      <c r="CA261" s="286"/>
      <c r="CB261" s="286"/>
      <c r="CC261" s="287"/>
      <c r="CD261" s="286"/>
      <c r="CE261" s="286"/>
      <c r="CF261" s="286"/>
      <c r="CG261" s="287"/>
      <c r="CH261" s="288"/>
      <c r="CI261" s="286"/>
      <c r="CJ261" s="286"/>
      <c r="CK261" s="287"/>
      <c r="CL261" s="288"/>
      <c r="CM261" s="286"/>
      <c r="CN261" s="294"/>
      <c r="CO261" s="289"/>
      <c r="CP261" s="290"/>
      <c r="CQ261" s="289"/>
      <c r="CR261" s="290"/>
      <c r="CS261" s="284"/>
      <c r="CT261" s="147"/>
      <c r="CU261" s="291"/>
      <c r="CV261" s="292"/>
    </row>
    <row r="262" spans="2:100">
      <c r="B262">
        <v>204</v>
      </c>
      <c r="C262" s="243" t="str">
        <v/>
      </c>
      <c r="D262" s="592" t="str">
        <v/>
      </c>
      <c r="E262" s="245" t="str">
        <v/>
      </c>
      <c r="F262" s="243" t="str">
        <v/>
      </c>
      <c r="G262" s="245" t="str">
        <v/>
      </c>
      <c r="H262" s="243" t="str">
        <v/>
      </c>
      <c r="I262" s="245" t="str">
        <v/>
      </c>
      <c r="J262" s="242" t="str">
        <v/>
      </c>
      <c r="K262" s="242" t="str">
        <v/>
      </c>
      <c r="L262" s="242" t="str">
        <v/>
      </c>
      <c r="M262" s="243" t="str">
        <v/>
      </c>
      <c r="N262" s="592" t="str">
        <v/>
      </c>
      <c r="O262" s="245" t="str">
        <v/>
      </c>
      <c r="P262" s="245" t="str">
        <v/>
      </c>
      <c r="Q262" s="254" t="str">
        <v/>
      </c>
      <c r="R262" s="255" t="str">
        <v/>
      </c>
      <c r="S262" s="256" t="str">
        <v/>
      </c>
      <c r="T262" s="257" t="str">
        <v/>
      </c>
      <c r="U262" s="255" t="str">
        <v/>
      </c>
      <c r="V262" s="256" t="str">
        <v/>
      </c>
      <c r="W262" s="257" t="str">
        <v/>
      </c>
      <c r="X262" s="255" t="str">
        <v/>
      </c>
      <c r="Y262" s="256" t="str">
        <v/>
      </c>
      <c r="Z262" s="257" t="str">
        <v/>
      </c>
      <c r="AA262" s="255" t="str">
        <v/>
      </c>
      <c r="AB262" s="256" t="str">
        <v/>
      </c>
      <c r="AC262" s="257" t="str">
        <v/>
      </c>
      <c r="AD262" s="255" t="str">
        <v/>
      </c>
      <c r="AE262" s="256" t="str">
        <v/>
      </c>
      <c r="AF262" s="257" t="str">
        <v/>
      </c>
      <c r="AG262" s="255" t="str">
        <v/>
      </c>
      <c r="AH262" s="256" t="str">
        <v/>
      </c>
      <c r="AI262" s="257" t="str">
        <v/>
      </c>
      <c r="AJ262" s="255" t="str">
        <v/>
      </c>
      <c r="AK262" s="256" t="str">
        <v/>
      </c>
      <c r="AL262" s="257" t="str">
        <v/>
      </c>
      <c r="AM262" s="255" t="str">
        <v/>
      </c>
      <c r="AN262" s="256" t="str">
        <v/>
      </c>
      <c r="AO262" s="257" t="str">
        <v/>
      </c>
      <c r="AP262" s="255" t="str">
        <v/>
      </c>
      <c r="AQ262" s="256" t="str">
        <v/>
      </c>
      <c r="AR262" s="257" t="str">
        <v/>
      </c>
      <c r="AS262" s="255" t="str">
        <v/>
      </c>
      <c r="AT262" s="256" t="str">
        <v/>
      </c>
      <c r="AU262" s="257" t="str">
        <v/>
      </c>
      <c r="AV262" s="255" t="str">
        <v/>
      </c>
      <c r="AW262" s="256" t="str">
        <v/>
      </c>
      <c r="AX262" s="257" t="str">
        <v/>
      </c>
      <c r="AY262" s="243">
        <v>0</v>
      </c>
      <c r="AZ262" s="244">
        <v>0</v>
      </c>
      <c r="BA262" s="244">
        <v>0</v>
      </c>
      <c r="BB262" s="244">
        <v>0</v>
      </c>
      <c r="BC262" s="244">
        <v>0</v>
      </c>
      <c r="BD262" s="244">
        <v>0</v>
      </c>
      <c r="BE262" s="244">
        <v>0</v>
      </c>
      <c r="BF262" s="244">
        <v>0</v>
      </c>
      <c r="BG262" s="244">
        <v>0</v>
      </c>
      <c r="BH262" s="245">
        <v>0</v>
      </c>
      <c r="BK262">
        <v>204</v>
      </c>
      <c r="BL262" s="281"/>
      <c r="BM262" s="281"/>
      <c r="BN262" s="282"/>
      <c r="BO262" s="282"/>
      <c r="BP262" s="282"/>
      <c r="BQ262" s="283"/>
      <c r="BR262" s="284"/>
      <c r="BS262" s="147"/>
      <c r="BT262" s="285"/>
      <c r="BU262" s="288"/>
      <c r="BV262" s="287"/>
      <c r="BW262" s="288"/>
      <c r="BX262" s="286"/>
      <c r="BY262" s="287"/>
      <c r="BZ262" s="288"/>
      <c r="CA262" s="286"/>
      <c r="CB262" s="286"/>
      <c r="CC262" s="287"/>
      <c r="CD262" s="286"/>
      <c r="CE262" s="286"/>
      <c r="CF262" s="286"/>
      <c r="CG262" s="287"/>
      <c r="CH262" s="288"/>
      <c r="CI262" s="286"/>
      <c r="CJ262" s="286"/>
      <c r="CK262" s="287"/>
      <c r="CL262" s="288"/>
      <c r="CM262" s="286"/>
      <c r="CN262" s="294"/>
      <c r="CO262" s="289"/>
      <c r="CP262" s="290"/>
      <c r="CQ262" s="289"/>
      <c r="CR262" s="290"/>
      <c r="CS262" s="284"/>
      <c r="CT262" s="147"/>
      <c r="CU262" s="291"/>
      <c r="CV262" s="292"/>
    </row>
    <row r="263" spans="2:100">
      <c r="B263">
        <v>205</v>
      </c>
      <c r="C263" s="243" t="str">
        <v/>
      </c>
      <c r="D263" s="592" t="str">
        <v/>
      </c>
      <c r="E263" s="245" t="str">
        <v/>
      </c>
      <c r="F263" s="243" t="str">
        <v/>
      </c>
      <c r="G263" s="245" t="str">
        <v/>
      </c>
      <c r="H263" s="243" t="str">
        <v/>
      </c>
      <c r="I263" s="245" t="str">
        <v/>
      </c>
      <c r="J263" s="242" t="str">
        <v/>
      </c>
      <c r="K263" s="242" t="str">
        <v/>
      </c>
      <c r="L263" s="242" t="str">
        <v/>
      </c>
      <c r="M263" s="243" t="str">
        <v/>
      </c>
      <c r="N263" s="592" t="str">
        <v/>
      </c>
      <c r="O263" s="245" t="str">
        <v/>
      </c>
      <c r="P263" s="245" t="str">
        <v/>
      </c>
      <c r="Q263" s="254" t="str">
        <v/>
      </c>
      <c r="R263" s="255" t="str">
        <v/>
      </c>
      <c r="S263" s="256" t="str">
        <v/>
      </c>
      <c r="T263" s="257" t="str">
        <v/>
      </c>
      <c r="U263" s="255" t="str">
        <v/>
      </c>
      <c r="V263" s="256" t="str">
        <v/>
      </c>
      <c r="W263" s="257" t="str">
        <v/>
      </c>
      <c r="X263" s="255" t="str">
        <v/>
      </c>
      <c r="Y263" s="256" t="str">
        <v/>
      </c>
      <c r="Z263" s="257" t="str">
        <v/>
      </c>
      <c r="AA263" s="255" t="str">
        <v/>
      </c>
      <c r="AB263" s="256" t="str">
        <v/>
      </c>
      <c r="AC263" s="257" t="str">
        <v/>
      </c>
      <c r="AD263" s="255" t="str">
        <v/>
      </c>
      <c r="AE263" s="256" t="str">
        <v/>
      </c>
      <c r="AF263" s="257" t="str">
        <v/>
      </c>
      <c r="AG263" s="255" t="str">
        <v/>
      </c>
      <c r="AH263" s="256" t="str">
        <v/>
      </c>
      <c r="AI263" s="257" t="str">
        <v/>
      </c>
      <c r="AJ263" s="255" t="str">
        <v/>
      </c>
      <c r="AK263" s="256" t="str">
        <v/>
      </c>
      <c r="AL263" s="257" t="str">
        <v/>
      </c>
      <c r="AM263" s="255" t="str">
        <v/>
      </c>
      <c r="AN263" s="256" t="str">
        <v/>
      </c>
      <c r="AO263" s="257" t="str">
        <v/>
      </c>
      <c r="AP263" s="255" t="str">
        <v/>
      </c>
      <c r="AQ263" s="256" t="str">
        <v/>
      </c>
      <c r="AR263" s="257" t="str">
        <v/>
      </c>
      <c r="AS263" s="255" t="str">
        <v/>
      </c>
      <c r="AT263" s="256" t="str">
        <v/>
      </c>
      <c r="AU263" s="257" t="str">
        <v/>
      </c>
      <c r="AV263" s="255" t="str">
        <v/>
      </c>
      <c r="AW263" s="256" t="str">
        <v/>
      </c>
      <c r="AX263" s="257" t="str">
        <v/>
      </c>
      <c r="AY263" s="243">
        <v>0</v>
      </c>
      <c r="AZ263" s="244">
        <v>0</v>
      </c>
      <c r="BA263" s="244">
        <v>0</v>
      </c>
      <c r="BB263" s="244">
        <v>0</v>
      </c>
      <c r="BC263" s="244">
        <v>0</v>
      </c>
      <c r="BD263" s="244">
        <v>0</v>
      </c>
      <c r="BE263" s="244">
        <v>0</v>
      </c>
      <c r="BF263" s="244">
        <v>0</v>
      </c>
      <c r="BG263" s="244">
        <v>0</v>
      </c>
      <c r="BH263" s="245">
        <v>0</v>
      </c>
      <c r="BK263">
        <v>205</v>
      </c>
      <c r="BL263" s="281"/>
      <c r="BM263" s="281"/>
      <c r="BN263" s="282"/>
      <c r="BO263" s="282"/>
      <c r="BP263" s="282"/>
      <c r="BQ263" s="283"/>
      <c r="BR263" s="284"/>
      <c r="BS263" s="147"/>
      <c r="BT263" s="285"/>
      <c r="BU263" s="288"/>
      <c r="BV263" s="287"/>
      <c r="BW263" s="288"/>
      <c r="BX263" s="286"/>
      <c r="BY263" s="287"/>
      <c r="BZ263" s="288"/>
      <c r="CA263" s="286"/>
      <c r="CB263" s="286"/>
      <c r="CC263" s="287"/>
      <c r="CD263" s="286"/>
      <c r="CE263" s="286"/>
      <c r="CF263" s="286"/>
      <c r="CG263" s="287"/>
      <c r="CH263" s="288"/>
      <c r="CI263" s="286"/>
      <c r="CJ263" s="286"/>
      <c r="CK263" s="287"/>
      <c r="CL263" s="288"/>
      <c r="CM263" s="286"/>
      <c r="CN263" s="294"/>
      <c r="CO263" s="289"/>
      <c r="CP263" s="290"/>
      <c r="CQ263" s="289"/>
      <c r="CR263" s="290"/>
      <c r="CS263" s="284"/>
      <c r="CT263" s="147"/>
      <c r="CU263" s="291"/>
      <c r="CV263" s="292"/>
    </row>
    <row r="264" spans="2:100">
      <c r="B264">
        <v>206</v>
      </c>
      <c r="C264" s="243" t="str">
        <v/>
      </c>
      <c r="D264" s="592" t="str">
        <v/>
      </c>
      <c r="E264" s="245" t="str">
        <v/>
      </c>
      <c r="F264" s="243" t="str">
        <v/>
      </c>
      <c r="G264" s="245" t="str">
        <v/>
      </c>
      <c r="H264" s="243" t="str">
        <v/>
      </c>
      <c r="I264" s="245" t="str">
        <v/>
      </c>
      <c r="J264" s="242" t="str">
        <v/>
      </c>
      <c r="K264" s="242" t="str">
        <v/>
      </c>
      <c r="L264" s="242" t="str">
        <v/>
      </c>
      <c r="M264" s="243" t="str">
        <v/>
      </c>
      <c r="N264" s="592" t="str">
        <v/>
      </c>
      <c r="O264" s="245" t="str">
        <v/>
      </c>
      <c r="P264" s="245" t="str">
        <v/>
      </c>
      <c r="Q264" s="254" t="str">
        <v/>
      </c>
      <c r="R264" s="255" t="str">
        <v/>
      </c>
      <c r="S264" s="256" t="str">
        <v/>
      </c>
      <c r="T264" s="257" t="str">
        <v/>
      </c>
      <c r="U264" s="255" t="str">
        <v/>
      </c>
      <c r="V264" s="256" t="str">
        <v/>
      </c>
      <c r="W264" s="257" t="str">
        <v/>
      </c>
      <c r="X264" s="255" t="str">
        <v/>
      </c>
      <c r="Y264" s="256" t="str">
        <v/>
      </c>
      <c r="Z264" s="257" t="str">
        <v/>
      </c>
      <c r="AA264" s="255" t="str">
        <v/>
      </c>
      <c r="AB264" s="256" t="str">
        <v/>
      </c>
      <c r="AC264" s="257" t="str">
        <v/>
      </c>
      <c r="AD264" s="255" t="str">
        <v/>
      </c>
      <c r="AE264" s="256" t="str">
        <v/>
      </c>
      <c r="AF264" s="257" t="str">
        <v/>
      </c>
      <c r="AG264" s="255" t="str">
        <v/>
      </c>
      <c r="AH264" s="256" t="str">
        <v/>
      </c>
      <c r="AI264" s="257" t="str">
        <v/>
      </c>
      <c r="AJ264" s="255" t="str">
        <v/>
      </c>
      <c r="AK264" s="256" t="str">
        <v/>
      </c>
      <c r="AL264" s="257" t="str">
        <v/>
      </c>
      <c r="AM264" s="255" t="str">
        <v/>
      </c>
      <c r="AN264" s="256" t="str">
        <v/>
      </c>
      <c r="AO264" s="257" t="str">
        <v/>
      </c>
      <c r="AP264" s="255" t="str">
        <v/>
      </c>
      <c r="AQ264" s="256" t="str">
        <v/>
      </c>
      <c r="AR264" s="257" t="str">
        <v/>
      </c>
      <c r="AS264" s="255" t="str">
        <v/>
      </c>
      <c r="AT264" s="256" t="str">
        <v/>
      </c>
      <c r="AU264" s="257" t="str">
        <v/>
      </c>
      <c r="AV264" s="255" t="str">
        <v/>
      </c>
      <c r="AW264" s="256" t="str">
        <v/>
      </c>
      <c r="AX264" s="257" t="str">
        <v/>
      </c>
      <c r="AY264" s="243">
        <v>0</v>
      </c>
      <c r="AZ264" s="244">
        <v>0</v>
      </c>
      <c r="BA264" s="244">
        <v>0</v>
      </c>
      <c r="BB264" s="244">
        <v>0</v>
      </c>
      <c r="BC264" s="244">
        <v>0</v>
      </c>
      <c r="BD264" s="244">
        <v>0</v>
      </c>
      <c r="BE264" s="244">
        <v>0</v>
      </c>
      <c r="BF264" s="244">
        <v>0</v>
      </c>
      <c r="BG264" s="244">
        <v>0</v>
      </c>
      <c r="BH264" s="245">
        <v>0</v>
      </c>
      <c r="BK264">
        <v>206</v>
      </c>
      <c r="BL264" s="281"/>
      <c r="BM264" s="281"/>
      <c r="BN264" s="282"/>
      <c r="BO264" s="282"/>
      <c r="BP264" s="282"/>
      <c r="BQ264" s="283"/>
      <c r="BR264" s="284"/>
      <c r="BS264" s="147"/>
      <c r="BT264" s="285"/>
      <c r="BU264" s="288"/>
      <c r="BV264" s="287"/>
      <c r="BW264" s="288"/>
      <c r="BX264" s="286"/>
      <c r="BY264" s="287"/>
      <c r="BZ264" s="288"/>
      <c r="CA264" s="286"/>
      <c r="CB264" s="286"/>
      <c r="CC264" s="287"/>
      <c r="CD264" s="286"/>
      <c r="CE264" s="286"/>
      <c r="CF264" s="286"/>
      <c r="CG264" s="287"/>
      <c r="CH264" s="288"/>
      <c r="CI264" s="286"/>
      <c r="CJ264" s="286"/>
      <c r="CK264" s="287"/>
      <c r="CL264" s="288"/>
      <c r="CM264" s="286"/>
      <c r="CN264" s="294"/>
      <c r="CO264" s="289"/>
      <c r="CP264" s="290"/>
      <c r="CQ264" s="289"/>
      <c r="CR264" s="290"/>
      <c r="CS264" s="284"/>
      <c r="CT264" s="147"/>
      <c r="CU264" s="291"/>
      <c r="CV264" s="292"/>
    </row>
    <row r="265" spans="2:100">
      <c r="B265">
        <v>207</v>
      </c>
      <c r="C265" s="243" t="str">
        <v/>
      </c>
      <c r="D265" s="592" t="str">
        <v/>
      </c>
      <c r="E265" s="245" t="str">
        <v/>
      </c>
      <c r="F265" s="243" t="str">
        <v/>
      </c>
      <c r="G265" s="245" t="str">
        <v/>
      </c>
      <c r="H265" s="243" t="str">
        <v/>
      </c>
      <c r="I265" s="245" t="str">
        <v/>
      </c>
      <c r="J265" s="242" t="str">
        <v/>
      </c>
      <c r="K265" s="242" t="str">
        <v/>
      </c>
      <c r="L265" s="242" t="str">
        <v/>
      </c>
      <c r="M265" s="243" t="str">
        <v/>
      </c>
      <c r="N265" s="592" t="str">
        <v/>
      </c>
      <c r="O265" s="245" t="str">
        <v/>
      </c>
      <c r="P265" s="245" t="str">
        <v/>
      </c>
      <c r="Q265" s="254" t="str">
        <v/>
      </c>
      <c r="R265" s="255" t="str">
        <v/>
      </c>
      <c r="S265" s="256" t="str">
        <v/>
      </c>
      <c r="T265" s="257" t="str">
        <v/>
      </c>
      <c r="U265" s="255" t="str">
        <v/>
      </c>
      <c r="V265" s="256" t="str">
        <v/>
      </c>
      <c r="W265" s="257" t="str">
        <v/>
      </c>
      <c r="X265" s="255" t="str">
        <v/>
      </c>
      <c r="Y265" s="256" t="str">
        <v/>
      </c>
      <c r="Z265" s="257" t="str">
        <v/>
      </c>
      <c r="AA265" s="255" t="str">
        <v/>
      </c>
      <c r="AB265" s="256" t="str">
        <v/>
      </c>
      <c r="AC265" s="257" t="str">
        <v/>
      </c>
      <c r="AD265" s="255" t="str">
        <v/>
      </c>
      <c r="AE265" s="256" t="str">
        <v/>
      </c>
      <c r="AF265" s="257" t="str">
        <v/>
      </c>
      <c r="AG265" s="255" t="str">
        <v/>
      </c>
      <c r="AH265" s="256" t="str">
        <v/>
      </c>
      <c r="AI265" s="257" t="str">
        <v/>
      </c>
      <c r="AJ265" s="255" t="str">
        <v/>
      </c>
      <c r="AK265" s="256" t="str">
        <v/>
      </c>
      <c r="AL265" s="257" t="str">
        <v/>
      </c>
      <c r="AM265" s="255" t="str">
        <v/>
      </c>
      <c r="AN265" s="256" t="str">
        <v/>
      </c>
      <c r="AO265" s="257" t="str">
        <v/>
      </c>
      <c r="AP265" s="255" t="str">
        <v/>
      </c>
      <c r="AQ265" s="256" t="str">
        <v/>
      </c>
      <c r="AR265" s="257" t="str">
        <v/>
      </c>
      <c r="AS265" s="255" t="str">
        <v/>
      </c>
      <c r="AT265" s="256" t="str">
        <v/>
      </c>
      <c r="AU265" s="257" t="str">
        <v/>
      </c>
      <c r="AV265" s="255" t="str">
        <v/>
      </c>
      <c r="AW265" s="256" t="str">
        <v/>
      </c>
      <c r="AX265" s="257" t="str">
        <v/>
      </c>
      <c r="AY265" s="243">
        <v>0</v>
      </c>
      <c r="AZ265" s="244">
        <v>0</v>
      </c>
      <c r="BA265" s="244">
        <v>0</v>
      </c>
      <c r="BB265" s="244">
        <v>0</v>
      </c>
      <c r="BC265" s="244">
        <v>0</v>
      </c>
      <c r="BD265" s="244">
        <v>0</v>
      </c>
      <c r="BE265" s="244">
        <v>0</v>
      </c>
      <c r="BF265" s="244">
        <v>0</v>
      </c>
      <c r="BG265" s="244">
        <v>0</v>
      </c>
      <c r="BH265" s="245">
        <v>0</v>
      </c>
      <c r="BK265">
        <v>207</v>
      </c>
      <c r="BL265" s="281"/>
      <c r="BM265" s="281"/>
      <c r="BN265" s="282"/>
      <c r="BO265" s="282"/>
      <c r="BP265" s="282"/>
      <c r="BQ265" s="283"/>
      <c r="BR265" s="284"/>
      <c r="BS265" s="147"/>
      <c r="BT265" s="285"/>
      <c r="BU265" s="288"/>
      <c r="BV265" s="287"/>
      <c r="BW265" s="288"/>
      <c r="BX265" s="286"/>
      <c r="BY265" s="287"/>
      <c r="BZ265" s="288"/>
      <c r="CA265" s="286"/>
      <c r="CB265" s="286"/>
      <c r="CC265" s="287"/>
      <c r="CD265" s="286"/>
      <c r="CE265" s="286"/>
      <c r="CF265" s="286"/>
      <c r="CG265" s="287"/>
      <c r="CH265" s="288"/>
      <c r="CI265" s="286"/>
      <c r="CJ265" s="286"/>
      <c r="CK265" s="287"/>
      <c r="CL265" s="288"/>
      <c r="CM265" s="286"/>
      <c r="CN265" s="294"/>
      <c r="CO265" s="289"/>
      <c r="CP265" s="290"/>
      <c r="CQ265" s="289"/>
      <c r="CR265" s="290"/>
      <c r="CS265" s="284"/>
      <c r="CT265" s="147"/>
      <c r="CU265" s="291"/>
      <c r="CV265" s="292"/>
    </row>
    <row r="266" spans="2:100">
      <c r="B266">
        <v>208</v>
      </c>
      <c r="C266" s="243" t="str">
        <v/>
      </c>
      <c r="D266" s="592" t="str">
        <v/>
      </c>
      <c r="E266" s="245" t="str">
        <v/>
      </c>
      <c r="F266" s="243" t="str">
        <v/>
      </c>
      <c r="G266" s="245" t="str">
        <v/>
      </c>
      <c r="H266" s="243" t="str">
        <v/>
      </c>
      <c r="I266" s="245" t="str">
        <v/>
      </c>
      <c r="J266" s="242" t="str">
        <v/>
      </c>
      <c r="K266" s="242" t="str">
        <v/>
      </c>
      <c r="L266" s="242" t="str">
        <v/>
      </c>
      <c r="M266" s="243" t="str">
        <v/>
      </c>
      <c r="N266" s="592" t="str">
        <v/>
      </c>
      <c r="O266" s="245" t="str">
        <v/>
      </c>
      <c r="P266" s="245" t="str">
        <v/>
      </c>
      <c r="Q266" s="254" t="str">
        <v/>
      </c>
      <c r="R266" s="255" t="str">
        <v/>
      </c>
      <c r="S266" s="256" t="str">
        <v/>
      </c>
      <c r="T266" s="257" t="str">
        <v/>
      </c>
      <c r="U266" s="255" t="str">
        <v/>
      </c>
      <c r="V266" s="256" t="str">
        <v/>
      </c>
      <c r="W266" s="257" t="str">
        <v/>
      </c>
      <c r="X266" s="255" t="str">
        <v/>
      </c>
      <c r="Y266" s="256" t="str">
        <v/>
      </c>
      <c r="Z266" s="257" t="str">
        <v/>
      </c>
      <c r="AA266" s="255" t="str">
        <v/>
      </c>
      <c r="AB266" s="256" t="str">
        <v/>
      </c>
      <c r="AC266" s="257" t="str">
        <v/>
      </c>
      <c r="AD266" s="255" t="str">
        <v/>
      </c>
      <c r="AE266" s="256" t="str">
        <v/>
      </c>
      <c r="AF266" s="257" t="str">
        <v/>
      </c>
      <c r="AG266" s="255" t="str">
        <v/>
      </c>
      <c r="AH266" s="256" t="str">
        <v/>
      </c>
      <c r="AI266" s="257" t="str">
        <v/>
      </c>
      <c r="AJ266" s="255" t="str">
        <v/>
      </c>
      <c r="AK266" s="256" t="str">
        <v/>
      </c>
      <c r="AL266" s="257" t="str">
        <v/>
      </c>
      <c r="AM266" s="255" t="str">
        <v/>
      </c>
      <c r="AN266" s="256" t="str">
        <v/>
      </c>
      <c r="AO266" s="257" t="str">
        <v/>
      </c>
      <c r="AP266" s="255" t="str">
        <v/>
      </c>
      <c r="AQ266" s="256" t="str">
        <v/>
      </c>
      <c r="AR266" s="257" t="str">
        <v/>
      </c>
      <c r="AS266" s="255" t="str">
        <v/>
      </c>
      <c r="AT266" s="256" t="str">
        <v/>
      </c>
      <c r="AU266" s="257" t="str">
        <v/>
      </c>
      <c r="AV266" s="255" t="str">
        <v/>
      </c>
      <c r="AW266" s="256" t="str">
        <v/>
      </c>
      <c r="AX266" s="257" t="str">
        <v/>
      </c>
      <c r="AY266" s="243">
        <v>0</v>
      </c>
      <c r="AZ266" s="244">
        <v>0</v>
      </c>
      <c r="BA266" s="244">
        <v>0</v>
      </c>
      <c r="BB266" s="244">
        <v>0</v>
      </c>
      <c r="BC266" s="244">
        <v>0</v>
      </c>
      <c r="BD266" s="244">
        <v>0</v>
      </c>
      <c r="BE266" s="244">
        <v>0</v>
      </c>
      <c r="BF266" s="244">
        <v>0</v>
      </c>
      <c r="BG266" s="244">
        <v>0</v>
      </c>
      <c r="BH266" s="245">
        <v>0</v>
      </c>
      <c r="BK266">
        <v>208</v>
      </c>
      <c r="BL266" s="281"/>
      <c r="BM266" s="281"/>
      <c r="BN266" s="282"/>
      <c r="BO266" s="282"/>
      <c r="BP266" s="282"/>
      <c r="BQ266" s="283"/>
      <c r="BR266" s="284"/>
      <c r="BS266" s="147"/>
      <c r="BT266" s="285"/>
      <c r="BU266" s="288"/>
      <c r="BV266" s="287"/>
      <c r="BW266" s="288"/>
      <c r="BX266" s="286"/>
      <c r="BY266" s="287"/>
      <c r="BZ266" s="288"/>
      <c r="CA266" s="286"/>
      <c r="CB266" s="286"/>
      <c r="CC266" s="287"/>
      <c r="CD266" s="286"/>
      <c r="CE266" s="286"/>
      <c r="CF266" s="286"/>
      <c r="CG266" s="287"/>
      <c r="CH266" s="288"/>
      <c r="CI266" s="286"/>
      <c r="CJ266" s="286"/>
      <c r="CK266" s="287"/>
      <c r="CL266" s="288"/>
      <c r="CM266" s="286"/>
      <c r="CN266" s="294"/>
      <c r="CO266" s="289"/>
      <c r="CP266" s="290"/>
      <c r="CQ266" s="289"/>
      <c r="CR266" s="290"/>
      <c r="CS266" s="284"/>
      <c r="CT266" s="147"/>
      <c r="CU266" s="291"/>
      <c r="CV266" s="292"/>
    </row>
    <row r="267" spans="2:100">
      <c r="B267">
        <v>209</v>
      </c>
      <c r="C267" s="243" t="str">
        <v/>
      </c>
      <c r="D267" s="592" t="str">
        <v/>
      </c>
      <c r="E267" s="245" t="str">
        <v/>
      </c>
      <c r="F267" s="243" t="str">
        <v/>
      </c>
      <c r="G267" s="245" t="str">
        <v/>
      </c>
      <c r="H267" s="243" t="str">
        <v/>
      </c>
      <c r="I267" s="245" t="str">
        <v/>
      </c>
      <c r="J267" s="242" t="str">
        <v/>
      </c>
      <c r="K267" s="242" t="str">
        <v/>
      </c>
      <c r="L267" s="242" t="str">
        <v/>
      </c>
      <c r="M267" s="243" t="str">
        <v/>
      </c>
      <c r="N267" s="592" t="str">
        <v/>
      </c>
      <c r="O267" s="245" t="str">
        <v/>
      </c>
      <c r="P267" s="245" t="str">
        <v/>
      </c>
      <c r="Q267" s="254" t="str">
        <v/>
      </c>
      <c r="R267" s="255" t="str">
        <v/>
      </c>
      <c r="S267" s="256" t="str">
        <v/>
      </c>
      <c r="T267" s="257" t="str">
        <v/>
      </c>
      <c r="U267" s="255" t="str">
        <v/>
      </c>
      <c r="V267" s="256" t="str">
        <v/>
      </c>
      <c r="W267" s="257" t="str">
        <v/>
      </c>
      <c r="X267" s="255" t="str">
        <v/>
      </c>
      <c r="Y267" s="256" t="str">
        <v/>
      </c>
      <c r="Z267" s="257" t="str">
        <v/>
      </c>
      <c r="AA267" s="255" t="str">
        <v/>
      </c>
      <c r="AB267" s="256" t="str">
        <v/>
      </c>
      <c r="AC267" s="257" t="str">
        <v/>
      </c>
      <c r="AD267" s="255" t="str">
        <v/>
      </c>
      <c r="AE267" s="256" t="str">
        <v/>
      </c>
      <c r="AF267" s="257" t="str">
        <v/>
      </c>
      <c r="AG267" s="255" t="str">
        <v/>
      </c>
      <c r="AH267" s="256" t="str">
        <v/>
      </c>
      <c r="AI267" s="257" t="str">
        <v/>
      </c>
      <c r="AJ267" s="255" t="str">
        <v/>
      </c>
      <c r="AK267" s="256" t="str">
        <v/>
      </c>
      <c r="AL267" s="257" t="str">
        <v/>
      </c>
      <c r="AM267" s="255" t="str">
        <v/>
      </c>
      <c r="AN267" s="256" t="str">
        <v/>
      </c>
      <c r="AO267" s="257" t="str">
        <v/>
      </c>
      <c r="AP267" s="255" t="str">
        <v/>
      </c>
      <c r="AQ267" s="256" t="str">
        <v/>
      </c>
      <c r="AR267" s="257" t="str">
        <v/>
      </c>
      <c r="AS267" s="255" t="str">
        <v/>
      </c>
      <c r="AT267" s="256" t="str">
        <v/>
      </c>
      <c r="AU267" s="257" t="str">
        <v/>
      </c>
      <c r="AV267" s="255" t="str">
        <v/>
      </c>
      <c r="AW267" s="256" t="str">
        <v/>
      </c>
      <c r="AX267" s="257" t="str">
        <v/>
      </c>
      <c r="AY267" s="243">
        <v>0</v>
      </c>
      <c r="AZ267" s="244">
        <v>0</v>
      </c>
      <c r="BA267" s="244">
        <v>0</v>
      </c>
      <c r="BB267" s="244">
        <v>0</v>
      </c>
      <c r="BC267" s="244">
        <v>0</v>
      </c>
      <c r="BD267" s="244">
        <v>0</v>
      </c>
      <c r="BE267" s="244">
        <v>0</v>
      </c>
      <c r="BF267" s="244">
        <v>0</v>
      </c>
      <c r="BG267" s="244">
        <v>0</v>
      </c>
      <c r="BH267" s="245">
        <v>0</v>
      </c>
      <c r="BK267">
        <v>209</v>
      </c>
      <c r="BL267" s="281"/>
      <c r="BM267" s="281"/>
      <c r="BN267" s="282"/>
      <c r="BO267" s="282"/>
      <c r="BP267" s="282"/>
      <c r="BQ267" s="283"/>
      <c r="BR267" s="284"/>
      <c r="BS267" s="147"/>
      <c r="BT267" s="285"/>
      <c r="BU267" s="288"/>
      <c r="BV267" s="287"/>
      <c r="BW267" s="288"/>
      <c r="BX267" s="286"/>
      <c r="BY267" s="287"/>
      <c r="BZ267" s="288"/>
      <c r="CA267" s="286"/>
      <c r="CB267" s="286"/>
      <c r="CC267" s="287"/>
      <c r="CD267" s="286"/>
      <c r="CE267" s="286"/>
      <c r="CF267" s="286"/>
      <c r="CG267" s="287"/>
      <c r="CH267" s="288"/>
      <c r="CI267" s="286"/>
      <c r="CJ267" s="286"/>
      <c r="CK267" s="287"/>
      <c r="CL267" s="288"/>
      <c r="CM267" s="286"/>
      <c r="CN267" s="294"/>
      <c r="CO267" s="289"/>
      <c r="CP267" s="290"/>
      <c r="CQ267" s="289"/>
      <c r="CR267" s="290"/>
      <c r="CS267" s="284"/>
      <c r="CT267" s="147"/>
      <c r="CU267" s="291"/>
      <c r="CV267" s="292"/>
    </row>
    <row r="268" spans="2:100">
      <c r="B268">
        <v>210</v>
      </c>
      <c r="C268" s="243" t="str">
        <v/>
      </c>
      <c r="D268" s="592" t="str">
        <v/>
      </c>
      <c r="E268" s="245" t="str">
        <v/>
      </c>
      <c r="F268" s="243" t="str">
        <v/>
      </c>
      <c r="G268" s="245" t="str">
        <v/>
      </c>
      <c r="H268" s="243" t="str">
        <v/>
      </c>
      <c r="I268" s="245" t="str">
        <v/>
      </c>
      <c r="J268" s="242" t="str">
        <v/>
      </c>
      <c r="K268" s="242" t="str">
        <v/>
      </c>
      <c r="L268" s="242" t="str">
        <v/>
      </c>
      <c r="M268" s="243" t="str">
        <v/>
      </c>
      <c r="N268" s="592" t="str">
        <v/>
      </c>
      <c r="O268" s="245" t="str">
        <v/>
      </c>
      <c r="P268" s="245" t="str">
        <v/>
      </c>
      <c r="Q268" s="254" t="str">
        <v/>
      </c>
      <c r="R268" s="255" t="str">
        <v/>
      </c>
      <c r="S268" s="256" t="str">
        <v/>
      </c>
      <c r="T268" s="257" t="str">
        <v/>
      </c>
      <c r="U268" s="255" t="str">
        <v/>
      </c>
      <c r="V268" s="256" t="str">
        <v/>
      </c>
      <c r="W268" s="257" t="str">
        <v/>
      </c>
      <c r="X268" s="255" t="str">
        <v/>
      </c>
      <c r="Y268" s="256" t="str">
        <v/>
      </c>
      <c r="Z268" s="257" t="str">
        <v/>
      </c>
      <c r="AA268" s="255" t="str">
        <v/>
      </c>
      <c r="AB268" s="256" t="str">
        <v/>
      </c>
      <c r="AC268" s="257" t="str">
        <v/>
      </c>
      <c r="AD268" s="255" t="str">
        <v/>
      </c>
      <c r="AE268" s="256" t="str">
        <v/>
      </c>
      <c r="AF268" s="257" t="str">
        <v/>
      </c>
      <c r="AG268" s="255" t="str">
        <v/>
      </c>
      <c r="AH268" s="256" t="str">
        <v/>
      </c>
      <c r="AI268" s="257" t="str">
        <v/>
      </c>
      <c r="AJ268" s="255" t="str">
        <v/>
      </c>
      <c r="AK268" s="256" t="str">
        <v/>
      </c>
      <c r="AL268" s="257" t="str">
        <v/>
      </c>
      <c r="AM268" s="255" t="str">
        <v/>
      </c>
      <c r="AN268" s="256" t="str">
        <v/>
      </c>
      <c r="AO268" s="257" t="str">
        <v/>
      </c>
      <c r="AP268" s="255" t="str">
        <v/>
      </c>
      <c r="AQ268" s="256" t="str">
        <v/>
      </c>
      <c r="AR268" s="257" t="str">
        <v/>
      </c>
      <c r="AS268" s="255" t="str">
        <v/>
      </c>
      <c r="AT268" s="256" t="str">
        <v/>
      </c>
      <c r="AU268" s="257" t="str">
        <v/>
      </c>
      <c r="AV268" s="255" t="str">
        <v/>
      </c>
      <c r="AW268" s="256" t="str">
        <v/>
      </c>
      <c r="AX268" s="257" t="str">
        <v/>
      </c>
      <c r="AY268" s="243">
        <v>0</v>
      </c>
      <c r="AZ268" s="244">
        <v>0</v>
      </c>
      <c r="BA268" s="244">
        <v>0</v>
      </c>
      <c r="BB268" s="244">
        <v>0</v>
      </c>
      <c r="BC268" s="244">
        <v>0</v>
      </c>
      <c r="BD268" s="244">
        <v>0</v>
      </c>
      <c r="BE268" s="244">
        <v>0</v>
      </c>
      <c r="BF268" s="244">
        <v>0</v>
      </c>
      <c r="BG268" s="244">
        <v>0</v>
      </c>
      <c r="BH268" s="245">
        <v>0</v>
      </c>
      <c r="BK268">
        <v>210</v>
      </c>
      <c r="BL268" s="281"/>
      <c r="BM268" s="281"/>
      <c r="BN268" s="282"/>
      <c r="BO268" s="282"/>
      <c r="BP268" s="282"/>
      <c r="BQ268" s="283"/>
      <c r="BR268" s="284"/>
      <c r="BS268" s="147"/>
      <c r="BT268" s="285"/>
      <c r="BU268" s="288"/>
      <c r="BV268" s="287"/>
      <c r="BW268" s="288"/>
      <c r="BX268" s="286"/>
      <c r="BY268" s="287"/>
      <c r="BZ268" s="288"/>
      <c r="CA268" s="286"/>
      <c r="CB268" s="286"/>
      <c r="CC268" s="287"/>
      <c r="CD268" s="286"/>
      <c r="CE268" s="286"/>
      <c r="CF268" s="286"/>
      <c r="CG268" s="287"/>
      <c r="CH268" s="288"/>
      <c r="CI268" s="286"/>
      <c r="CJ268" s="286"/>
      <c r="CK268" s="287"/>
      <c r="CL268" s="288"/>
      <c r="CM268" s="286"/>
      <c r="CN268" s="294"/>
      <c r="CO268" s="289"/>
      <c r="CP268" s="290"/>
      <c r="CQ268" s="289"/>
      <c r="CR268" s="290"/>
      <c r="CS268" s="284"/>
      <c r="CT268" s="147"/>
      <c r="CU268" s="291"/>
      <c r="CV268" s="292"/>
    </row>
    <row r="269" spans="2:100">
      <c r="B269">
        <v>211</v>
      </c>
      <c r="C269" s="243" t="str">
        <v/>
      </c>
      <c r="D269" s="592" t="str">
        <v/>
      </c>
      <c r="E269" s="245" t="str">
        <v/>
      </c>
      <c r="F269" s="243" t="str">
        <v/>
      </c>
      <c r="G269" s="245" t="str">
        <v/>
      </c>
      <c r="H269" s="243" t="str">
        <v/>
      </c>
      <c r="I269" s="245" t="str">
        <v/>
      </c>
      <c r="J269" s="242" t="str">
        <v/>
      </c>
      <c r="K269" s="242" t="str">
        <v/>
      </c>
      <c r="L269" s="242" t="str">
        <v/>
      </c>
      <c r="M269" s="243" t="str">
        <v/>
      </c>
      <c r="N269" s="592" t="str">
        <v/>
      </c>
      <c r="O269" s="245" t="str">
        <v/>
      </c>
      <c r="P269" s="245" t="str">
        <v/>
      </c>
      <c r="Q269" s="254" t="str">
        <v/>
      </c>
      <c r="R269" s="255" t="str">
        <v/>
      </c>
      <c r="S269" s="256" t="str">
        <v/>
      </c>
      <c r="T269" s="257" t="str">
        <v/>
      </c>
      <c r="U269" s="255" t="str">
        <v/>
      </c>
      <c r="V269" s="256" t="str">
        <v/>
      </c>
      <c r="W269" s="257" t="str">
        <v/>
      </c>
      <c r="X269" s="255" t="str">
        <v/>
      </c>
      <c r="Y269" s="256" t="str">
        <v/>
      </c>
      <c r="Z269" s="257" t="str">
        <v/>
      </c>
      <c r="AA269" s="255" t="str">
        <v/>
      </c>
      <c r="AB269" s="256" t="str">
        <v/>
      </c>
      <c r="AC269" s="257" t="str">
        <v/>
      </c>
      <c r="AD269" s="255" t="str">
        <v/>
      </c>
      <c r="AE269" s="256" t="str">
        <v/>
      </c>
      <c r="AF269" s="257" t="str">
        <v/>
      </c>
      <c r="AG269" s="255" t="str">
        <v/>
      </c>
      <c r="AH269" s="256" t="str">
        <v/>
      </c>
      <c r="AI269" s="257" t="str">
        <v/>
      </c>
      <c r="AJ269" s="255" t="str">
        <v/>
      </c>
      <c r="AK269" s="256" t="str">
        <v/>
      </c>
      <c r="AL269" s="257" t="str">
        <v/>
      </c>
      <c r="AM269" s="255" t="str">
        <v/>
      </c>
      <c r="AN269" s="256" t="str">
        <v/>
      </c>
      <c r="AO269" s="257" t="str">
        <v/>
      </c>
      <c r="AP269" s="255" t="str">
        <v/>
      </c>
      <c r="AQ269" s="256" t="str">
        <v/>
      </c>
      <c r="AR269" s="257" t="str">
        <v/>
      </c>
      <c r="AS269" s="255" t="str">
        <v/>
      </c>
      <c r="AT269" s="256" t="str">
        <v/>
      </c>
      <c r="AU269" s="257" t="str">
        <v/>
      </c>
      <c r="AV269" s="255" t="str">
        <v/>
      </c>
      <c r="AW269" s="256" t="str">
        <v/>
      </c>
      <c r="AX269" s="257" t="str">
        <v/>
      </c>
      <c r="AY269" s="243">
        <v>0</v>
      </c>
      <c r="AZ269" s="244">
        <v>0</v>
      </c>
      <c r="BA269" s="244">
        <v>0</v>
      </c>
      <c r="BB269" s="244">
        <v>0</v>
      </c>
      <c r="BC269" s="244">
        <v>0</v>
      </c>
      <c r="BD269" s="244">
        <v>0</v>
      </c>
      <c r="BE269" s="244">
        <v>0</v>
      </c>
      <c r="BF269" s="244">
        <v>0</v>
      </c>
      <c r="BG269" s="244">
        <v>0</v>
      </c>
      <c r="BH269" s="245">
        <v>0</v>
      </c>
      <c r="BK269">
        <v>211</v>
      </c>
      <c r="BL269" s="281"/>
      <c r="BM269" s="281"/>
      <c r="BN269" s="282"/>
      <c r="BO269" s="282"/>
      <c r="BP269" s="282"/>
      <c r="BQ269" s="283"/>
      <c r="BR269" s="284"/>
      <c r="BS269" s="147"/>
      <c r="BT269" s="285"/>
      <c r="BU269" s="288"/>
      <c r="BV269" s="287"/>
      <c r="BW269" s="288"/>
      <c r="BX269" s="286"/>
      <c r="BY269" s="287"/>
      <c r="BZ269" s="288"/>
      <c r="CA269" s="286"/>
      <c r="CB269" s="286"/>
      <c r="CC269" s="287"/>
      <c r="CD269" s="286"/>
      <c r="CE269" s="286"/>
      <c r="CF269" s="286"/>
      <c r="CG269" s="287"/>
      <c r="CH269" s="288"/>
      <c r="CI269" s="286"/>
      <c r="CJ269" s="286"/>
      <c r="CK269" s="287"/>
      <c r="CL269" s="288"/>
      <c r="CM269" s="286"/>
      <c r="CN269" s="294"/>
      <c r="CO269" s="289"/>
      <c r="CP269" s="290"/>
      <c r="CQ269" s="289"/>
      <c r="CR269" s="290"/>
      <c r="CS269" s="284"/>
      <c r="CT269" s="147"/>
      <c r="CU269" s="291"/>
      <c r="CV269" s="292"/>
    </row>
    <row r="270" spans="2:100">
      <c r="B270">
        <v>212</v>
      </c>
      <c r="C270" s="243" t="str">
        <v/>
      </c>
      <c r="D270" s="592" t="str">
        <v/>
      </c>
      <c r="E270" s="245" t="str">
        <v/>
      </c>
      <c r="F270" s="243" t="str">
        <v/>
      </c>
      <c r="G270" s="245" t="str">
        <v/>
      </c>
      <c r="H270" s="243" t="str">
        <v/>
      </c>
      <c r="I270" s="245" t="str">
        <v/>
      </c>
      <c r="J270" s="242" t="str">
        <v/>
      </c>
      <c r="K270" s="242" t="str">
        <v/>
      </c>
      <c r="L270" s="242" t="str">
        <v/>
      </c>
      <c r="M270" s="243" t="str">
        <v/>
      </c>
      <c r="N270" s="592" t="str">
        <v/>
      </c>
      <c r="O270" s="245" t="str">
        <v/>
      </c>
      <c r="P270" s="245" t="str">
        <v/>
      </c>
      <c r="Q270" s="254" t="str">
        <v/>
      </c>
      <c r="R270" s="255" t="str">
        <v/>
      </c>
      <c r="S270" s="256" t="str">
        <v/>
      </c>
      <c r="T270" s="257" t="str">
        <v/>
      </c>
      <c r="U270" s="255" t="str">
        <v/>
      </c>
      <c r="V270" s="256" t="str">
        <v/>
      </c>
      <c r="W270" s="257" t="str">
        <v/>
      </c>
      <c r="X270" s="255" t="str">
        <v/>
      </c>
      <c r="Y270" s="256" t="str">
        <v/>
      </c>
      <c r="Z270" s="257" t="str">
        <v/>
      </c>
      <c r="AA270" s="255" t="str">
        <v/>
      </c>
      <c r="AB270" s="256" t="str">
        <v/>
      </c>
      <c r="AC270" s="257" t="str">
        <v/>
      </c>
      <c r="AD270" s="255" t="str">
        <v/>
      </c>
      <c r="AE270" s="256" t="str">
        <v/>
      </c>
      <c r="AF270" s="257" t="str">
        <v/>
      </c>
      <c r="AG270" s="255" t="str">
        <v/>
      </c>
      <c r="AH270" s="256" t="str">
        <v/>
      </c>
      <c r="AI270" s="257" t="str">
        <v/>
      </c>
      <c r="AJ270" s="255" t="str">
        <v/>
      </c>
      <c r="AK270" s="256" t="str">
        <v/>
      </c>
      <c r="AL270" s="257" t="str">
        <v/>
      </c>
      <c r="AM270" s="255" t="str">
        <v/>
      </c>
      <c r="AN270" s="256" t="str">
        <v/>
      </c>
      <c r="AO270" s="257" t="str">
        <v/>
      </c>
      <c r="AP270" s="255" t="str">
        <v/>
      </c>
      <c r="AQ270" s="256" t="str">
        <v/>
      </c>
      <c r="AR270" s="257" t="str">
        <v/>
      </c>
      <c r="AS270" s="255" t="str">
        <v/>
      </c>
      <c r="AT270" s="256" t="str">
        <v/>
      </c>
      <c r="AU270" s="257" t="str">
        <v/>
      </c>
      <c r="AV270" s="255" t="str">
        <v/>
      </c>
      <c r="AW270" s="256" t="str">
        <v/>
      </c>
      <c r="AX270" s="257" t="str">
        <v/>
      </c>
      <c r="AY270" s="243">
        <v>0</v>
      </c>
      <c r="AZ270" s="244">
        <v>0</v>
      </c>
      <c r="BA270" s="244">
        <v>0</v>
      </c>
      <c r="BB270" s="244">
        <v>0</v>
      </c>
      <c r="BC270" s="244">
        <v>0</v>
      </c>
      <c r="BD270" s="244">
        <v>0</v>
      </c>
      <c r="BE270" s="244">
        <v>0</v>
      </c>
      <c r="BF270" s="244">
        <v>0</v>
      </c>
      <c r="BG270" s="244">
        <v>0</v>
      </c>
      <c r="BH270" s="245">
        <v>0</v>
      </c>
      <c r="BK270">
        <v>212</v>
      </c>
      <c r="BL270" s="281"/>
      <c r="BM270" s="281"/>
      <c r="BN270" s="282"/>
      <c r="BO270" s="282"/>
      <c r="BP270" s="282"/>
      <c r="BQ270" s="283"/>
      <c r="BR270" s="284"/>
      <c r="BS270" s="147"/>
      <c r="BT270" s="285"/>
      <c r="BU270" s="288"/>
      <c r="BV270" s="287"/>
      <c r="BW270" s="288"/>
      <c r="BX270" s="286"/>
      <c r="BY270" s="287"/>
      <c r="BZ270" s="288"/>
      <c r="CA270" s="286"/>
      <c r="CB270" s="286"/>
      <c r="CC270" s="287"/>
      <c r="CD270" s="286"/>
      <c r="CE270" s="286"/>
      <c r="CF270" s="286"/>
      <c r="CG270" s="287"/>
      <c r="CH270" s="288"/>
      <c r="CI270" s="286"/>
      <c r="CJ270" s="286"/>
      <c r="CK270" s="287"/>
      <c r="CL270" s="288"/>
      <c r="CM270" s="286"/>
      <c r="CN270" s="294"/>
      <c r="CO270" s="289"/>
      <c r="CP270" s="290"/>
      <c r="CQ270" s="289"/>
      <c r="CR270" s="290"/>
      <c r="CS270" s="284"/>
      <c r="CT270" s="147"/>
      <c r="CU270" s="291"/>
      <c r="CV270" s="292"/>
    </row>
    <row r="271" spans="2:100">
      <c r="B271">
        <v>213</v>
      </c>
      <c r="C271" s="243" t="str">
        <v/>
      </c>
      <c r="D271" s="592" t="str">
        <v/>
      </c>
      <c r="E271" s="245" t="str">
        <v/>
      </c>
      <c r="F271" s="243" t="str">
        <v/>
      </c>
      <c r="G271" s="245" t="str">
        <v/>
      </c>
      <c r="H271" s="243" t="str">
        <v/>
      </c>
      <c r="I271" s="245" t="str">
        <v/>
      </c>
      <c r="J271" s="242" t="str">
        <v/>
      </c>
      <c r="K271" s="242" t="str">
        <v/>
      </c>
      <c r="L271" s="242" t="str">
        <v/>
      </c>
      <c r="M271" s="243" t="str">
        <v/>
      </c>
      <c r="N271" s="592" t="str">
        <v/>
      </c>
      <c r="O271" s="245" t="str">
        <v/>
      </c>
      <c r="P271" s="245" t="str">
        <v/>
      </c>
      <c r="Q271" s="254" t="str">
        <v/>
      </c>
      <c r="R271" s="255" t="str">
        <v/>
      </c>
      <c r="S271" s="256" t="str">
        <v/>
      </c>
      <c r="T271" s="257" t="str">
        <v/>
      </c>
      <c r="U271" s="255" t="str">
        <v/>
      </c>
      <c r="V271" s="256" t="str">
        <v/>
      </c>
      <c r="W271" s="257" t="str">
        <v/>
      </c>
      <c r="X271" s="255" t="str">
        <v/>
      </c>
      <c r="Y271" s="256" t="str">
        <v/>
      </c>
      <c r="Z271" s="257" t="str">
        <v/>
      </c>
      <c r="AA271" s="255" t="str">
        <v/>
      </c>
      <c r="AB271" s="256" t="str">
        <v/>
      </c>
      <c r="AC271" s="257" t="str">
        <v/>
      </c>
      <c r="AD271" s="255" t="str">
        <v/>
      </c>
      <c r="AE271" s="256" t="str">
        <v/>
      </c>
      <c r="AF271" s="257" t="str">
        <v/>
      </c>
      <c r="AG271" s="255" t="str">
        <v/>
      </c>
      <c r="AH271" s="256" t="str">
        <v/>
      </c>
      <c r="AI271" s="257" t="str">
        <v/>
      </c>
      <c r="AJ271" s="255" t="str">
        <v/>
      </c>
      <c r="AK271" s="256" t="str">
        <v/>
      </c>
      <c r="AL271" s="257" t="str">
        <v/>
      </c>
      <c r="AM271" s="255" t="str">
        <v/>
      </c>
      <c r="AN271" s="256" t="str">
        <v/>
      </c>
      <c r="AO271" s="257" t="str">
        <v/>
      </c>
      <c r="AP271" s="255" t="str">
        <v/>
      </c>
      <c r="AQ271" s="256" t="str">
        <v/>
      </c>
      <c r="AR271" s="257" t="str">
        <v/>
      </c>
      <c r="AS271" s="255" t="str">
        <v/>
      </c>
      <c r="AT271" s="256" t="str">
        <v/>
      </c>
      <c r="AU271" s="257" t="str">
        <v/>
      </c>
      <c r="AV271" s="255" t="str">
        <v/>
      </c>
      <c r="AW271" s="256" t="str">
        <v/>
      </c>
      <c r="AX271" s="257" t="str">
        <v/>
      </c>
      <c r="AY271" s="243">
        <v>0</v>
      </c>
      <c r="AZ271" s="244">
        <v>0</v>
      </c>
      <c r="BA271" s="244">
        <v>0</v>
      </c>
      <c r="BB271" s="244">
        <v>0</v>
      </c>
      <c r="BC271" s="244">
        <v>0</v>
      </c>
      <c r="BD271" s="244">
        <v>0</v>
      </c>
      <c r="BE271" s="244">
        <v>0</v>
      </c>
      <c r="BF271" s="244">
        <v>0</v>
      </c>
      <c r="BG271" s="244">
        <v>0</v>
      </c>
      <c r="BH271" s="245">
        <v>0</v>
      </c>
      <c r="BK271">
        <v>213</v>
      </c>
      <c r="BL271" s="281"/>
      <c r="BM271" s="281"/>
      <c r="BN271" s="282"/>
      <c r="BO271" s="282"/>
      <c r="BP271" s="282"/>
      <c r="BQ271" s="283"/>
      <c r="BR271" s="284"/>
      <c r="BS271" s="147"/>
      <c r="BT271" s="285"/>
      <c r="BU271" s="288"/>
      <c r="BV271" s="287"/>
      <c r="BW271" s="288"/>
      <c r="BX271" s="286"/>
      <c r="BY271" s="287"/>
      <c r="BZ271" s="288"/>
      <c r="CA271" s="286"/>
      <c r="CB271" s="286"/>
      <c r="CC271" s="287"/>
      <c r="CD271" s="286"/>
      <c r="CE271" s="286"/>
      <c r="CF271" s="286"/>
      <c r="CG271" s="287"/>
      <c r="CH271" s="288"/>
      <c r="CI271" s="286"/>
      <c r="CJ271" s="286"/>
      <c r="CK271" s="287"/>
      <c r="CL271" s="288"/>
      <c r="CM271" s="286"/>
      <c r="CN271" s="294"/>
      <c r="CO271" s="289"/>
      <c r="CP271" s="290"/>
      <c r="CQ271" s="289"/>
      <c r="CR271" s="290"/>
      <c r="CS271" s="284"/>
      <c r="CT271" s="147"/>
      <c r="CU271" s="291"/>
      <c r="CV271" s="292"/>
    </row>
    <row r="272" spans="2:100">
      <c r="B272">
        <v>214</v>
      </c>
      <c r="C272" s="243" t="str">
        <v/>
      </c>
      <c r="D272" s="592" t="str">
        <v/>
      </c>
      <c r="E272" s="245" t="str">
        <v/>
      </c>
      <c r="F272" s="243" t="str">
        <v/>
      </c>
      <c r="G272" s="245" t="str">
        <v/>
      </c>
      <c r="H272" s="243" t="str">
        <v/>
      </c>
      <c r="I272" s="245" t="str">
        <v/>
      </c>
      <c r="J272" s="242" t="str">
        <v/>
      </c>
      <c r="K272" s="242" t="str">
        <v/>
      </c>
      <c r="L272" s="242" t="str">
        <v/>
      </c>
      <c r="M272" s="243" t="str">
        <v/>
      </c>
      <c r="N272" s="592" t="str">
        <v/>
      </c>
      <c r="O272" s="245" t="str">
        <v/>
      </c>
      <c r="P272" s="245" t="str">
        <v/>
      </c>
      <c r="Q272" s="254" t="str">
        <v/>
      </c>
      <c r="R272" s="255" t="str">
        <v/>
      </c>
      <c r="S272" s="256" t="str">
        <v/>
      </c>
      <c r="T272" s="257" t="str">
        <v/>
      </c>
      <c r="U272" s="255" t="str">
        <v/>
      </c>
      <c r="V272" s="256" t="str">
        <v/>
      </c>
      <c r="W272" s="257" t="str">
        <v/>
      </c>
      <c r="X272" s="255" t="str">
        <v/>
      </c>
      <c r="Y272" s="256" t="str">
        <v/>
      </c>
      <c r="Z272" s="257" t="str">
        <v/>
      </c>
      <c r="AA272" s="255" t="str">
        <v/>
      </c>
      <c r="AB272" s="256" t="str">
        <v/>
      </c>
      <c r="AC272" s="257" t="str">
        <v/>
      </c>
      <c r="AD272" s="255" t="str">
        <v/>
      </c>
      <c r="AE272" s="256" t="str">
        <v/>
      </c>
      <c r="AF272" s="257" t="str">
        <v/>
      </c>
      <c r="AG272" s="255" t="str">
        <v/>
      </c>
      <c r="AH272" s="256" t="str">
        <v/>
      </c>
      <c r="AI272" s="257" t="str">
        <v/>
      </c>
      <c r="AJ272" s="255" t="str">
        <v/>
      </c>
      <c r="AK272" s="256" t="str">
        <v/>
      </c>
      <c r="AL272" s="257" t="str">
        <v/>
      </c>
      <c r="AM272" s="255" t="str">
        <v/>
      </c>
      <c r="AN272" s="256" t="str">
        <v/>
      </c>
      <c r="AO272" s="257" t="str">
        <v/>
      </c>
      <c r="AP272" s="255" t="str">
        <v/>
      </c>
      <c r="AQ272" s="256" t="str">
        <v/>
      </c>
      <c r="AR272" s="257" t="str">
        <v/>
      </c>
      <c r="AS272" s="255" t="str">
        <v/>
      </c>
      <c r="AT272" s="256" t="str">
        <v/>
      </c>
      <c r="AU272" s="257" t="str">
        <v/>
      </c>
      <c r="AV272" s="255" t="str">
        <v/>
      </c>
      <c r="AW272" s="256" t="str">
        <v/>
      </c>
      <c r="AX272" s="257" t="str">
        <v/>
      </c>
      <c r="AY272" s="243">
        <v>0</v>
      </c>
      <c r="AZ272" s="244">
        <v>0</v>
      </c>
      <c r="BA272" s="244">
        <v>0</v>
      </c>
      <c r="BB272" s="244">
        <v>0</v>
      </c>
      <c r="BC272" s="244">
        <v>0</v>
      </c>
      <c r="BD272" s="244">
        <v>0</v>
      </c>
      <c r="BE272" s="244">
        <v>0</v>
      </c>
      <c r="BF272" s="244">
        <v>0</v>
      </c>
      <c r="BG272" s="244">
        <v>0</v>
      </c>
      <c r="BH272" s="245">
        <v>0</v>
      </c>
      <c r="BK272">
        <v>214</v>
      </c>
      <c r="BL272" s="281"/>
      <c r="BM272" s="281"/>
      <c r="BN272" s="282"/>
      <c r="BO272" s="282"/>
      <c r="BP272" s="282"/>
      <c r="BQ272" s="283"/>
      <c r="BR272" s="284"/>
      <c r="BS272" s="147"/>
      <c r="BT272" s="285"/>
      <c r="BU272" s="288"/>
      <c r="BV272" s="287"/>
      <c r="BW272" s="288"/>
      <c r="BX272" s="286"/>
      <c r="BY272" s="287"/>
      <c r="BZ272" s="288"/>
      <c r="CA272" s="286"/>
      <c r="CB272" s="286"/>
      <c r="CC272" s="287"/>
      <c r="CD272" s="286"/>
      <c r="CE272" s="286"/>
      <c r="CF272" s="286"/>
      <c r="CG272" s="287"/>
      <c r="CH272" s="288"/>
      <c r="CI272" s="286"/>
      <c r="CJ272" s="286"/>
      <c r="CK272" s="287"/>
      <c r="CL272" s="288"/>
      <c r="CM272" s="286"/>
      <c r="CN272" s="294"/>
      <c r="CO272" s="289"/>
      <c r="CP272" s="290"/>
      <c r="CQ272" s="289"/>
      <c r="CR272" s="290"/>
      <c r="CS272" s="284"/>
      <c r="CT272" s="147"/>
      <c r="CU272" s="291"/>
      <c r="CV272" s="292"/>
    </row>
    <row r="273" spans="2:100">
      <c r="B273">
        <v>215</v>
      </c>
      <c r="C273" s="243" t="str">
        <v/>
      </c>
      <c r="D273" s="592" t="str">
        <v/>
      </c>
      <c r="E273" s="245" t="str">
        <v/>
      </c>
      <c r="F273" s="243" t="str">
        <v/>
      </c>
      <c r="G273" s="245" t="str">
        <v/>
      </c>
      <c r="H273" s="243" t="str">
        <v/>
      </c>
      <c r="I273" s="245" t="str">
        <v/>
      </c>
      <c r="J273" s="242" t="str">
        <v/>
      </c>
      <c r="K273" s="242" t="str">
        <v/>
      </c>
      <c r="L273" s="242" t="str">
        <v/>
      </c>
      <c r="M273" s="243" t="str">
        <v/>
      </c>
      <c r="N273" s="592" t="str">
        <v/>
      </c>
      <c r="O273" s="245" t="str">
        <v/>
      </c>
      <c r="P273" s="245" t="str">
        <v/>
      </c>
      <c r="Q273" s="254" t="str">
        <v/>
      </c>
      <c r="R273" s="255" t="str">
        <v/>
      </c>
      <c r="S273" s="256" t="str">
        <v/>
      </c>
      <c r="T273" s="257" t="str">
        <v/>
      </c>
      <c r="U273" s="255" t="str">
        <v/>
      </c>
      <c r="V273" s="256" t="str">
        <v/>
      </c>
      <c r="W273" s="257" t="str">
        <v/>
      </c>
      <c r="X273" s="255" t="str">
        <v/>
      </c>
      <c r="Y273" s="256" t="str">
        <v/>
      </c>
      <c r="Z273" s="257" t="str">
        <v/>
      </c>
      <c r="AA273" s="255" t="str">
        <v/>
      </c>
      <c r="AB273" s="256" t="str">
        <v/>
      </c>
      <c r="AC273" s="257" t="str">
        <v/>
      </c>
      <c r="AD273" s="255" t="str">
        <v/>
      </c>
      <c r="AE273" s="256" t="str">
        <v/>
      </c>
      <c r="AF273" s="257" t="str">
        <v/>
      </c>
      <c r="AG273" s="255" t="str">
        <v/>
      </c>
      <c r="AH273" s="256" t="str">
        <v/>
      </c>
      <c r="AI273" s="257" t="str">
        <v/>
      </c>
      <c r="AJ273" s="255" t="str">
        <v/>
      </c>
      <c r="AK273" s="256" t="str">
        <v/>
      </c>
      <c r="AL273" s="257" t="str">
        <v/>
      </c>
      <c r="AM273" s="255" t="str">
        <v/>
      </c>
      <c r="AN273" s="256" t="str">
        <v/>
      </c>
      <c r="AO273" s="257" t="str">
        <v/>
      </c>
      <c r="AP273" s="255" t="str">
        <v/>
      </c>
      <c r="AQ273" s="256" t="str">
        <v/>
      </c>
      <c r="AR273" s="257" t="str">
        <v/>
      </c>
      <c r="AS273" s="255" t="str">
        <v/>
      </c>
      <c r="AT273" s="256" t="str">
        <v/>
      </c>
      <c r="AU273" s="257" t="str">
        <v/>
      </c>
      <c r="AV273" s="255" t="str">
        <v/>
      </c>
      <c r="AW273" s="256" t="str">
        <v/>
      </c>
      <c r="AX273" s="257" t="str">
        <v/>
      </c>
      <c r="AY273" s="243">
        <v>0</v>
      </c>
      <c r="AZ273" s="244">
        <v>0</v>
      </c>
      <c r="BA273" s="244">
        <v>0</v>
      </c>
      <c r="BB273" s="244">
        <v>0</v>
      </c>
      <c r="BC273" s="244">
        <v>0</v>
      </c>
      <c r="BD273" s="244">
        <v>0</v>
      </c>
      <c r="BE273" s="244">
        <v>0</v>
      </c>
      <c r="BF273" s="244">
        <v>0</v>
      </c>
      <c r="BG273" s="244">
        <v>0</v>
      </c>
      <c r="BH273" s="245">
        <v>0</v>
      </c>
      <c r="BK273">
        <v>215</v>
      </c>
      <c r="BL273" s="281"/>
      <c r="BM273" s="281"/>
      <c r="BN273" s="282"/>
      <c r="BO273" s="282"/>
      <c r="BP273" s="282"/>
      <c r="BQ273" s="283"/>
      <c r="BR273" s="284"/>
      <c r="BS273" s="147"/>
      <c r="BT273" s="285"/>
      <c r="BU273" s="288"/>
      <c r="BV273" s="287"/>
      <c r="BW273" s="288"/>
      <c r="BX273" s="286"/>
      <c r="BY273" s="287"/>
      <c r="BZ273" s="288"/>
      <c r="CA273" s="286"/>
      <c r="CB273" s="286"/>
      <c r="CC273" s="287"/>
      <c r="CD273" s="286"/>
      <c r="CE273" s="286"/>
      <c r="CF273" s="286"/>
      <c r="CG273" s="287"/>
      <c r="CH273" s="288"/>
      <c r="CI273" s="286"/>
      <c r="CJ273" s="286"/>
      <c r="CK273" s="287"/>
      <c r="CL273" s="288"/>
      <c r="CM273" s="286"/>
      <c r="CN273" s="294"/>
      <c r="CO273" s="289"/>
      <c r="CP273" s="290"/>
      <c r="CQ273" s="289"/>
      <c r="CR273" s="290"/>
      <c r="CS273" s="284"/>
      <c r="CT273" s="147"/>
      <c r="CU273" s="291"/>
      <c r="CV273" s="292"/>
    </row>
    <row r="274" spans="2:100">
      <c r="B274">
        <v>216</v>
      </c>
      <c r="C274" s="243" t="str">
        <v/>
      </c>
      <c r="D274" s="592" t="str">
        <v/>
      </c>
      <c r="E274" s="245" t="str">
        <v/>
      </c>
      <c r="F274" s="243" t="str">
        <v/>
      </c>
      <c r="G274" s="245" t="str">
        <v/>
      </c>
      <c r="H274" s="243" t="str">
        <v/>
      </c>
      <c r="I274" s="245" t="str">
        <v/>
      </c>
      <c r="J274" s="242" t="str">
        <v/>
      </c>
      <c r="K274" s="242" t="str">
        <v/>
      </c>
      <c r="L274" s="242" t="str">
        <v/>
      </c>
      <c r="M274" s="243" t="str">
        <v/>
      </c>
      <c r="N274" s="592" t="str">
        <v/>
      </c>
      <c r="O274" s="245" t="str">
        <v/>
      </c>
      <c r="P274" s="245" t="str">
        <v/>
      </c>
      <c r="Q274" s="254" t="str">
        <v/>
      </c>
      <c r="R274" s="255" t="str">
        <v/>
      </c>
      <c r="S274" s="256" t="str">
        <v/>
      </c>
      <c r="T274" s="257" t="str">
        <v/>
      </c>
      <c r="U274" s="255" t="str">
        <v/>
      </c>
      <c r="V274" s="256" t="str">
        <v/>
      </c>
      <c r="W274" s="257" t="str">
        <v/>
      </c>
      <c r="X274" s="255" t="str">
        <v/>
      </c>
      <c r="Y274" s="256" t="str">
        <v/>
      </c>
      <c r="Z274" s="257" t="str">
        <v/>
      </c>
      <c r="AA274" s="255" t="str">
        <v/>
      </c>
      <c r="AB274" s="256" t="str">
        <v/>
      </c>
      <c r="AC274" s="257" t="str">
        <v/>
      </c>
      <c r="AD274" s="255" t="str">
        <v/>
      </c>
      <c r="AE274" s="256" t="str">
        <v/>
      </c>
      <c r="AF274" s="257" t="str">
        <v/>
      </c>
      <c r="AG274" s="255" t="str">
        <v/>
      </c>
      <c r="AH274" s="256" t="str">
        <v/>
      </c>
      <c r="AI274" s="257" t="str">
        <v/>
      </c>
      <c r="AJ274" s="255" t="str">
        <v/>
      </c>
      <c r="AK274" s="256" t="str">
        <v/>
      </c>
      <c r="AL274" s="257" t="str">
        <v/>
      </c>
      <c r="AM274" s="255" t="str">
        <v/>
      </c>
      <c r="AN274" s="256" t="str">
        <v/>
      </c>
      <c r="AO274" s="257" t="str">
        <v/>
      </c>
      <c r="AP274" s="255" t="str">
        <v/>
      </c>
      <c r="AQ274" s="256" t="str">
        <v/>
      </c>
      <c r="AR274" s="257" t="str">
        <v/>
      </c>
      <c r="AS274" s="255" t="str">
        <v/>
      </c>
      <c r="AT274" s="256" t="str">
        <v/>
      </c>
      <c r="AU274" s="257" t="str">
        <v/>
      </c>
      <c r="AV274" s="255" t="str">
        <v/>
      </c>
      <c r="AW274" s="256" t="str">
        <v/>
      </c>
      <c r="AX274" s="257" t="str">
        <v/>
      </c>
      <c r="AY274" s="243">
        <v>0</v>
      </c>
      <c r="AZ274" s="244">
        <v>0</v>
      </c>
      <c r="BA274" s="244">
        <v>0</v>
      </c>
      <c r="BB274" s="244">
        <v>0</v>
      </c>
      <c r="BC274" s="244">
        <v>0</v>
      </c>
      <c r="BD274" s="244">
        <v>0</v>
      </c>
      <c r="BE274" s="244">
        <v>0</v>
      </c>
      <c r="BF274" s="244">
        <v>0</v>
      </c>
      <c r="BG274" s="244">
        <v>0</v>
      </c>
      <c r="BH274" s="245">
        <v>0</v>
      </c>
      <c r="BK274">
        <v>216</v>
      </c>
      <c r="BL274" s="281"/>
      <c r="BM274" s="281"/>
      <c r="BN274" s="282"/>
      <c r="BO274" s="282"/>
      <c r="BP274" s="282"/>
      <c r="BQ274" s="283"/>
      <c r="BR274" s="284"/>
      <c r="BS274" s="147"/>
      <c r="BT274" s="285"/>
      <c r="BU274" s="288"/>
      <c r="BV274" s="287"/>
      <c r="BW274" s="288"/>
      <c r="BX274" s="286"/>
      <c r="BY274" s="287"/>
      <c r="BZ274" s="288"/>
      <c r="CA274" s="286"/>
      <c r="CB274" s="286"/>
      <c r="CC274" s="287"/>
      <c r="CD274" s="286"/>
      <c r="CE274" s="286"/>
      <c r="CF274" s="286"/>
      <c r="CG274" s="287"/>
      <c r="CH274" s="288"/>
      <c r="CI274" s="286"/>
      <c r="CJ274" s="286"/>
      <c r="CK274" s="287"/>
      <c r="CL274" s="288"/>
      <c r="CM274" s="286"/>
      <c r="CN274" s="294"/>
      <c r="CO274" s="289"/>
      <c r="CP274" s="290"/>
      <c r="CQ274" s="289"/>
      <c r="CR274" s="290"/>
      <c r="CS274" s="284"/>
      <c r="CT274" s="147"/>
      <c r="CU274" s="291"/>
      <c r="CV274" s="292"/>
    </row>
    <row r="275" spans="2:100">
      <c r="B275">
        <v>217</v>
      </c>
      <c r="C275" s="243" t="str">
        <v/>
      </c>
      <c r="D275" s="592" t="str">
        <v/>
      </c>
      <c r="E275" s="245" t="str">
        <v/>
      </c>
      <c r="F275" s="243" t="str">
        <v/>
      </c>
      <c r="G275" s="245" t="str">
        <v/>
      </c>
      <c r="H275" s="243" t="str">
        <v/>
      </c>
      <c r="I275" s="245" t="str">
        <v/>
      </c>
      <c r="J275" s="242" t="str">
        <v/>
      </c>
      <c r="K275" s="242" t="str">
        <v/>
      </c>
      <c r="L275" s="242" t="str">
        <v/>
      </c>
      <c r="M275" s="243" t="str">
        <v/>
      </c>
      <c r="N275" s="592" t="str">
        <v/>
      </c>
      <c r="O275" s="245" t="str">
        <v/>
      </c>
      <c r="P275" s="245" t="str">
        <v/>
      </c>
      <c r="Q275" s="254" t="str">
        <v/>
      </c>
      <c r="R275" s="255" t="str">
        <v/>
      </c>
      <c r="S275" s="256" t="str">
        <v/>
      </c>
      <c r="T275" s="257" t="str">
        <v/>
      </c>
      <c r="U275" s="255" t="str">
        <v/>
      </c>
      <c r="V275" s="256" t="str">
        <v/>
      </c>
      <c r="W275" s="257" t="str">
        <v/>
      </c>
      <c r="X275" s="255" t="str">
        <v/>
      </c>
      <c r="Y275" s="256" t="str">
        <v/>
      </c>
      <c r="Z275" s="257" t="str">
        <v/>
      </c>
      <c r="AA275" s="255" t="str">
        <v/>
      </c>
      <c r="AB275" s="256" t="str">
        <v/>
      </c>
      <c r="AC275" s="257" t="str">
        <v/>
      </c>
      <c r="AD275" s="255" t="str">
        <v/>
      </c>
      <c r="AE275" s="256" t="str">
        <v/>
      </c>
      <c r="AF275" s="257" t="str">
        <v/>
      </c>
      <c r="AG275" s="255" t="str">
        <v/>
      </c>
      <c r="AH275" s="256" t="str">
        <v/>
      </c>
      <c r="AI275" s="257" t="str">
        <v/>
      </c>
      <c r="AJ275" s="255" t="str">
        <v/>
      </c>
      <c r="AK275" s="256" t="str">
        <v/>
      </c>
      <c r="AL275" s="257" t="str">
        <v/>
      </c>
      <c r="AM275" s="255" t="str">
        <v/>
      </c>
      <c r="AN275" s="256" t="str">
        <v/>
      </c>
      <c r="AO275" s="257" t="str">
        <v/>
      </c>
      <c r="AP275" s="255" t="str">
        <v/>
      </c>
      <c r="AQ275" s="256" t="str">
        <v/>
      </c>
      <c r="AR275" s="257" t="str">
        <v/>
      </c>
      <c r="AS275" s="255" t="str">
        <v/>
      </c>
      <c r="AT275" s="256" t="str">
        <v/>
      </c>
      <c r="AU275" s="257" t="str">
        <v/>
      </c>
      <c r="AV275" s="255" t="str">
        <v/>
      </c>
      <c r="AW275" s="256" t="str">
        <v/>
      </c>
      <c r="AX275" s="257" t="str">
        <v/>
      </c>
      <c r="AY275" s="243">
        <v>0</v>
      </c>
      <c r="AZ275" s="244">
        <v>0</v>
      </c>
      <c r="BA275" s="244">
        <v>0</v>
      </c>
      <c r="BB275" s="244">
        <v>0</v>
      </c>
      <c r="BC275" s="244">
        <v>0</v>
      </c>
      <c r="BD275" s="244">
        <v>0</v>
      </c>
      <c r="BE275" s="244">
        <v>0</v>
      </c>
      <c r="BF275" s="244">
        <v>0</v>
      </c>
      <c r="BG275" s="244">
        <v>0</v>
      </c>
      <c r="BH275" s="245">
        <v>0</v>
      </c>
      <c r="BK275">
        <v>217</v>
      </c>
      <c r="BL275" s="281"/>
      <c r="BM275" s="281"/>
      <c r="BN275" s="282"/>
      <c r="BO275" s="282"/>
      <c r="BP275" s="282"/>
      <c r="BQ275" s="283"/>
      <c r="BR275" s="284"/>
      <c r="BS275" s="147"/>
      <c r="BT275" s="285"/>
      <c r="BU275" s="288"/>
      <c r="BV275" s="287"/>
      <c r="BW275" s="288"/>
      <c r="BX275" s="286"/>
      <c r="BY275" s="287"/>
      <c r="BZ275" s="288"/>
      <c r="CA275" s="286"/>
      <c r="CB275" s="286"/>
      <c r="CC275" s="287"/>
      <c r="CD275" s="286"/>
      <c r="CE275" s="286"/>
      <c r="CF275" s="286"/>
      <c r="CG275" s="287"/>
      <c r="CH275" s="288"/>
      <c r="CI275" s="286"/>
      <c r="CJ275" s="286"/>
      <c r="CK275" s="287"/>
      <c r="CL275" s="288"/>
      <c r="CM275" s="286"/>
      <c r="CN275" s="294"/>
      <c r="CO275" s="289"/>
      <c r="CP275" s="290"/>
      <c r="CQ275" s="289"/>
      <c r="CR275" s="290"/>
      <c r="CS275" s="284"/>
      <c r="CT275" s="147"/>
      <c r="CU275" s="291"/>
      <c r="CV275" s="292"/>
    </row>
    <row r="276" spans="2:100">
      <c r="B276">
        <v>218</v>
      </c>
      <c r="C276" s="243" t="str">
        <v/>
      </c>
      <c r="D276" s="592" t="str">
        <v/>
      </c>
      <c r="E276" s="245" t="str">
        <v/>
      </c>
      <c r="F276" s="243" t="str">
        <v/>
      </c>
      <c r="G276" s="245" t="str">
        <v/>
      </c>
      <c r="H276" s="243" t="str">
        <v/>
      </c>
      <c r="I276" s="245" t="str">
        <v/>
      </c>
      <c r="J276" s="242" t="str">
        <v/>
      </c>
      <c r="K276" s="242" t="str">
        <v/>
      </c>
      <c r="L276" s="242" t="str">
        <v/>
      </c>
      <c r="M276" s="243" t="str">
        <v/>
      </c>
      <c r="N276" s="592" t="str">
        <v/>
      </c>
      <c r="O276" s="245" t="str">
        <v/>
      </c>
      <c r="P276" s="245" t="str">
        <v/>
      </c>
      <c r="Q276" s="254" t="str">
        <v/>
      </c>
      <c r="R276" s="255" t="str">
        <v/>
      </c>
      <c r="S276" s="256" t="str">
        <v/>
      </c>
      <c r="T276" s="257" t="str">
        <v/>
      </c>
      <c r="U276" s="255" t="str">
        <v/>
      </c>
      <c r="V276" s="256" t="str">
        <v/>
      </c>
      <c r="W276" s="257" t="str">
        <v/>
      </c>
      <c r="X276" s="255" t="str">
        <v/>
      </c>
      <c r="Y276" s="256" t="str">
        <v/>
      </c>
      <c r="Z276" s="257" t="str">
        <v/>
      </c>
      <c r="AA276" s="255" t="str">
        <v/>
      </c>
      <c r="AB276" s="256" t="str">
        <v/>
      </c>
      <c r="AC276" s="257" t="str">
        <v/>
      </c>
      <c r="AD276" s="255" t="str">
        <v/>
      </c>
      <c r="AE276" s="256" t="str">
        <v/>
      </c>
      <c r="AF276" s="257" t="str">
        <v/>
      </c>
      <c r="AG276" s="255" t="str">
        <v/>
      </c>
      <c r="AH276" s="256" t="str">
        <v/>
      </c>
      <c r="AI276" s="257" t="str">
        <v/>
      </c>
      <c r="AJ276" s="255" t="str">
        <v/>
      </c>
      <c r="AK276" s="256" t="str">
        <v/>
      </c>
      <c r="AL276" s="257" t="str">
        <v/>
      </c>
      <c r="AM276" s="255" t="str">
        <v/>
      </c>
      <c r="AN276" s="256" t="str">
        <v/>
      </c>
      <c r="AO276" s="257" t="str">
        <v/>
      </c>
      <c r="AP276" s="255" t="str">
        <v/>
      </c>
      <c r="AQ276" s="256" t="str">
        <v/>
      </c>
      <c r="AR276" s="257" t="str">
        <v/>
      </c>
      <c r="AS276" s="255" t="str">
        <v/>
      </c>
      <c r="AT276" s="256" t="str">
        <v/>
      </c>
      <c r="AU276" s="257" t="str">
        <v/>
      </c>
      <c r="AV276" s="255" t="str">
        <v/>
      </c>
      <c r="AW276" s="256" t="str">
        <v/>
      </c>
      <c r="AX276" s="257" t="str">
        <v/>
      </c>
      <c r="AY276" s="243">
        <v>0</v>
      </c>
      <c r="AZ276" s="244">
        <v>0</v>
      </c>
      <c r="BA276" s="244">
        <v>0</v>
      </c>
      <c r="BB276" s="244">
        <v>0</v>
      </c>
      <c r="BC276" s="244">
        <v>0</v>
      </c>
      <c r="BD276" s="244">
        <v>0</v>
      </c>
      <c r="BE276" s="244">
        <v>0</v>
      </c>
      <c r="BF276" s="244">
        <v>0</v>
      </c>
      <c r="BG276" s="244">
        <v>0</v>
      </c>
      <c r="BH276" s="245">
        <v>0</v>
      </c>
      <c r="BK276">
        <v>218</v>
      </c>
      <c r="BL276" s="281"/>
      <c r="BM276" s="281"/>
      <c r="BN276" s="282"/>
      <c r="BO276" s="282"/>
      <c r="BP276" s="282"/>
      <c r="BQ276" s="283"/>
      <c r="BR276" s="284"/>
      <c r="BS276" s="147"/>
      <c r="BT276" s="285"/>
      <c r="BU276" s="288"/>
      <c r="BV276" s="287"/>
      <c r="BW276" s="288"/>
      <c r="BX276" s="286"/>
      <c r="BY276" s="287"/>
      <c r="BZ276" s="288"/>
      <c r="CA276" s="286"/>
      <c r="CB276" s="286"/>
      <c r="CC276" s="287"/>
      <c r="CD276" s="286"/>
      <c r="CE276" s="286"/>
      <c r="CF276" s="286"/>
      <c r="CG276" s="287"/>
      <c r="CH276" s="288"/>
      <c r="CI276" s="286"/>
      <c r="CJ276" s="286"/>
      <c r="CK276" s="287"/>
      <c r="CL276" s="288"/>
      <c r="CM276" s="286"/>
      <c r="CN276" s="294"/>
      <c r="CO276" s="289"/>
      <c r="CP276" s="290"/>
      <c r="CQ276" s="289"/>
      <c r="CR276" s="290"/>
      <c r="CS276" s="284"/>
      <c r="CT276" s="147"/>
      <c r="CU276" s="291"/>
      <c r="CV276" s="292"/>
    </row>
    <row r="277" spans="2:100">
      <c r="B277">
        <v>219</v>
      </c>
      <c r="C277" s="243" t="str">
        <v/>
      </c>
      <c r="D277" s="592" t="str">
        <v/>
      </c>
      <c r="E277" s="245" t="str">
        <v/>
      </c>
      <c r="F277" s="243" t="str">
        <v/>
      </c>
      <c r="G277" s="245" t="str">
        <v/>
      </c>
      <c r="H277" s="243" t="str">
        <v/>
      </c>
      <c r="I277" s="245" t="str">
        <v/>
      </c>
      <c r="J277" s="242" t="str">
        <v/>
      </c>
      <c r="K277" s="242" t="str">
        <v/>
      </c>
      <c r="L277" s="242" t="str">
        <v/>
      </c>
      <c r="M277" s="243" t="str">
        <v/>
      </c>
      <c r="N277" s="592" t="str">
        <v/>
      </c>
      <c r="O277" s="245" t="str">
        <v/>
      </c>
      <c r="P277" s="245" t="str">
        <v/>
      </c>
      <c r="Q277" s="254" t="str">
        <v/>
      </c>
      <c r="R277" s="255" t="str">
        <v/>
      </c>
      <c r="S277" s="256" t="str">
        <v/>
      </c>
      <c r="T277" s="257" t="str">
        <v/>
      </c>
      <c r="U277" s="255" t="str">
        <v/>
      </c>
      <c r="V277" s="256" t="str">
        <v/>
      </c>
      <c r="W277" s="257" t="str">
        <v/>
      </c>
      <c r="X277" s="255" t="str">
        <v/>
      </c>
      <c r="Y277" s="256" t="str">
        <v/>
      </c>
      <c r="Z277" s="257" t="str">
        <v/>
      </c>
      <c r="AA277" s="255" t="str">
        <v/>
      </c>
      <c r="AB277" s="256" t="str">
        <v/>
      </c>
      <c r="AC277" s="257" t="str">
        <v/>
      </c>
      <c r="AD277" s="255" t="str">
        <v/>
      </c>
      <c r="AE277" s="256" t="str">
        <v/>
      </c>
      <c r="AF277" s="257" t="str">
        <v/>
      </c>
      <c r="AG277" s="255" t="str">
        <v/>
      </c>
      <c r="AH277" s="256" t="str">
        <v/>
      </c>
      <c r="AI277" s="257" t="str">
        <v/>
      </c>
      <c r="AJ277" s="255" t="str">
        <v/>
      </c>
      <c r="AK277" s="256" t="str">
        <v/>
      </c>
      <c r="AL277" s="257" t="str">
        <v/>
      </c>
      <c r="AM277" s="255" t="str">
        <v/>
      </c>
      <c r="AN277" s="256" t="str">
        <v/>
      </c>
      <c r="AO277" s="257" t="str">
        <v/>
      </c>
      <c r="AP277" s="255" t="str">
        <v/>
      </c>
      <c r="AQ277" s="256" t="str">
        <v/>
      </c>
      <c r="AR277" s="257" t="str">
        <v/>
      </c>
      <c r="AS277" s="255" t="str">
        <v/>
      </c>
      <c r="AT277" s="256" t="str">
        <v/>
      </c>
      <c r="AU277" s="257" t="str">
        <v/>
      </c>
      <c r="AV277" s="255" t="str">
        <v/>
      </c>
      <c r="AW277" s="256" t="str">
        <v/>
      </c>
      <c r="AX277" s="257" t="str">
        <v/>
      </c>
      <c r="AY277" s="243">
        <v>0</v>
      </c>
      <c r="AZ277" s="244">
        <v>0</v>
      </c>
      <c r="BA277" s="244">
        <v>0</v>
      </c>
      <c r="BB277" s="244">
        <v>0</v>
      </c>
      <c r="BC277" s="244">
        <v>0</v>
      </c>
      <c r="BD277" s="244">
        <v>0</v>
      </c>
      <c r="BE277" s="244">
        <v>0</v>
      </c>
      <c r="BF277" s="244">
        <v>0</v>
      </c>
      <c r="BG277" s="244">
        <v>0</v>
      </c>
      <c r="BH277" s="245">
        <v>0</v>
      </c>
      <c r="BK277">
        <v>219</v>
      </c>
      <c r="BL277" s="281"/>
      <c r="BM277" s="281"/>
      <c r="BN277" s="282"/>
      <c r="BO277" s="282"/>
      <c r="BP277" s="282"/>
      <c r="BQ277" s="283"/>
      <c r="BR277" s="284"/>
      <c r="BS277" s="147"/>
      <c r="BT277" s="285"/>
      <c r="BU277" s="288"/>
      <c r="BV277" s="287"/>
      <c r="BW277" s="288"/>
      <c r="BX277" s="286"/>
      <c r="BY277" s="287"/>
      <c r="BZ277" s="288"/>
      <c r="CA277" s="286"/>
      <c r="CB277" s="286"/>
      <c r="CC277" s="287"/>
      <c r="CD277" s="286"/>
      <c r="CE277" s="286"/>
      <c r="CF277" s="286"/>
      <c r="CG277" s="287"/>
      <c r="CH277" s="288"/>
      <c r="CI277" s="286"/>
      <c r="CJ277" s="286"/>
      <c r="CK277" s="287"/>
      <c r="CL277" s="288"/>
      <c r="CM277" s="286"/>
      <c r="CN277" s="294"/>
      <c r="CO277" s="289"/>
      <c r="CP277" s="290"/>
      <c r="CQ277" s="289"/>
      <c r="CR277" s="290"/>
      <c r="CS277" s="284"/>
      <c r="CT277" s="147"/>
      <c r="CU277" s="291"/>
      <c r="CV277" s="292"/>
    </row>
    <row r="278" spans="2:100">
      <c r="B278">
        <v>220</v>
      </c>
      <c r="C278" s="243" t="str">
        <v/>
      </c>
      <c r="D278" s="592" t="str">
        <v/>
      </c>
      <c r="E278" s="245" t="str">
        <v/>
      </c>
      <c r="F278" s="243" t="str">
        <v/>
      </c>
      <c r="G278" s="245" t="str">
        <v/>
      </c>
      <c r="H278" s="243" t="str">
        <v/>
      </c>
      <c r="I278" s="245" t="str">
        <v/>
      </c>
      <c r="J278" s="242" t="str">
        <v/>
      </c>
      <c r="K278" s="242" t="str">
        <v/>
      </c>
      <c r="L278" s="242" t="str">
        <v/>
      </c>
      <c r="M278" s="243" t="str">
        <v/>
      </c>
      <c r="N278" s="592" t="str">
        <v/>
      </c>
      <c r="O278" s="245" t="str">
        <v/>
      </c>
      <c r="P278" s="245" t="str">
        <v/>
      </c>
      <c r="Q278" s="254" t="str">
        <v/>
      </c>
      <c r="R278" s="255" t="str">
        <v/>
      </c>
      <c r="S278" s="256" t="str">
        <v/>
      </c>
      <c r="T278" s="257" t="str">
        <v/>
      </c>
      <c r="U278" s="255" t="str">
        <v/>
      </c>
      <c r="V278" s="256" t="str">
        <v/>
      </c>
      <c r="W278" s="257" t="str">
        <v/>
      </c>
      <c r="X278" s="255" t="str">
        <v/>
      </c>
      <c r="Y278" s="256" t="str">
        <v/>
      </c>
      <c r="Z278" s="257" t="str">
        <v/>
      </c>
      <c r="AA278" s="255" t="str">
        <v/>
      </c>
      <c r="AB278" s="256" t="str">
        <v/>
      </c>
      <c r="AC278" s="257" t="str">
        <v/>
      </c>
      <c r="AD278" s="255" t="str">
        <v/>
      </c>
      <c r="AE278" s="256" t="str">
        <v/>
      </c>
      <c r="AF278" s="257" t="str">
        <v/>
      </c>
      <c r="AG278" s="255" t="str">
        <v/>
      </c>
      <c r="AH278" s="256" t="str">
        <v/>
      </c>
      <c r="AI278" s="257" t="str">
        <v/>
      </c>
      <c r="AJ278" s="255" t="str">
        <v/>
      </c>
      <c r="AK278" s="256" t="str">
        <v/>
      </c>
      <c r="AL278" s="257" t="str">
        <v/>
      </c>
      <c r="AM278" s="255" t="str">
        <v/>
      </c>
      <c r="AN278" s="256" t="str">
        <v/>
      </c>
      <c r="AO278" s="257" t="str">
        <v/>
      </c>
      <c r="AP278" s="255" t="str">
        <v/>
      </c>
      <c r="AQ278" s="256" t="str">
        <v/>
      </c>
      <c r="AR278" s="257" t="str">
        <v/>
      </c>
      <c r="AS278" s="255" t="str">
        <v/>
      </c>
      <c r="AT278" s="256" t="str">
        <v/>
      </c>
      <c r="AU278" s="257" t="str">
        <v/>
      </c>
      <c r="AV278" s="255" t="str">
        <v/>
      </c>
      <c r="AW278" s="256" t="str">
        <v/>
      </c>
      <c r="AX278" s="257" t="str">
        <v/>
      </c>
      <c r="AY278" s="243">
        <v>0</v>
      </c>
      <c r="AZ278" s="244">
        <v>0</v>
      </c>
      <c r="BA278" s="244">
        <v>0</v>
      </c>
      <c r="BB278" s="244">
        <v>0</v>
      </c>
      <c r="BC278" s="244">
        <v>0</v>
      </c>
      <c r="BD278" s="244">
        <v>0</v>
      </c>
      <c r="BE278" s="244">
        <v>0</v>
      </c>
      <c r="BF278" s="244">
        <v>0</v>
      </c>
      <c r="BG278" s="244">
        <v>0</v>
      </c>
      <c r="BH278" s="245">
        <v>0</v>
      </c>
      <c r="BK278">
        <v>220</v>
      </c>
      <c r="BL278" s="281"/>
      <c r="BM278" s="281"/>
      <c r="BN278" s="282"/>
      <c r="BO278" s="282"/>
      <c r="BP278" s="282"/>
      <c r="BQ278" s="283"/>
      <c r="BR278" s="284"/>
      <c r="BS278" s="147"/>
      <c r="BT278" s="285"/>
      <c r="BU278" s="288"/>
      <c r="BV278" s="287"/>
      <c r="BW278" s="288"/>
      <c r="BX278" s="286"/>
      <c r="BY278" s="287"/>
      <c r="BZ278" s="288"/>
      <c r="CA278" s="286"/>
      <c r="CB278" s="286"/>
      <c r="CC278" s="287"/>
      <c r="CD278" s="286"/>
      <c r="CE278" s="286"/>
      <c r="CF278" s="286"/>
      <c r="CG278" s="287"/>
      <c r="CH278" s="288"/>
      <c r="CI278" s="286"/>
      <c r="CJ278" s="286"/>
      <c r="CK278" s="287"/>
      <c r="CL278" s="288"/>
      <c r="CM278" s="286"/>
      <c r="CN278" s="294"/>
      <c r="CO278" s="289"/>
      <c r="CP278" s="290"/>
      <c r="CQ278" s="289"/>
      <c r="CR278" s="290"/>
      <c r="CS278" s="284"/>
      <c r="CT278" s="147"/>
      <c r="CU278" s="291"/>
      <c r="CV278" s="292"/>
    </row>
    <row r="279" spans="2:100">
      <c r="B279">
        <v>221</v>
      </c>
      <c r="C279" s="243" t="str">
        <v/>
      </c>
      <c r="D279" s="592" t="str">
        <v/>
      </c>
      <c r="E279" s="245" t="str">
        <v/>
      </c>
      <c r="F279" s="243" t="str">
        <v/>
      </c>
      <c r="G279" s="245" t="str">
        <v/>
      </c>
      <c r="H279" s="243" t="str">
        <v/>
      </c>
      <c r="I279" s="245" t="str">
        <v/>
      </c>
      <c r="J279" s="242" t="str">
        <v/>
      </c>
      <c r="K279" s="242" t="str">
        <v/>
      </c>
      <c r="L279" s="242" t="str">
        <v/>
      </c>
      <c r="M279" s="243" t="str">
        <v/>
      </c>
      <c r="N279" s="592" t="str">
        <v/>
      </c>
      <c r="O279" s="245" t="str">
        <v/>
      </c>
      <c r="P279" s="245" t="str">
        <v/>
      </c>
      <c r="Q279" s="254" t="str">
        <v/>
      </c>
      <c r="R279" s="255" t="str">
        <v/>
      </c>
      <c r="S279" s="256" t="str">
        <v/>
      </c>
      <c r="T279" s="257" t="str">
        <v/>
      </c>
      <c r="U279" s="255" t="str">
        <v/>
      </c>
      <c r="V279" s="256" t="str">
        <v/>
      </c>
      <c r="W279" s="257" t="str">
        <v/>
      </c>
      <c r="X279" s="255" t="str">
        <v/>
      </c>
      <c r="Y279" s="256" t="str">
        <v/>
      </c>
      <c r="Z279" s="257" t="str">
        <v/>
      </c>
      <c r="AA279" s="255" t="str">
        <v/>
      </c>
      <c r="AB279" s="256" t="str">
        <v/>
      </c>
      <c r="AC279" s="257" t="str">
        <v/>
      </c>
      <c r="AD279" s="255" t="str">
        <v/>
      </c>
      <c r="AE279" s="256" t="str">
        <v/>
      </c>
      <c r="AF279" s="257" t="str">
        <v/>
      </c>
      <c r="AG279" s="255" t="str">
        <v/>
      </c>
      <c r="AH279" s="256" t="str">
        <v/>
      </c>
      <c r="AI279" s="257" t="str">
        <v/>
      </c>
      <c r="AJ279" s="255" t="str">
        <v/>
      </c>
      <c r="AK279" s="256" t="str">
        <v/>
      </c>
      <c r="AL279" s="257" t="str">
        <v/>
      </c>
      <c r="AM279" s="255" t="str">
        <v/>
      </c>
      <c r="AN279" s="256" t="str">
        <v/>
      </c>
      <c r="AO279" s="257" t="str">
        <v/>
      </c>
      <c r="AP279" s="255" t="str">
        <v/>
      </c>
      <c r="AQ279" s="256" t="str">
        <v/>
      </c>
      <c r="AR279" s="257" t="str">
        <v/>
      </c>
      <c r="AS279" s="255" t="str">
        <v/>
      </c>
      <c r="AT279" s="256" t="str">
        <v/>
      </c>
      <c r="AU279" s="257" t="str">
        <v/>
      </c>
      <c r="AV279" s="255" t="str">
        <v/>
      </c>
      <c r="AW279" s="256" t="str">
        <v/>
      </c>
      <c r="AX279" s="257" t="str">
        <v/>
      </c>
      <c r="AY279" s="243">
        <v>0</v>
      </c>
      <c r="AZ279" s="244">
        <v>0</v>
      </c>
      <c r="BA279" s="244">
        <v>0</v>
      </c>
      <c r="BB279" s="244">
        <v>0</v>
      </c>
      <c r="BC279" s="244">
        <v>0</v>
      </c>
      <c r="BD279" s="244">
        <v>0</v>
      </c>
      <c r="BE279" s="244">
        <v>0</v>
      </c>
      <c r="BF279" s="244">
        <v>0</v>
      </c>
      <c r="BG279" s="244">
        <v>0</v>
      </c>
      <c r="BH279" s="245">
        <v>0</v>
      </c>
      <c r="BK279">
        <v>221</v>
      </c>
      <c r="BL279" s="281"/>
      <c r="BM279" s="281"/>
      <c r="BN279" s="282"/>
      <c r="BO279" s="282"/>
      <c r="BP279" s="282"/>
      <c r="BQ279" s="283"/>
      <c r="BR279" s="284"/>
      <c r="BS279" s="147"/>
      <c r="BT279" s="285"/>
      <c r="BU279" s="288"/>
      <c r="BV279" s="287"/>
      <c r="BW279" s="288"/>
      <c r="BX279" s="286"/>
      <c r="BY279" s="287"/>
      <c r="BZ279" s="288"/>
      <c r="CA279" s="286"/>
      <c r="CB279" s="286"/>
      <c r="CC279" s="287"/>
      <c r="CD279" s="286"/>
      <c r="CE279" s="286"/>
      <c r="CF279" s="286"/>
      <c r="CG279" s="287"/>
      <c r="CH279" s="288"/>
      <c r="CI279" s="286"/>
      <c r="CJ279" s="286"/>
      <c r="CK279" s="287"/>
      <c r="CL279" s="288"/>
      <c r="CM279" s="286"/>
      <c r="CN279" s="294"/>
      <c r="CO279" s="289"/>
      <c r="CP279" s="290"/>
      <c r="CQ279" s="289"/>
      <c r="CR279" s="290"/>
      <c r="CS279" s="284"/>
      <c r="CT279" s="147"/>
      <c r="CU279" s="291"/>
      <c r="CV279" s="292"/>
    </row>
    <row r="280" spans="2:100">
      <c r="B280">
        <v>222</v>
      </c>
      <c r="C280" s="243" t="str">
        <v/>
      </c>
      <c r="D280" s="592" t="str">
        <v/>
      </c>
      <c r="E280" s="245" t="str">
        <v/>
      </c>
      <c r="F280" s="243" t="str">
        <v/>
      </c>
      <c r="G280" s="245" t="str">
        <v/>
      </c>
      <c r="H280" s="243" t="str">
        <v/>
      </c>
      <c r="I280" s="245" t="str">
        <v/>
      </c>
      <c r="J280" s="242" t="str">
        <v/>
      </c>
      <c r="K280" s="242" t="str">
        <v/>
      </c>
      <c r="L280" s="242" t="str">
        <v/>
      </c>
      <c r="M280" s="243" t="str">
        <v/>
      </c>
      <c r="N280" s="592" t="str">
        <v/>
      </c>
      <c r="O280" s="245" t="str">
        <v/>
      </c>
      <c r="P280" s="245" t="str">
        <v/>
      </c>
      <c r="Q280" s="254" t="str">
        <v/>
      </c>
      <c r="R280" s="255" t="str">
        <v/>
      </c>
      <c r="S280" s="256" t="str">
        <v/>
      </c>
      <c r="T280" s="257" t="str">
        <v/>
      </c>
      <c r="U280" s="255" t="str">
        <v/>
      </c>
      <c r="V280" s="256" t="str">
        <v/>
      </c>
      <c r="W280" s="257" t="str">
        <v/>
      </c>
      <c r="X280" s="255" t="str">
        <v/>
      </c>
      <c r="Y280" s="256" t="str">
        <v/>
      </c>
      <c r="Z280" s="257" t="str">
        <v/>
      </c>
      <c r="AA280" s="255" t="str">
        <v/>
      </c>
      <c r="AB280" s="256" t="str">
        <v/>
      </c>
      <c r="AC280" s="257" t="str">
        <v/>
      </c>
      <c r="AD280" s="255" t="str">
        <v/>
      </c>
      <c r="AE280" s="256" t="str">
        <v/>
      </c>
      <c r="AF280" s="257" t="str">
        <v/>
      </c>
      <c r="AG280" s="255" t="str">
        <v/>
      </c>
      <c r="AH280" s="256" t="str">
        <v/>
      </c>
      <c r="AI280" s="257" t="str">
        <v/>
      </c>
      <c r="AJ280" s="255" t="str">
        <v/>
      </c>
      <c r="AK280" s="256" t="str">
        <v/>
      </c>
      <c r="AL280" s="257" t="str">
        <v/>
      </c>
      <c r="AM280" s="255" t="str">
        <v/>
      </c>
      <c r="AN280" s="256" t="str">
        <v/>
      </c>
      <c r="AO280" s="257" t="str">
        <v/>
      </c>
      <c r="AP280" s="255" t="str">
        <v/>
      </c>
      <c r="AQ280" s="256" t="str">
        <v/>
      </c>
      <c r="AR280" s="257" t="str">
        <v/>
      </c>
      <c r="AS280" s="255" t="str">
        <v/>
      </c>
      <c r="AT280" s="256" t="str">
        <v/>
      </c>
      <c r="AU280" s="257" t="str">
        <v/>
      </c>
      <c r="AV280" s="255" t="str">
        <v/>
      </c>
      <c r="AW280" s="256" t="str">
        <v/>
      </c>
      <c r="AX280" s="257" t="str">
        <v/>
      </c>
      <c r="AY280" s="243">
        <v>0</v>
      </c>
      <c r="AZ280" s="244">
        <v>0</v>
      </c>
      <c r="BA280" s="244">
        <v>0</v>
      </c>
      <c r="BB280" s="244">
        <v>0</v>
      </c>
      <c r="BC280" s="244">
        <v>0</v>
      </c>
      <c r="BD280" s="244">
        <v>0</v>
      </c>
      <c r="BE280" s="244">
        <v>0</v>
      </c>
      <c r="BF280" s="244">
        <v>0</v>
      </c>
      <c r="BG280" s="244">
        <v>0</v>
      </c>
      <c r="BH280" s="245">
        <v>0</v>
      </c>
      <c r="BK280">
        <v>222</v>
      </c>
      <c r="BL280" s="281"/>
      <c r="BM280" s="281"/>
      <c r="BN280" s="282"/>
      <c r="BO280" s="282"/>
      <c r="BP280" s="282"/>
      <c r="BQ280" s="283"/>
      <c r="BR280" s="284"/>
      <c r="BS280" s="147"/>
      <c r="BT280" s="285"/>
      <c r="BU280" s="288"/>
      <c r="BV280" s="287"/>
      <c r="BW280" s="288"/>
      <c r="BX280" s="286"/>
      <c r="BY280" s="287"/>
      <c r="BZ280" s="288"/>
      <c r="CA280" s="286"/>
      <c r="CB280" s="286"/>
      <c r="CC280" s="287"/>
      <c r="CD280" s="286"/>
      <c r="CE280" s="286"/>
      <c r="CF280" s="286"/>
      <c r="CG280" s="287"/>
      <c r="CH280" s="288"/>
      <c r="CI280" s="286"/>
      <c r="CJ280" s="286"/>
      <c r="CK280" s="287"/>
      <c r="CL280" s="288"/>
      <c r="CM280" s="286"/>
      <c r="CN280" s="294"/>
      <c r="CO280" s="289"/>
      <c r="CP280" s="290"/>
      <c r="CQ280" s="289"/>
      <c r="CR280" s="290"/>
      <c r="CS280" s="284"/>
      <c r="CT280" s="147"/>
      <c r="CU280" s="291"/>
      <c r="CV280" s="292"/>
    </row>
    <row r="281" spans="2:100">
      <c r="B281">
        <v>223</v>
      </c>
      <c r="C281" s="243" t="str">
        <v/>
      </c>
      <c r="D281" s="592" t="str">
        <v/>
      </c>
      <c r="E281" s="245" t="str">
        <v/>
      </c>
      <c r="F281" s="243" t="str">
        <v/>
      </c>
      <c r="G281" s="245" t="str">
        <v/>
      </c>
      <c r="H281" s="243" t="str">
        <v/>
      </c>
      <c r="I281" s="245" t="str">
        <v/>
      </c>
      <c r="J281" s="242" t="str">
        <v/>
      </c>
      <c r="K281" s="242" t="str">
        <v/>
      </c>
      <c r="L281" s="242" t="str">
        <v/>
      </c>
      <c r="M281" s="243" t="str">
        <v/>
      </c>
      <c r="N281" s="592" t="str">
        <v/>
      </c>
      <c r="O281" s="245" t="str">
        <v/>
      </c>
      <c r="P281" s="245" t="str">
        <v/>
      </c>
      <c r="Q281" s="254" t="str">
        <v/>
      </c>
      <c r="R281" s="255" t="str">
        <v/>
      </c>
      <c r="S281" s="256" t="str">
        <v/>
      </c>
      <c r="T281" s="257" t="str">
        <v/>
      </c>
      <c r="U281" s="255" t="str">
        <v/>
      </c>
      <c r="V281" s="256" t="str">
        <v/>
      </c>
      <c r="W281" s="257" t="str">
        <v/>
      </c>
      <c r="X281" s="255" t="str">
        <v/>
      </c>
      <c r="Y281" s="256" t="str">
        <v/>
      </c>
      <c r="Z281" s="257" t="str">
        <v/>
      </c>
      <c r="AA281" s="255" t="str">
        <v/>
      </c>
      <c r="AB281" s="256" t="str">
        <v/>
      </c>
      <c r="AC281" s="257" t="str">
        <v/>
      </c>
      <c r="AD281" s="255" t="str">
        <v/>
      </c>
      <c r="AE281" s="256" t="str">
        <v/>
      </c>
      <c r="AF281" s="257" t="str">
        <v/>
      </c>
      <c r="AG281" s="255" t="str">
        <v/>
      </c>
      <c r="AH281" s="256" t="str">
        <v/>
      </c>
      <c r="AI281" s="257" t="str">
        <v/>
      </c>
      <c r="AJ281" s="255" t="str">
        <v/>
      </c>
      <c r="AK281" s="256" t="str">
        <v/>
      </c>
      <c r="AL281" s="257" t="str">
        <v/>
      </c>
      <c r="AM281" s="255" t="str">
        <v/>
      </c>
      <c r="AN281" s="256" t="str">
        <v/>
      </c>
      <c r="AO281" s="257" t="str">
        <v/>
      </c>
      <c r="AP281" s="255" t="str">
        <v/>
      </c>
      <c r="AQ281" s="256" t="str">
        <v/>
      </c>
      <c r="AR281" s="257" t="str">
        <v/>
      </c>
      <c r="AS281" s="255" t="str">
        <v/>
      </c>
      <c r="AT281" s="256" t="str">
        <v/>
      </c>
      <c r="AU281" s="257" t="str">
        <v/>
      </c>
      <c r="AV281" s="255" t="str">
        <v/>
      </c>
      <c r="AW281" s="256" t="str">
        <v/>
      </c>
      <c r="AX281" s="257" t="str">
        <v/>
      </c>
      <c r="AY281" s="243">
        <v>0</v>
      </c>
      <c r="AZ281" s="244">
        <v>0</v>
      </c>
      <c r="BA281" s="244">
        <v>0</v>
      </c>
      <c r="BB281" s="244">
        <v>0</v>
      </c>
      <c r="BC281" s="244">
        <v>0</v>
      </c>
      <c r="BD281" s="244">
        <v>0</v>
      </c>
      <c r="BE281" s="244">
        <v>0</v>
      </c>
      <c r="BF281" s="244">
        <v>0</v>
      </c>
      <c r="BG281" s="244">
        <v>0</v>
      </c>
      <c r="BH281" s="245">
        <v>0</v>
      </c>
      <c r="BK281">
        <v>223</v>
      </c>
      <c r="BL281" s="281"/>
      <c r="BM281" s="281"/>
      <c r="BN281" s="282"/>
      <c r="BO281" s="282"/>
      <c r="BP281" s="282"/>
      <c r="BQ281" s="283"/>
      <c r="BR281" s="284"/>
      <c r="BS281" s="147"/>
      <c r="BT281" s="285"/>
      <c r="BU281" s="288"/>
      <c r="BV281" s="287"/>
      <c r="BW281" s="288"/>
      <c r="BX281" s="286"/>
      <c r="BY281" s="287"/>
      <c r="BZ281" s="288"/>
      <c r="CA281" s="286"/>
      <c r="CB281" s="286"/>
      <c r="CC281" s="287"/>
      <c r="CD281" s="286"/>
      <c r="CE281" s="286"/>
      <c r="CF281" s="286"/>
      <c r="CG281" s="287"/>
      <c r="CH281" s="288"/>
      <c r="CI281" s="286"/>
      <c r="CJ281" s="286"/>
      <c r="CK281" s="287"/>
      <c r="CL281" s="288"/>
      <c r="CM281" s="286"/>
      <c r="CN281" s="294"/>
      <c r="CO281" s="289"/>
      <c r="CP281" s="290"/>
      <c r="CQ281" s="289"/>
      <c r="CR281" s="290"/>
      <c r="CS281" s="284"/>
      <c r="CT281" s="147"/>
      <c r="CU281" s="291"/>
      <c r="CV281" s="292"/>
    </row>
    <row r="282" spans="2:100">
      <c r="B282">
        <v>224</v>
      </c>
      <c r="C282" s="243" t="str">
        <v/>
      </c>
      <c r="D282" s="592" t="str">
        <v/>
      </c>
      <c r="E282" s="245" t="str">
        <v/>
      </c>
      <c r="F282" s="243" t="str">
        <v/>
      </c>
      <c r="G282" s="245" t="str">
        <v/>
      </c>
      <c r="H282" s="243" t="str">
        <v/>
      </c>
      <c r="I282" s="245" t="str">
        <v/>
      </c>
      <c r="J282" s="242" t="str">
        <v/>
      </c>
      <c r="K282" s="242" t="str">
        <v/>
      </c>
      <c r="L282" s="242" t="str">
        <v/>
      </c>
      <c r="M282" s="243" t="str">
        <v/>
      </c>
      <c r="N282" s="592" t="str">
        <v/>
      </c>
      <c r="O282" s="245" t="str">
        <v/>
      </c>
      <c r="P282" s="245" t="str">
        <v/>
      </c>
      <c r="Q282" s="254" t="str">
        <v/>
      </c>
      <c r="R282" s="255" t="str">
        <v/>
      </c>
      <c r="S282" s="256" t="str">
        <v/>
      </c>
      <c r="T282" s="257" t="str">
        <v/>
      </c>
      <c r="U282" s="255" t="str">
        <v/>
      </c>
      <c r="V282" s="256" t="str">
        <v/>
      </c>
      <c r="W282" s="257" t="str">
        <v/>
      </c>
      <c r="X282" s="255" t="str">
        <v/>
      </c>
      <c r="Y282" s="256" t="str">
        <v/>
      </c>
      <c r="Z282" s="257" t="str">
        <v/>
      </c>
      <c r="AA282" s="255" t="str">
        <v/>
      </c>
      <c r="AB282" s="256" t="str">
        <v/>
      </c>
      <c r="AC282" s="257" t="str">
        <v/>
      </c>
      <c r="AD282" s="255" t="str">
        <v/>
      </c>
      <c r="AE282" s="256" t="str">
        <v/>
      </c>
      <c r="AF282" s="257" t="str">
        <v/>
      </c>
      <c r="AG282" s="255" t="str">
        <v/>
      </c>
      <c r="AH282" s="256" t="str">
        <v/>
      </c>
      <c r="AI282" s="257" t="str">
        <v/>
      </c>
      <c r="AJ282" s="255" t="str">
        <v/>
      </c>
      <c r="AK282" s="256" t="str">
        <v/>
      </c>
      <c r="AL282" s="257" t="str">
        <v/>
      </c>
      <c r="AM282" s="255" t="str">
        <v/>
      </c>
      <c r="AN282" s="256" t="str">
        <v/>
      </c>
      <c r="AO282" s="257" t="str">
        <v/>
      </c>
      <c r="AP282" s="255" t="str">
        <v/>
      </c>
      <c r="AQ282" s="256" t="str">
        <v/>
      </c>
      <c r="AR282" s="257" t="str">
        <v/>
      </c>
      <c r="AS282" s="255" t="str">
        <v/>
      </c>
      <c r="AT282" s="256" t="str">
        <v/>
      </c>
      <c r="AU282" s="257" t="str">
        <v/>
      </c>
      <c r="AV282" s="255" t="str">
        <v/>
      </c>
      <c r="AW282" s="256" t="str">
        <v/>
      </c>
      <c r="AX282" s="257" t="str">
        <v/>
      </c>
      <c r="AY282" s="243">
        <v>0</v>
      </c>
      <c r="AZ282" s="244">
        <v>0</v>
      </c>
      <c r="BA282" s="244">
        <v>0</v>
      </c>
      <c r="BB282" s="244">
        <v>0</v>
      </c>
      <c r="BC282" s="244">
        <v>0</v>
      </c>
      <c r="BD282" s="244">
        <v>0</v>
      </c>
      <c r="BE282" s="244">
        <v>0</v>
      </c>
      <c r="BF282" s="244">
        <v>0</v>
      </c>
      <c r="BG282" s="244">
        <v>0</v>
      </c>
      <c r="BH282" s="245">
        <v>0</v>
      </c>
      <c r="BK282">
        <v>224</v>
      </c>
      <c r="BL282" s="281"/>
      <c r="BM282" s="281"/>
      <c r="BN282" s="282"/>
      <c r="BO282" s="282"/>
      <c r="BP282" s="282"/>
      <c r="BQ282" s="283"/>
      <c r="BR282" s="284"/>
      <c r="BS282" s="147"/>
      <c r="BT282" s="285"/>
      <c r="BU282" s="288"/>
      <c r="BV282" s="287"/>
      <c r="BW282" s="288"/>
      <c r="BX282" s="286"/>
      <c r="BY282" s="287"/>
      <c r="BZ282" s="288"/>
      <c r="CA282" s="286"/>
      <c r="CB282" s="286"/>
      <c r="CC282" s="287"/>
      <c r="CD282" s="286"/>
      <c r="CE282" s="286"/>
      <c r="CF282" s="286"/>
      <c r="CG282" s="287"/>
      <c r="CH282" s="288"/>
      <c r="CI282" s="286"/>
      <c r="CJ282" s="286"/>
      <c r="CK282" s="287"/>
      <c r="CL282" s="288"/>
      <c r="CM282" s="286"/>
      <c r="CN282" s="294"/>
      <c r="CO282" s="289"/>
      <c r="CP282" s="290"/>
      <c r="CQ282" s="289"/>
      <c r="CR282" s="290"/>
      <c r="CS282" s="284"/>
      <c r="CT282" s="147"/>
      <c r="CU282" s="291"/>
      <c r="CV282" s="292"/>
    </row>
    <row r="283" spans="2:100">
      <c r="B283">
        <v>225</v>
      </c>
      <c r="C283" s="243" t="str">
        <v/>
      </c>
      <c r="D283" s="592" t="str">
        <v/>
      </c>
      <c r="E283" s="245" t="str">
        <v/>
      </c>
      <c r="F283" s="243" t="str">
        <v/>
      </c>
      <c r="G283" s="245" t="str">
        <v/>
      </c>
      <c r="H283" s="243" t="str">
        <v/>
      </c>
      <c r="I283" s="245" t="str">
        <v/>
      </c>
      <c r="J283" s="242" t="str">
        <v/>
      </c>
      <c r="K283" s="242" t="str">
        <v/>
      </c>
      <c r="L283" s="242" t="str">
        <v/>
      </c>
      <c r="M283" s="243" t="str">
        <v/>
      </c>
      <c r="N283" s="592" t="str">
        <v/>
      </c>
      <c r="O283" s="245" t="str">
        <v/>
      </c>
      <c r="P283" s="245" t="str">
        <v/>
      </c>
      <c r="Q283" s="254" t="str">
        <v/>
      </c>
      <c r="R283" s="255" t="str">
        <v/>
      </c>
      <c r="S283" s="256" t="str">
        <v/>
      </c>
      <c r="T283" s="257" t="str">
        <v/>
      </c>
      <c r="U283" s="255" t="str">
        <v/>
      </c>
      <c r="V283" s="256" t="str">
        <v/>
      </c>
      <c r="W283" s="257" t="str">
        <v/>
      </c>
      <c r="X283" s="255" t="str">
        <v/>
      </c>
      <c r="Y283" s="256" t="str">
        <v/>
      </c>
      <c r="Z283" s="257" t="str">
        <v/>
      </c>
      <c r="AA283" s="255" t="str">
        <v/>
      </c>
      <c r="AB283" s="256" t="str">
        <v/>
      </c>
      <c r="AC283" s="257" t="str">
        <v/>
      </c>
      <c r="AD283" s="255" t="str">
        <v/>
      </c>
      <c r="AE283" s="256" t="str">
        <v/>
      </c>
      <c r="AF283" s="257" t="str">
        <v/>
      </c>
      <c r="AG283" s="255" t="str">
        <v/>
      </c>
      <c r="AH283" s="256" t="str">
        <v/>
      </c>
      <c r="AI283" s="257" t="str">
        <v/>
      </c>
      <c r="AJ283" s="255" t="str">
        <v/>
      </c>
      <c r="AK283" s="256" t="str">
        <v/>
      </c>
      <c r="AL283" s="257" t="str">
        <v/>
      </c>
      <c r="AM283" s="255" t="str">
        <v/>
      </c>
      <c r="AN283" s="256" t="str">
        <v/>
      </c>
      <c r="AO283" s="257" t="str">
        <v/>
      </c>
      <c r="AP283" s="255" t="str">
        <v/>
      </c>
      <c r="AQ283" s="256" t="str">
        <v/>
      </c>
      <c r="AR283" s="257" t="str">
        <v/>
      </c>
      <c r="AS283" s="255" t="str">
        <v/>
      </c>
      <c r="AT283" s="256" t="str">
        <v/>
      </c>
      <c r="AU283" s="257" t="str">
        <v/>
      </c>
      <c r="AV283" s="255" t="str">
        <v/>
      </c>
      <c r="AW283" s="256" t="str">
        <v/>
      </c>
      <c r="AX283" s="257" t="str">
        <v/>
      </c>
      <c r="AY283" s="243">
        <v>0</v>
      </c>
      <c r="AZ283" s="244">
        <v>0</v>
      </c>
      <c r="BA283" s="244">
        <v>0</v>
      </c>
      <c r="BB283" s="244">
        <v>0</v>
      </c>
      <c r="BC283" s="244">
        <v>0</v>
      </c>
      <c r="BD283" s="244">
        <v>0</v>
      </c>
      <c r="BE283" s="244">
        <v>0</v>
      </c>
      <c r="BF283" s="244">
        <v>0</v>
      </c>
      <c r="BG283" s="244">
        <v>0</v>
      </c>
      <c r="BH283" s="245">
        <v>0</v>
      </c>
      <c r="BK283">
        <v>225</v>
      </c>
      <c r="BL283" s="281"/>
      <c r="BM283" s="281"/>
      <c r="BN283" s="282"/>
      <c r="BO283" s="282"/>
      <c r="BP283" s="282"/>
      <c r="BQ283" s="283"/>
      <c r="BR283" s="284"/>
      <c r="BS283" s="147"/>
      <c r="BT283" s="285"/>
      <c r="BU283" s="288"/>
      <c r="BV283" s="287"/>
      <c r="BW283" s="288"/>
      <c r="BX283" s="286"/>
      <c r="BY283" s="287"/>
      <c r="BZ283" s="288"/>
      <c r="CA283" s="286"/>
      <c r="CB283" s="286"/>
      <c r="CC283" s="287"/>
      <c r="CD283" s="286"/>
      <c r="CE283" s="286"/>
      <c r="CF283" s="286"/>
      <c r="CG283" s="287"/>
      <c r="CH283" s="288"/>
      <c r="CI283" s="286"/>
      <c r="CJ283" s="286"/>
      <c r="CK283" s="287"/>
      <c r="CL283" s="288"/>
      <c r="CM283" s="286"/>
      <c r="CN283" s="294"/>
      <c r="CO283" s="289"/>
      <c r="CP283" s="290"/>
      <c r="CQ283" s="289"/>
      <c r="CR283" s="290"/>
      <c r="CS283" s="284"/>
      <c r="CT283" s="147"/>
      <c r="CU283" s="291"/>
      <c r="CV283" s="292"/>
    </row>
    <row r="284" spans="2:100">
      <c r="B284">
        <v>226</v>
      </c>
      <c r="C284" s="243" t="str">
        <v/>
      </c>
      <c r="D284" s="592" t="str">
        <v/>
      </c>
      <c r="E284" s="245" t="str">
        <v/>
      </c>
      <c r="F284" s="243" t="str">
        <v/>
      </c>
      <c r="G284" s="245" t="str">
        <v/>
      </c>
      <c r="H284" s="243" t="str">
        <v/>
      </c>
      <c r="I284" s="245" t="str">
        <v/>
      </c>
      <c r="J284" s="242" t="str">
        <v/>
      </c>
      <c r="K284" s="242" t="str">
        <v/>
      </c>
      <c r="L284" s="242" t="str">
        <v/>
      </c>
      <c r="M284" s="243" t="str">
        <v/>
      </c>
      <c r="N284" s="592" t="str">
        <v/>
      </c>
      <c r="O284" s="245" t="str">
        <v/>
      </c>
      <c r="P284" s="245" t="str">
        <v/>
      </c>
      <c r="Q284" s="254" t="str">
        <v/>
      </c>
      <c r="R284" s="255" t="str">
        <v/>
      </c>
      <c r="S284" s="256" t="str">
        <v/>
      </c>
      <c r="T284" s="257" t="str">
        <v/>
      </c>
      <c r="U284" s="255" t="str">
        <v/>
      </c>
      <c r="V284" s="256" t="str">
        <v/>
      </c>
      <c r="W284" s="257" t="str">
        <v/>
      </c>
      <c r="X284" s="255" t="str">
        <v/>
      </c>
      <c r="Y284" s="256" t="str">
        <v/>
      </c>
      <c r="Z284" s="257" t="str">
        <v/>
      </c>
      <c r="AA284" s="255" t="str">
        <v/>
      </c>
      <c r="AB284" s="256" t="str">
        <v/>
      </c>
      <c r="AC284" s="257" t="str">
        <v/>
      </c>
      <c r="AD284" s="255" t="str">
        <v/>
      </c>
      <c r="AE284" s="256" t="str">
        <v/>
      </c>
      <c r="AF284" s="257" t="str">
        <v/>
      </c>
      <c r="AG284" s="255" t="str">
        <v/>
      </c>
      <c r="AH284" s="256" t="str">
        <v/>
      </c>
      <c r="AI284" s="257" t="str">
        <v/>
      </c>
      <c r="AJ284" s="255" t="str">
        <v/>
      </c>
      <c r="AK284" s="256" t="str">
        <v/>
      </c>
      <c r="AL284" s="257" t="str">
        <v/>
      </c>
      <c r="AM284" s="255" t="str">
        <v/>
      </c>
      <c r="AN284" s="256" t="str">
        <v/>
      </c>
      <c r="AO284" s="257" t="str">
        <v/>
      </c>
      <c r="AP284" s="255" t="str">
        <v/>
      </c>
      <c r="AQ284" s="256" t="str">
        <v/>
      </c>
      <c r="AR284" s="257" t="str">
        <v/>
      </c>
      <c r="AS284" s="255" t="str">
        <v/>
      </c>
      <c r="AT284" s="256" t="str">
        <v/>
      </c>
      <c r="AU284" s="257" t="str">
        <v/>
      </c>
      <c r="AV284" s="255" t="str">
        <v/>
      </c>
      <c r="AW284" s="256" t="str">
        <v/>
      </c>
      <c r="AX284" s="257" t="str">
        <v/>
      </c>
      <c r="AY284" s="243">
        <v>0</v>
      </c>
      <c r="AZ284" s="244">
        <v>0</v>
      </c>
      <c r="BA284" s="244">
        <v>0</v>
      </c>
      <c r="BB284" s="244">
        <v>0</v>
      </c>
      <c r="BC284" s="244">
        <v>0</v>
      </c>
      <c r="BD284" s="244">
        <v>0</v>
      </c>
      <c r="BE284" s="244">
        <v>0</v>
      </c>
      <c r="BF284" s="244">
        <v>0</v>
      </c>
      <c r="BG284" s="244">
        <v>0</v>
      </c>
      <c r="BH284" s="245">
        <v>0</v>
      </c>
      <c r="BK284">
        <v>226</v>
      </c>
      <c r="BL284" s="281"/>
      <c r="BM284" s="281"/>
      <c r="BN284" s="282"/>
      <c r="BO284" s="282"/>
      <c r="BP284" s="282"/>
      <c r="BQ284" s="283"/>
      <c r="BR284" s="284"/>
      <c r="BS284" s="147"/>
      <c r="BT284" s="285"/>
      <c r="BU284" s="288"/>
      <c r="BV284" s="287"/>
      <c r="BW284" s="288"/>
      <c r="BX284" s="286"/>
      <c r="BY284" s="287"/>
      <c r="BZ284" s="288"/>
      <c r="CA284" s="286"/>
      <c r="CB284" s="286"/>
      <c r="CC284" s="287"/>
      <c r="CD284" s="286"/>
      <c r="CE284" s="286"/>
      <c r="CF284" s="286"/>
      <c r="CG284" s="287"/>
      <c r="CH284" s="288"/>
      <c r="CI284" s="286"/>
      <c r="CJ284" s="286"/>
      <c r="CK284" s="287"/>
      <c r="CL284" s="288"/>
      <c r="CM284" s="286"/>
      <c r="CN284" s="294"/>
      <c r="CO284" s="289"/>
      <c r="CP284" s="290"/>
      <c r="CQ284" s="289"/>
      <c r="CR284" s="290"/>
      <c r="CS284" s="284"/>
      <c r="CT284" s="147"/>
      <c r="CU284" s="291"/>
      <c r="CV284" s="292"/>
    </row>
    <row r="285" spans="2:100">
      <c r="B285">
        <v>227</v>
      </c>
      <c r="C285" s="243" t="str">
        <v/>
      </c>
      <c r="D285" s="592" t="str">
        <v/>
      </c>
      <c r="E285" s="245" t="str">
        <v/>
      </c>
      <c r="F285" s="243" t="str">
        <v/>
      </c>
      <c r="G285" s="245" t="str">
        <v/>
      </c>
      <c r="H285" s="243" t="str">
        <v/>
      </c>
      <c r="I285" s="245" t="str">
        <v/>
      </c>
      <c r="J285" s="242" t="str">
        <v/>
      </c>
      <c r="K285" s="242" t="str">
        <v/>
      </c>
      <c r="L285" s="242" t="str">
        <v/>
      </c>
      <c r="M285" s="243" t="str">
        <v/>
      </c>
      <c r="N285" s="592" t="str">
        <v/>
      </c>
      <c r="O285" s="245" t="str">
        <v/>
      </c>
      <c r="P285" s="245" t="str">
        <v/>
      </c>
      <c r="Q285" s="254" t="str">
        <v/>
      </c>
      <c r="R285" s="255" t="str">
        <v/>
      </c>
      <c r="S285" s="256" t="str">
        <v/>
      </c>
      <c r="T285" s="257" t="str">
        <v/>
      </c>
      <c r="U285" s="255" t="str">
        <v/>
      </c>
      <c r="V285" s="256" t="str">
        <v/>
      </c>
      <c r="W285" s="257" t="str">
        <v/>
      </c>
      <c r="X285" s="255" t="str">
        <v/>
      </c>
      <c r="Y285" s="256" t="str">
        <v/>
      </c>
      <c r="Z285" s="257" t="str">
        <v/>
      </c>
      <c r="AA285" s="255" t="str">
        <v/>
      </c>
      <c r="AB285" s="256" t="str">
        <v/>
      </c>
      <c r="AC285" s="257" t="str">
        <v/>
      </c>
      <c r="AD285" s="255" t="str">
        <v/>
      </c>
      <c r="AE285" s="256" t="str">
        <v/>
      </c>
      <c r="AF285" s="257" t="str">
        <v/>
      </c>
      <c r="AG285" s="255" t="str">
        <v/>
      </c>
      <c r="AH285" s="256" t="str">
        <v/>
      </c>
      <c r="AI285" s="257" t="str">
        <v/>
      </c>
      <c r="AJ285" s="255" t="str">
        <v/>
      </c>
      <c r="AK285" s="256" t="str">
        <v/>
      </c>
      <c r="AL285" s="257" t="str">
        <v/>
      </c>
      <c r="AM285" s="255" t="str">
        <v/>
      </c>
      <c r="AN285" s="256" t="str">
        <v/>
      </c>
      <c r="AO285" s="257" t="str">
        <v/>
      </c>
      <c r="AP285" s="255" t="str">
        <v/>
      </c>
      <c r="AQ285" s="256" t="str">
        <v/>
      </c>
      <c r="AR285" s="257" t="str">
        <v/>
      </c>
      <c r="AS285" s="255" t="str">
        <v/>
      </c>
      <c r="AT285" s="256" t="str">
        <v/>
      </c>
      <c r="AU285" s="257" t="str">
        <v/>
      </c>
      <c r="AV285" s="255" t="str">
        <v/>
      </c>
      <c r="AW285" s="256" t="str">
        <v/>
      </c>
      <c r="AX285" s="257" t="str">
        <v/>
      </c>
      <c r="AY285" s="243">
        <v>0</v>
      </c>
      <c r="AZ285" s="244">
        <v>0</v>
      </c>
      <c r="BA285" s="244">
        <v>0</v>
      </c>
      <c r="BB285" s="244">
        <v>0</v>
      </c>
      <c r="BC285" s="244">
        <v>0</v>
      </c>
      <c r="BD285" s="244">
        <v>0</v>
      </c>
      <c r="BE285" s="244">
        <v>0</v>
      </c>
      <c r="BF285" s="244">
        <v>0</v>
      </c>
      <c r="BG285" s="244">
        <v>0</v>
      </c>
      <c r="BH285" s="245">
        <v>0</v>
      </c>
      <c r="BK285">
        <v>227</v>
      </c>
      <c r="BL285" s="281"/>
      <c r="BM285" s="281"/>
      <c r="BN285" s="282"/>
      <c r="BO285" s="282"/>
      <c r="BP285" s="282"/>
      <c r="BQ285" s="283"/>
      <c r="BR285" s="284"/>
      <c r="BS285" s="147"/>
      <c r="BT285" s="285"/>
      <c r="BU285" s="288"/>
      <c r="BV285" s="287"/>
      <c r="BW285" s="288"/>
      <c r="BX285" s="286"/>
      <c r="BY285" s="287"/>
      <c r="BZ285" s="288"/>
      <c r="CA285" s="286"/>
      <c r="CB285" s="286"/>
      <c r="CC285" s="287"/>
      <c r="CD285" s="286"/>
      <c r="CE285" s="286"/>
      <c r="CF285" s="286"/>
      <c r="CG285" s="287"/>
      <c r="CH285" s="288"/>
      <c r="CI285" s="286"/>
      <c r="CJ285" s="286"/>
      <c r="CK285" s="287"/>
      <c r="CL285" s="288"/>
      <c r="CM285" s="286"/>
      <c r="CN285" s="294"/>
      <c r="CO285" s="289"/>
      <c r="CP285" s="290"/>
      <c r="CQ285" s="289"/>
      <c r="CR285" s="290"/>
      <c r="CS285" s="284"/>
      <c r="CT285" s="147"/>
      <c r="CU285" s="291"/>
      <c r="CV285" s="292"/>
    </row>
    <row r="286" spans="2:100">
      <c r="B286">
        <v>228</v>
      </c>
      <c r="C286" s="243" t="str">
        <v/>
      </c>
      <c r="D286" s="592" t="str">
        <v/>
      </c>
      <c r="E286" s="245" t="str">
        <v/>
      </c>
      <c r="F286" s="243" t="str">
        <v/>
      </c>
      <c r="G286" s="245" t="str">
        <v/>
      </c>
      <c r="H286" s="243" t="str">
        <v/>
      </c>
      <c r="I286" s="245" t="str">
        <v/>
      </c>
      <c r="J286" s="242" t="str">
        <v/>
      </c>
      <c r="K286" s="242" t="str">
        <v/>
      </c>
      <c r="L286" s="242" t="str">
        <v/>
      </c>
      <c r="M286" s="243" t="str">
        <v/>
      </c>
      <c r="N286" s="592" t="str">
        <v/>
      </c>
      <c r="O286" s="245" t="str">
        <v/>
      </c>
      <c r="P286" s="245" t="str">
        <v/>
      </c>
      <c r="Q286" s="254" t="str">
        <v/>
      </c>
      <c r="R286" s="255" t="str">
        <v/>
      </c>
      <c r="S286" s="256" t="str">
        <v/>
      </c>
      <c r="T286" s="257" t="str">
        <v/>
      </c>
      <c r="U286" s="255" t="str">
        <v/>
      </c>
      <c r="V286" s="256" t="str">
        <v/>
      </c>
      <c r="W286" s="257" t="str">
        <v/>
      </c>
      <c r="X286" s="255" t="str">
        <v/>
      </c>
      <c r="Y286" s="256" t="str">
        <v/>
      </c>
      <c r="Z286" s="257" t="str">
        <v/>
      </c>
      <c r="AA286" s="255" t="str">
        <v/>
      </c>
      <c r="AB286" s="256" t="str">
        <v/>
      </c>
      <c r="AC286" s="257" t="str">
        <v/>
      </c>
      <c r="AD286" s="255" t="str">
        <v/>
      </c>
      <c r="AE286" s="256" t="str">
        <v/>
      </c>
      <c r="AF286" s="257" t="str">
        <v/>
      </c>
      <c r="AG286" s="255" t="str">
        <v/>
      </c>
      <c r="AH286" s="256" t="str">
        <v/>
      </c>
      <c r="AI286" s="257" t="str">
        <v/>
      </c>
      <c r="AJ286" s="255" t="str">
        <v/>
      </c>
      <c r="AK286" s="256" t="str">
        <v/>
      </c>
      <c r="AL286" s="257" t="str">
        <v/>
      </c>
      <c r="AM286" s="255" t="str">
        <v/>
      </c>
      <c r="AN286" s="256" t="str">
        <v/>
      </c>
      <c r="AO286" s="257" t="str">
        <v/>
      </c>
      <c r="AP286" s="255" t="str">
        <v/>
      </c>
      <c r="AQ286" s="256" t="str">
        <v/>
      </c>
      <c r="AR286" s="257" t="str">
        <v/>
      </c>
      <c r="AS286" s="255" t="str">
        <v/>
      </c>
      <c r="AT286" s="256" t="str">
        <v/>
      </c>
      <c r="AU286" s="257" t="str">
        <v/>
      </c>
      <c r="AV286" s="255" t="str">
        <v/>
      </c>
      <c r="AW286" s="256" t="str">
        <v/>
      </c>
      <c r="AX286" s="257" t="str">
        <v/>
      </c>
      <c r="AY286" s="243">
        <v>0</v>
      </c>
      <c r="AZ286" s="244">
        <v>0</v>
      </c>
      <c r="BA286" s="244">
        <v>0</v>
      </c>
      <c r="BB286" s="244">
        <v>0</v>
      </c>
      <c r="BC286" s="244">
        <v>0</v>
      </c>
      <c r="BD286" s="244">
        <v>0</v>
      </c>
      <c r="BE286" s="244">
        <v>0</v>
      </c>
      <c r="BF286" s="244">
        <v>0</v>
      </c>
      <c r="BG286" s="244">
        <v>0</v>
      </c>
      <c r="BH286" s="245">
        <v>0</v>
      </c>
      <c r="BK286">
        <v>228</v>
      </c>
      <c r="BL286" s="281"/>
      <c r="BM286" s="281"/>
      <c r="BN286" s="282"/>
      <c r="BO286" s="282"/>
      <c r="BP286" s="282"/>
      <c r="BQ286" s="283"/>
      <c r="BR286" s="284"/>
      <c r="BS286" s="147"/>
      <c r="BT286" s="285"/>
      <c r="BU286" s="288"/>
      <c r="BV286" s="287"/>
      <c r="BW286" s="288"/>
      <c r="BX286" s="286"/>
      <c r="BY286" s="287"/>
      <c r="BZ286" s="288"/>
      <c r="CA286" s="286"/>
      <c r="CB286" s="286"/>
      <c r="CC286" s="287"/>
      <c r="CD286" s="286"/>
      <c r="CE286" s="286"/>
      <c r="CF286" s="286"/>
      <c r="CG286" s="287"/>
      <c r="CH286" s="288"/>
      <c r="CI286" s="286"/>
      <c r="CJ286" s="286"/>
      <c r="CK286" s="287"/>
      <c r="CL286" s="288"/>
      <c r="CM286" s="286"/>
      <c r="CN286" s="294"/>
      <c r="CO286" s="289"/>
      <c r="CP286" s="290"/>
      <c r="CQ286" s="289"/>
      <c r="CR286" s="290"/>
      <c r="CS286" s="284"/>
      <c r="CT286" s="147"/>
      <c r="CU286" s="291"/>
      <c r="CV286" s="292"/>
    </row>
    <row r="287" spans="2:100">
      <c r="B287">
        <v>229</v>
      </c>
      <c r="C287" s="243" t="str">
        <v/>
      </c>
      <c r="D287" s="592" t="str">
        <v/>
      </c>
      <c r="E287" s="245" t="str">
        <v/>
      </c>
      <c r="F287" s="243" t="str">
        <v/>
      </c>
      <c r="G287" s="245" t="str">
        <v/>
      </c>
      <c r="H287" s="243" t="str">
        <v/>
      </c>
      <c r="I287" s="245" t="str">
        <v/>
      </c>
      <c r="J287" s="242" t="str">
        <v/>
      </c>
      <c r="K287" s="242" t="str">
        <v/>
      </c>
      <c r="L287" s="242" t="str">
        <v/>
      </c>
      <c r="M287" s="243" t="str">
        <v/>
      </c>
      <c r="N287" s="592" t="str">
        <v/>
      </c>
      <c r="O287" s="245" t="str">
        <v/>
      </c>
      <c r="P287" s="245" t="str">
        <v/>
      </c>
      <c r="Q287" s="254" t="str">
        <v/>
      </c>
      <c r="R287" s="255" t="str">
        <v/>
      </c>
      <c r="S287" s="256" t="str">
        <v/>
      </c>
      <c r="T287" s="257" t="str">
        <v/>
      </c>
      <c r="U287" s="255" t="str">
        <v/>
      </c>
      <c r="V287" s="256" t="str">
        <v/>
      </c>
      <c r="W287" s="257" t="str">
        <v/>
      </c>
      <c r="X287" s="255" t="str">
        <v/>
      </c>
      <c r="Y287" s="256" t="str">
        <v/>
      </c>
      <c r="Z287" s="257" t="str">
        <v/>
      </c>
      <c r="AA287" s="255" t="str">
        <v/>
      </c>
      <c r="AB287" s="256" t="str">
        <v/>
      </c>
      <c r="AC287" s="257" t="str">
        <v/>
      </c>
      <c r="AD287" s="255" t="str">
        <v/>
      </c>
      <c r="AE287" s="256" t="str">
        <v/>
      </c>
      <c r="AF287" s="257" t="str">
        <v/>
      </c>
      <c r="AG287" s="255" t="str">
        <v/>
      </c>
      <c r="AH287" s="256" t="str">
        <v/>
      </c>
      <c r="AI287" s="257" t="str">
        <v/>
      </c>
      <c r="AJ287" s="255" t="str">
        <v/>
      </c>
      <c r="AK287" s="256" t="str">
        <v/>
      </c>
      <c r="AL287" s="257" t="str">
        <v/>
      </c>
      <c r="AM287" s="255" t="str">
        <v/>
      </c>
      <c r="AN287" s="256" t="str">
        <v/>
      </c>
      <c r="AO287" s="257" t="str">
        <v/>
      </c>
      <c r="AP287" s="255" t="str">
        <v/>
      </c>
      <c r="AQ287" s="256" t="str">
        <v/>
      </c>
      <c r="AR287" s="257" t="str">
        <v/>
      </c>
      <c r="AS287" s="255" t="str">
        <v/>
      </c>
      <c r="AT287" s="256" t="str">
        <v/>
      </c>
      <c r="AU287" s="257" t="str">
        <v/>
      </c>
      <c r="AV287" s="255" t="str">
        <v/>
      </c>
      <c r="AW287" s="256" t="str">
        <v/>
      </c>
      <c r="AX287" s="257" t="str">
        <v/>
      </c>
      <c r="AY287" s="243">
        <v>0</v>
      </c>
      <c r="AZ287" s="244">
        <v>0</v>
      </c>
      <c r="BA287" s="244">
        <v>0</v>
      </c>
      <c r="BB287" s="244">
        <v>0</v>
      </c>
      <c r="BC287" s="244">
        <v>0</v>
      </c>
      <c r="BD287" s="244">
        <v>0</v>
      </c>
      <c r="BE287" s="244">
        <v>0</v>
      </c>
      <c r="BF287" s="244">
        <v>0</v>
      </c>
      <c r="BG287" s="244">
        <v>0</v>
      </c>
      <c r="BH287" s="245">
        <v>0</v>
      </c>
      <c r="BK287">
        <v>229</v>
      </c>
      <c r="BL287" s="281"/>
      <c r="BM287" s="281"/>
      <c r="BN287" s="282"/>
      <c r="BO287" s="282"/>
      <c r="BP287" s="282"/>
      <c r="BQ287" s="283"/>
      <c r="BR287" s="284"/>
      <c r="BS287" s="147"/>
      <c r="BT287" s="285"/>
      <c r="BU287" s="288"/>
      <c r="BV287" s="287"/>
      <c r="BW287" s="288"/>
      <c r="BX287" s="286"/>
      <c r="BY287" s="287"/>
      <c r="BZ287" s="288"/>
      <c r="CA287" s="286"/>
      <c r="CB287" s="286"/>
      <c r="CC287" s="287"/>
      <c r="CD287" s="286"/>
      <c r="CE287" s="286"/>
      <c r="CF287" s="286"/>
      <c r="CG287" s="287"/>
      <c r="CH287" s="288"/>
      <c r="CI287" s="286"/>
      <c r="CJ287" s="286"/>
      <c r="CK287" s="287"/>
      <c r="CL287" s="288"/>
      <c r="CM287" s="286"/>
      <c r="CN287" s="294"/>
      <c r="CO287" s="289"/>
      <c r="CP287" s="290"/>
      <c r="CQ287" s="289"/>
      <c r="CR287" s="290"/>
      <c r="CS287" s="284"/>
      <c r="CT287" s="147"/>
      <c r="CU287" s="291"/>
      <c r="CV287" s="292"/>
    </row>
    <row r="288" spans="2:100">
      <c r="B288">
        <v>230</v>
      </c>
      <c r="C288" s="243" t="str">
        <v/>
      </c>
      <c r="D288" s="592" t="str">
        <v/>
      </c>
      <c r="E288" s="245" t="str">
        <v/>
      </c>
      <c r="F288" s="243" t="str">
        <v/>
      </c>
      <c r="G288" s="245" t="str">
        <v/>
      </c>
      <c r="H288" s="243" t="str">
        <v/>
      </c>
      <c r="I288" s="245" t="str">
        <v/>
      </c>
      <c r="J288" s="242" t="str">
        <v/>
      </c>
      <c r="K288" s="242" t="str">
        <v/>
      </c>
      <c r="L288" s="242" t="str">
        <v/>
      </c>
      <c r="M288" s="243" t="str">
        <v/>
      </c>
      <c r="N288" s="592" t="str">
        <v/>
      </c>
      <c r="O288" s="245" t="str">
        <v/>
      </c>
      <c r="P288" s="245" t="str">
        <v/>
      </c>
      <c r="Q288" s="254" t="str">
        <v/>
      </c>
      <c r="R288" s="255" t="str">
        <v/>
      </c>
      <c r="S288" s="256" t="str">
        <v/>
      </c>
      <c r="T288" s="257" t="str">
        <v/>
      </c>
      <c r="U288" s="255" t="str">
        <v/>
      </c>
      <c r="V288" s="256" t="str">
        <v/>
      </c>
      <c r="W288" s="257" t="str">
        <v/>
      </c>
      <c r="X288" s="255" t="str">
        <v/>
      </c>
      <c r="Y288" s="256" t="str">
        <v/>
      </c>
      <c r="Z288" s="257" t="str">
        <v/>
      </c>
      <c r="AA288" s="255" t="str">
        <v/>
      </c>
      <c r="AB288" s="256" t="str">
        <v/>
      </c>
      <c r="AC288" s="257" t="str">
        <v/>
      </c>
      <c r="AD288" s="255" t="str">
        <v/>
      </c>
      <c r="AE288" s="256" t="str">
        <v/>
      </c>
      <c r="AF288" s="257" t="str">
        <v/>
      </c>
      <c r="AG288" s="255" t="str">
        <v/>
      </c>
      <c r="AH288" s="256" t="str">
        <v/>
      </c>
      <c r="AI288" s="257" t="str">
        <v/>
      </c>
      <c r="AJ288" s="255" t="str">
        <v/>
      </c>
      <c r="AK288" s="256" t="str">
        <v/>
      </c>
      <c r="AL288" s="257" t="str">
        <v/>
      </c>
      <c r="AM288" s="255" t="str">
        <v/>
      </c>
      <c r="AN288" s="256" t="str">
        <v/>
      </c>
      <c r="AO288" s="257" t="str">
        <v/>
      </c>
      <c r="AP288" s="255" t="str">
        <v/>
      </c>
      <c r="AQ288" s="256" t="str">
        <v/>
      </c>
      <c r="AR288" s="257" t="str">
        <v/>
      </c>
      <c r="AS288" s="255" t="str">
        <v/>
      </c>
      <c r="AT288" s="256" t="str">
        <v/>
      </c>
      <c r="AU288" s="257" t="str">
        <v/>
      </c>
      <c r="AV288" s="255" t="str">
        <v/>
      </c>
      <c r="AW288" s="256" t="str">
        <v/>
      </c>
      <c r="AX288" s="257" t="str">
        <v/>
      </c>
      <c r="AY288" s="243">
        <v>0</v>
      </c>
      <c r="AZ288" s="244">
        <v>0</v>
      </c>
      <c r="BA288" s="244">
        <v>0</v>
      </c>
      <c r="BB288" s="244">
        <v>0</v>
      </c>
      <c r="BC288" s="244">
        <v>0</v>
      </c>
      <c r="BD288" s="244">
        <v>0</v>
      </c>
      <c r="BE288" s="244">
        <v>0</v>
      </c>
      <c r="BF288" s="244">
        <v>0</v>
      </c>
      <c r="BG288" s="244">
        <v>0</v>
      </c>
      <c r="BH288" s="245">
        <v>0</v>
      </c>
      <c r="BK288">
        <v>230</v>
      </c>
      <c r="BL288" s="281"/>
      <c r="BM288" s="281"/>
      <c r="BN288" s="282"/>
      <c r="BO288" s="282"/>
      <c r="BP288" s="282"/>
      <c r="BQ288" s="283"/>
      <c r="BR288" s="284"/>
      <c r="BS288" s="147"/>
      <c r="BT288" s="285"/>
      <c r="BU288" s="288"/>
      <c r="BV288" s="287"/>
      <c r="BW288" s="288"/>
      <c r="BX288" s="286"/>
      <c r="BY288" s="287"/>
      <c r="BZ288" s="288"/>
      <c r="CA288" s="286"/>
      <c r="CB288" s="286"/>
      <c r="CC288" s="287"/>
      <c r="CD288" s="286"/>
      <c r="CE288" s="286"/>
      <c r="CF288" s="286"/>
      <c r="CG288" s="287"/>
      <c r="CH288" s="288"/>
      <c r="CI288" s="286"/>
      <c r="CJ288" s="286"/>
      <c r="CK288" s="287"/>
      <c r="CL288" s="288"/>
      <c r="CM288" s="286"/>
      <c r="CN288" s="294"/>
      <c r="CO288" s="289"/>
      <c r="CP288" s="290"/>
      <c r="CQ288" s="289"/>
      <c r="CR288" s="290"/>
      <c r="CS288" s="284"/>
      <c r="CT288" s="147"/>
      <c r="CU288" s="291"/>
      <c r="CV288" s="292"/>
    </row>
    <row r="289" spans="2:100">
      <c r="B289">
        <v>231</v>
      </c>
      <c r="C289" s="243" t="str">
        <v/>
      </c>
      <c r="D289" s="592" t="str">
        <v/>
      </c>
      <c r="E289" s="245" t="str">
        <v/>
      </c>
      <c r="F289" s="243" t="str">
        <v/>
      </c>
      <c r="G289" s="245" t="str">
        <v/>
      </c>
      <c r="H289" s="243" t="str">
        <v/>
      </c>
      <c r="I289" s="245" t="str">
        <v/>
      </c>
      <c r="J289" s="242" t="str">
        <v/>
      </c>
      <c r="K289" s="242" t="str">
        <v/>
      </c>
      <c r="L289" s="242" t="str">
        <v/>
      </c>
      <c r="M289" s="243" t="str">
        <v/>
      </c>
      <c r="N289" s="592" t="str">
        <v/>
      </c>
      <c r="O289" s="245" t="str">
        <v/>
      </c>
      <c r="P289" s="245" t="str">
        <v/>
      </c>
      <c r="Q289" s="254" t="str">
        <v/>
      </c>
      <c r="R289" s="255" t="str">
        <v/>
      </c>
      <c r="S289" s="256" t="str">
        <v/>
      </c>
      <c r="T289" s="257" t="str">
        <v/>
      </c>
      <c r="U289" s="255" t="str">
        <v/>
      </c>
      <c r="V289" s="256" t="str">
        <v/>
      </c>
      <c r="W289" s="257" t="str">
        <v/>
      </c>
      <c r="X289" s="255" t="str">
        <v/>
      </c>
      <c r="Y289" s="256" t="str">
        <v/>
      </c>
      <c r="Z289" s="257" t="str">
        <v/>
      </c>
      <c r="AA289" s="255" t="str">
        <v/>
      </c>
      <c r="AB289" s="256" t="str">
        <v/>
      </c>
      <c r="AC289" s="257" t="str">
        <v/>
      </c>
      <c r="AD289" s="255" t="str">
        <v/>
      </c>
      <c r="AE289" s="256" t="str">
        <v/>
      </c>
      <c r="AF289" s="257" t="str">
        <v/>
      </c>
      <c r="AG289" s="255" t="str">
        <v/>
      </c>
      <c r="AH289" s="256" t="str">
        <v/>
      </c>
      <c r="AI289" s="257" t="str">
        <v/>
      </c>
      <c r="AJ289" s="255" t="str">
        <v/>
      </c>
      <c r="AK289" s="256" t="str">
        <v/>
      </c>
      <c r="AL289" s="257" t="str">
        <v/>
      </c>
      <c r="AM289" s="255" t="str">
        <v/>
      </c>
      <c r="AN289" s="256" t="str">
        <v/>
      </c>
      <c r="AO289" s="257" t="str">
        <v/>
      </c>
      <c r="AP289" s="255" t="str">
        <v/>
      </c>
      <c r="AQ289" s="256" t="str">
        <v/>
      </c>
      <c r="AR289" s="257" t="str">
        <v/>
      </c>
      <c r="AS289" s="255" t="str">
        <v/>
      </c>
      <c r="AT289" s="256" t="str">
        <v/>
      </c>
      <c r="AU289" s="257" t="str">
        <v/>
      </c>
      <c r="AV289" s="255" t="str">
        <v/>
      </c>
      <c r="AW289" s="256" t="str">
        <v/>
      </c>
      <c r="AX289" s="257" t="str">
        <v/>
      </c>
      <c r="AY289" s="243">
        <v>0</v>
      </c>
      <c r="AZ289" s="244">
        <v>0</v>
      </c>
      <c r="BA289" s="244">
        <v>0</v>
      </c>
      <c r="BB289" s="244">
        <v>0</v>
      </c>
      <c r="BC289" s="244">
        <v>0</v>
      </c>
      <c r="BD289" s="244">
        <v>0</v>
      </c>
      <c r="BE289" s="244">
        <v>0</v>
      </c>
      <c r="BF289" s="244">
        <v>0</v>
      </c>
      <c r="BG289" s="244">
        <v>0</v>
      </c>
      <c r="BH289" s="245">
        <v>0</v>
      </c>
      <c r="BK289">
        <v>231</v>
      </c>
      <c r="BL289" s="281"/>
      <c r="BM289" s="281"/>
      <c r="BN289" s="282"/>
      <c r="BO289" s="282"/>
      <c r="BP289" s="282"/>
      <c r="BQ289" s="283"/>
      <c r="BR289" s="284"/>
      <c r="BS289" s="147"/>
      <c r="BT289" s="285"/>
      <c r="BU289" s="288"/>
      <c r="BV289" s="287"/>
      <c r="BW289" s="288"/>
      <c r="BX289" s="286"/>
      <c r="BY289" s="287"/>
      <c r="BZ289" s="288"/>
      <c r="CA289" s="286"/>
      <c r="CB289" s="286"/>
      <c r="CC289" s="287"/>
      <c r="CD289" s="286"/>
      <c r="CE289" s="286"/>
      <c r="CF289" s="286"/>
      <c r="CG289" s="287"/>
      <c r="CH289" s="288"/>
      <c r="CI289" s="286"/>
      <c r="CJ289" s="286"/>
      <c r="CK289" s="287"/>
      <c r="CL289" s="288"/>
      <c r="CM289" s="286"/>
      <c r="CN289" s="294"/>
      <c r="CO289" s="289"/>
      <c r="CP289" s="290"/>
      <c r="CQ289" s="289"/>
      <c r="CR289" s="290"/>
      <c r="CS289" s="284"/>
      <c r="CT289" s="147"/>
      <c r="CU289" s="291"/>
      <c r="CV289" s="292"/>
    </row>
    <row r="290" spans="2:100">
      <c r="B290">
        <v>232</v>
      </c>
      <c r="C290" s="243" t="str">
        <v/>
      </c>
      <c r="D290" s="592" t="str">
        <v/>
      </c>
      <c r="E290" s="245" t="str">
        <v/>
      </c>
      <c r="F290" s="243" t="str">
        <v/>
      </c>
      <c r="G290" s="245" t="str">
        <v/>
      </c>
      <c r="H290" s="243" t="str">
        <v/>
      </c>
      <c r="I290" s="245" t="str">
        <v/>
      </c>
      <c r="J290" s="242" t="str">
        <v/>
      </c>
      <c r="K290" s="242" t="str">
        <v/>
      </c>
      <c r="L290" s="242" t="str">
        <v/>
      </c>
      <c r="M290" s="243" t="str">
        <v/>
      </c>
      <c r="N290" s="592" t="str">
        <v/>
      </c>
      <c r="O290" s="245" t="str">
        <v/>
      </c>
      <c r="P290" s="245" t="str">
        <v/>
      </c>
      <c r="Q290" s="254" t="str">
        <v/>
      </c>
      <c r="R290" s="255" t="str">
        <v/>
      </c>
      <c r="S290" s="256" t="str">
        <v/>
      </c>
      <c r="T290" s="257" t="str">
        <v/>
      </c>
      <c r="U290" s="255" t="str">
        <v/>
      </c>
      <c r="V290" s="256" t="str">
        <v/>
      </c>
      <c r="W290" s="257" t="str">
        <v/>
      </c>
      <c r="X290" s="255" t="str">
        <v/>
      </c>
      <c r="Y290" s="256" t="str">
        <v/>
      </c>
      <c r="Z290" s="257" t="str">
        <v/>
      </c>
      <c r="AA290" s="255" t="str">
        <v/>
      </c>
      <c r="AB290" s="256" t="str">
        <v/>
      </c>
      <c r="AC290" s="257" t="str">
        <v/>
      </c>
      <c r="AD290" s="255" t="str">
        <v/>
      </c>
      <c r="AE290" s="256" t="str">
        <v/>
      </c>
      <c r="AF290" s="257" t="str">
        <v/>
      </c>
      <c r="AG290" s="255" t="str">
        <v/>
      </c>
      <c r="AH290" s="256" t="str">
        <v/>
      </c>
      <c r="AI290" s="257" t="str">
        <v/>
      </c>
      <c r="AJ290" s="255" t="str">
        <v/>
      </c>
      <c r="AK290" s="256" t="str">
        <v/>
      </c>
      <c r="AL290" s="257" t="str">
        <v/>
      </c>
      <c r="AM290" s="255" t="str">
        <v/>
      </c>
      <c r="AN290" s="256" t="str">
        <v/>
      </c>
      <c r="AO290" s="257" t="str">
        <v/>
      </c>
      <c r="AP290" s="255" t="str">
        <v/>
      </c>
      <c r="AQ290" s="256" t="str">
        <v/>
      </c>
      <c r="AR290" s="257" t="str">
        <v/>
      </c>
      <c r="AS290" s="255" t="str">
        <v/>
      </c>
      <c r="AT290" s="256" t="str">
        <v/>
      </c>
      <c r="AU290" s="257" t="str">
        <v/>
      </c>
      <c r="AV290" s="255" t="str">
        <v/>
      </c>
      <c r="AW290" s="256" t="str">
        <v/>
      </c>
      <c r="AX290" s="257" t="str">
        <v/>
      </c>
      <c r="AY290" s="243">
        <v>0</v>
      </c>
      <c r="AZ290" s="244">
        <v>0</v>
      </c>
      <c r="BA290" s="244">
        <v>0</v>
      </c>
      <c r="BB290" s="244">
        <v>0</v>
      </c>
      <c r="BC290" s="244">
        <v>0</v>
      </c>
      <c r="BD290" s="244">
        <v>0</v>
      </c>
      <c r="BE290" s="244">
        <v>0</v>
      </c>
      <c r="BF290" s="244">
        <v>0</v>
      </c>
      <c r="BG290" s="244">
        <v>0</v>
      </c>
      <c r="BH290" s="245">
        <v>0</v>
      </c>
      <c r="BK290">
        <v>232</v>
      </c>
      <c r="BL290" s="281"/>
      <c r="BM290" s="281"/>
      <c r="BN290" s="282"/>
      <c r="BO290" s="282"/>
      <c r="BP290" s="282"/>
      <c r="BQ290" s="283"/>
      <c r="BR290" s="284"/>
      <c r="BS290" s="147"/>
      <c r="BT290" s="285"/>
      <c r="BU290" s="288"/>
      <c r="BV290" s="287"/>
      <c r="BW290" s="288"/>
      <c r="BX290" s="286"/>
      <c r="BY290" s="287"/>
      <c r="BZ290" s="288"/>
      <c r="CA290" s="286"/>
      <c r="CB290" s="286"/>
      <c r="CC290" s="287"/>
      <c r="CD290" s="286"/>
      <c r="CE290" s="286"/>
      <c r="CF290" s="286"/>
      <c r="CG290" s="287"/>
      <c r="CH290" s="288"/>
      <c r="CI290" s="286"/>
      <c r="CJ290" s="286"/>
      <c r="CK290" s="287"/>
      <c r="CL290" s="288"/>
      <c r="CM290" s="286"/>
      <c r="CN290" s="294"/>
      <c r="CO290" s="289"/>
      <c r="CP290" s="290"/>
      <c r="CQ290" s="289"/>
      <c r="CR290" s="290"/>
      <c r="CS290" s="284"/>
      <c r="CT290" s="147"/>
      <c r="CU290" s="291"/>
      <c r="CV290" s="292"/>
    </row>
    <row r="291" spans="2:100">
      <c r="B291">
        <v>233</v>
      </c>
      <c r="C291" s="243" t="str">
        <v/>
      </c>
      <c r="D291" s="592" t="str">
        <v/>
      </c>
      <c r="E291" s="245" t="str">
        <v/>
      </c>
      <c r="F291" s="243" t="str">
        <v/>
      </c>
      <c r="G291" s="245" t="str">
        <v/>
      </c>
      <c r="H291" s="243" t="str">
        <v/>
      </c>
      <c r="I291" s="245" t="str">
        <v/>
      </c>
      <c r="J291" s="242" t="str">
        <v/>
      </c>
      <c r="K291" s="242" t="str">
        <v/>
      </c>
      <c r="L291" s="242" t="str">
        <v/>
      </c>
      <c r="M291" s="243" t="str">
        <v/>
      </c>
      <c r="N291" s="592" t="str">
        <v/>
      </c>
      <c r="O291" s="245" t="str">
        <v/>
      </c>
      <c r="P291" s="245" t="str">
        <v/>
      </c>
      <c r="Q291" s="254" t="str">
        <v/>
      </c>
      <c r="R291" s="255" t="str">
        <v/>
      </c>
      <c r="S291" s="256" t="str">
        <v/>
      </c>
      <c r="T291" s="257" t="str">
        <v/>
      </c>
      <c r="U291" s="255" t="str">
        <v/>
      </c>
      <c r="V291" s="256" t="str">
        <v/>
      </c>
      <c r="W291" s="257" t="str">
        <v/>
      </c>
      <c r="X291" s="255" t="str">
        <v/>
      </c>
      <c r="Y291" s="256" t="str">
        <v/>
      </c>
      <c r="Z291" s="257" t="str">
        <v/>
      </c>
      <c r="AA291" s="255" t="str">
        <v/>
      </c>
      <c r="AB291" s="256" t="str">
        <v/>
      </c>
      <c r="AC291" s="257" t="str">
        <v/>
      </c>
      <c r="AD291" s="255" t="str">
        <v/>
      </c>
      <c r="AE291" s="256" t="str">
        <v/>
      </c>
      <c r="AF291" s="257" t="str">
        <v/>
      </c>
      <c r="AG291" s="255" t="str">
        <v/>
      </c>
      <c r="AH291" s="256" t="str">
        <v/>
      </c>
      <c r="AI291" s="257" t="str">
        <v/>
      </c>
      <c r="AJ291" s="255" t="str">
        <v/>
      </c>
      <c r="AK291" s="256" t="str">
        <v/>
      </c>
      <c r="AL291" s="257" t="str">
        <v/>
      </c>
      <c r="AM291" s="255" t="str">
        <v/>
      </c>
      <c r="AN291" s="256" t="str">
        <v/>
      </c>
      <c r="AO291" s="257" t="str">
        <v/>
      </c>
      <c r="AP291" s="255" t="str">
        <v/>
      </c>
      <c r="AQ291" s="256" t="str">
        <v/>
      </c>
      <c r="AR291" s="257" t="str">
        <v/>
      </c>
      <c r="AS291" s="255" t="str">
        <v/>
      </c>
      <c r="AT291" s="256" t="str">
        <v/>
      </c>
      <c r="AU291" s="257" t="str">
        <v/>
      </c>
      <c r="AV291" s="255" t="str">
        <v/>
      </c>
      <c r="AW291" s="256" t="str">
        <v/>
      </c>
      <c r="AX291" s="257" t="str">
        <v/>
      </c>
      <c r="AY291" s="243">
        <v>0</v>
      </c>
      <c r="AZ291" s="244">
        <v>0</v>
      </c>
      <c r="BA291" s="244">
        <v>0</v>
      </c>
      <c r="BB291" s="244">
        <v>0</v>
      </c>
      <c r="BC291" s="244">
        <v>0</v>
      </c>
      <c r="BD291" s="244">
        <v>0</v>
      </c>
      <c r="BE291" s="244">
        <v>0</v>
      </c>
      <c r="BF291" s="244">
        <v>0</v>
      </c>
      <c r="BG291" s="244">
        <v>0</v>
      </c>
      <c r="BH291" s="245">
        <v>0</v>
      </c>
      <c r="BK291">
        <v>233</v>
      </c>
      <c r="BL291" s="281"/>
      <c r="BM291" s="281"/>
      <c r="BN291" s="282"/>
      <c r="BO291" s="282"/>
      <c r="BP291" s="282"/>
      <c r="BQ291" s="283"/>
      <c r="BR291" s="284"/>
      <c r="BS291" s="147"/>
      <c r="BT291" s="285"/>
      <c r="BU291" s="288"/>
      <c r="BV291" s="287"/>
      <c r="BW291" s="288"/>
      <c r="BX291" s="286"/>
      <c r="BY291" s="287"/>
      <c r="BZ291" s="288"/>
      <c r="CA291" s="286"/>
      <c r="CB291" s="286"/>
      <c r="CC291" s="287"/>
      <c r="CD291" s="286"/>
      <c r="CE291" s="286"/>
      <c r="CF291" s="286"/>
      <c r="CG291" s="287"/>
      <c r="CH291" s="288"/>
      <c r="CI291" s="286"/>
      <c r="CJ291" s="286"/>
      <c r="CK291" s="287"/>
      <c r="CL291" s="288"/>
      <c r="CM291" s="286"/>
      <c r="CN291" s="294"/>
      <c r="CO291" s="289"/>
      <c r="CP291" s="290"/>
      <c r="CQ291" s="289"/>
      <c r="CR291" s="290"/>
      <c r="CS291" s="284"/>
      <c r="CT291" s="147"/>
      <c r="CU291" s="291"/>
      <c r="CV291" s="292"/>
    </row>
    <row r="292" spans="2:100">
      <c r="B292">
        <v>234</v>
      </c>
      <c r="C292" s="243" t="str">
        <v/>
      </c>
      <c r="D292" s="592" t="str">
        <v/>
      </c>
      <c r="E292" s="245" t="str">
        <v/>
      </c>
      <c r="F292" s="243" t="str">
        <v/>
      </c>
      <c r="G292" s="245" t="str">
        <v/>
      </c>
      <c r="H292" s="243" t="str">
        <v/>
      </c>
      <c r="I292" s="245" t="str">
        <v/>
      </c>
      <c r="J292" s="242" t="str">
        <v/>
      </c>
      <c r="K292" s="242" t="str">
        <v/>
      </c>
      <c r="L292" s="242" t="str">
        <v/>
      </c>
      <c r="M292" s="243" t="str">
        <v/>
      </c>
      <c r="N292" s="592" t="str">
        <v/>
      </c>
      <c r="O292" s="245" t="str">
        <v/>
      </c>
      <c r="P292" s="245" t="str">
        <v/>
      </c>
      <c r="Q292" s="254" t="str">
        <v/>
      </c>
      <c r="R292" s="255" t="str">
        <v/>
      </c>
      <c r="S292" s="256" t="str">
        <v/>
      </c>
      <c r="T292" s="257" t="str">
        <v/>
      </c>
      <c r="U292" s="255" t="str">
        <v/>
      </c>
      <c r="V292" s="256" t="str">
        <v/>
      </c>
      <c r="W292" s="257" t="str">
        <v/>
      </c>
      <c r="X292" s="255" t="str">
        <v/>
      </c>
      <c r="Y292" s="256" t="str">
        <v/>
      </c>
      <c r="Z292" s="257" t="str">
        <v/>
      </c>
      <c r="AA292" s="255" t="str">
        <v/>
      </c>
      <c r="AB292" s="256" t="str">
        <v/>
      </c>
      <c r="AC292" s="257" t="str">
        <v/>
      </c>
      <c r="AD292" s="255" t="str">
        <v/>
      </c>
      <c r="AE292" s="256" t="str">
        <v/>
      </c>
      <c r="AF292" s="257" t="str">
        <v/>
      </c>
      <c r="AG292" s="255" t="str">
        <v/>
      </c>
      <c r="AH292" s="256" t="str">
        <v/>
      </c>
      <c r="AI292" s="257" t="str">
        <v/>
      </c>
      <c r="AJ292" s="255" t="str">
        <v/>
      </c>
      <c r="AK292" s="256" t="str">
        <v/>
      </c>
      <c r="AL292" s="257" t="str">
        <v/>
      </c>
      <c r="AM292" s="255" t="str">
        <v/>
      </c>
      <c r="AN292" s="256" t="str">
        <v/>
      </c>
      <c r="AO292" s="257" t="str">
        <v/>
      </c>
      <c r="AP292" s="255" t="str">
        <v/>
      </c>
      <c r="AQ292" s="256" t="str">
        <v/>
      </c>
      <c r="AR292" s="257" t="str">
        <v/>
      </c>
      <c r="AS292" s="255" t="str">
        <v/>
      </c>
      <c r="AT292" s="256" t="str">
        <v/>
      </c>
      <c r="AU292" s="257" t="str">
        <v/>
      </c>
      <c r="AV292" s="255" t="str">
        <v/>
      </c>
      <c r="AW292" s="256" t="str">
        <v/>
      </c>
      <c r="AX292" s="257" t="str">
        <v/>
      </c>
      <c r="AY292" s="243">
        <v>0</v>
      </c>
      <c r="AZ292" s="244">
        <v>0</v>
      </c>
      <c r="BA292" s="244">
        <v>0</v>
      </c>
      <c r="BB292" s="244">
        <v>0</v>
      </c>
      <c r="BC292" s="244">
        <v>0</v>
      </c>
      <c r="BD292" s="244">
        <v>0</v>
      </c>
      <c r="BE292" s="244">
        <v>0</v>
      </c>
      <c r="BF292" s="244">
        <v>0</v>
      </c>
      <c r="BG292" s="244">
        <v>0</v>
      </c>
      <c r="BH292" s="245">
        <v>0</v>
      </c>
      <c r="BK292">
        <v>234</v>
      </c>
      <c r="BL292" s="281"/>
      <c r="BM292" s="281"/>
      <c r="BN292" s="282"/>
      <c r="BO292" s="282"/>
      <c r="BP292" s="282"/>
      <c r="BQ292" s="283"/>
      <c r="BR292" s="284"/>
      <c r="BS292" s="147"/>
      <c r="BT292" s="285"/>
      <c r="BU292" s="288"/>
      <c r="BV292" s="287"/>
      <c r="BW292" s="288"/>
      <c r="BX292" s="286"/>
      <c r="BY292" s="287"/>
      <c r="BZ292" s="288"/>
      <c r="CA292" s="286"/>
      <c r="CB292" s="286"/>
      <c r="CC292" s="287"/>
      <c r="CD292" s="286"/>
      <c r="CE292" s="286"/>
      <c r="CF292" s="286"/>
      <c r="CG292" s="287"/>
      <c r="CH292" s="288"/>
      <c r="CI292" s="286"/>
      <c r="CJ292" s="286"/>
      <c r="CK292" s="287"/>
      <c r="CL292" s="288"/>
      <c r="CM292" s="286"/>
      <c r="CN292" s="294"/>
      <c r="CO292" s="289"/>
      <c r="CP292" s="290"/>
      <c r="CQ292" s="289"/>
      <c r="CR292" s="290"/>
      <c r="CS292" s="284"/>
      <c r="CT292" s="147"/>
      <c r="CU292" s="291"/>
      <c r="CV292" s="292"/>
    </row>
    <row r="293" spans="2:100">
      <c r="B293">
        <v>235</v>
      </c>
      <c r="C293" s="243" t="str">
        <v/>
      </c>
      <c r="D293" s="592" t="str">
        <v/>
      </c>
      <c r="E293" s="245" t="str">
        <v/>
      </c>
      <c r="F293" s="243" t="str">
        <v/>
      </c>
      <c r="G293" s="245" t="str">
        <v/>
      </c>
      <c r="H293" s="243" t="str">
        <v/>
      </c>
      <c r="I293" s="245" t="str">
        <v/>
      </c>
      <c r="J293" s="242" t="str">
        <v/>
      </c>
      <c r="K293" s="242" t="str">
        <v/>
      </c>
      <c r="L293" s="242" t="str">
        <v/>
      </c>
      <c r="M293" s="243" t="str">
        <v/>
      </c>
      <c r="N293" s="592" t="str">
        <v/>
      </c>
      <c r="O293" s="245" t="str">
        <v/>
      </c>
      <c r="P293" s="245" t="str">
        <v/>
      </c>
      <c r="Q293" s="254" t="str">
        <v/>
      </c>
      <c r="R293" s="255" t="str">
        <v/>
      </c>
      <c r="S293" s="256" t="str">
        <v/>
      </c>
      <c r="T293" s="257" t="str">
        <v/>
      </c>
      <c r="U293" s="255" t="str">
        <v/>
      </c>
      <c r="V293" s="256" t="str">
        <v/>
      </c>
      <c r="W293" s="257" t="str">
        <v/>
      </c>
      <c r="X293" s="255" t="str">
        <v/>
      </c>
      <c r="Y293" s="256" t="str">
        <v/>
      </c>
      <c r="Z293" s="257" t="str">
        <v/>
      </c>
      <c r="AA293" s="255" t="str">
        <v/>
      </c>
      <c r="AB293" s="256" t="str">
        <v/>
      </c>
      <c r="AC293" s="257" t="str">
        <v/>
      </c>
      <c r="AD293" s="255" t="str">
        <v/>
      </c>
      <c r="AE293" s="256" t="str">
        <v/>
      </c>
      <c r="AF293" s="257" t="str">
        <v/>
      </c>
      <c r="AG293" s="255" t="str">
        <v/>
      </c>
      <c r="AH293" s="256" t="str">
        <v/>
      </c>
      <c r="AI293" s="257" t="str">
        <v/>
      </c>
      <c r="AJ293" s="255" t="str">
        <v/>
      </c>
      <c r="AK293" s="256" t="str">
        <v/>
      </c>
      <c r="AL293" s="257" t="str">
        <v/>
      </c>
      <c r="AM293" s="255" t="str">
        <v/>
      </c>
      <c r="AN293" s="256" t="str">
        <v/>
      </c>
      <c r="AO293" s="257" t="str">
        <v/>
      </c>
      <c r="AP293" s="255" t="str">
        <v/>
      </c>
      <c r="AQ293" s="256" t="str">
        <v/>
      </c>
      <c r="AR293" s="257" t="str">
        <v/>
      </c>
      <c r="AS293" s="255" t="str">
        <v/>
      </c>
      <c r="AT293" s="256" t="str">
        <v/>
      </c>
      <c r="AU293" s="257" t="str">
        <v/>
      </c>
      <c r="AV293" s="255" t="str">
        <v/>
      </c>
      <c r="AW293" s="256" t="str">
        <v/>
      </c>
      <c r="AX293" s="257" t="str">
        <v/>
      </c>
      <c r="AY293" s="243">
        <v>0</v>
      </c>
      <c r="AZ293" s="244">
        <v>0</v>
      </c>
      <c r="BA293" s="244">
        <v>0</v>
      </c>
      <c r="BB293" s="244">
        <v>0</v>
      </c>
      <c r="BC293" s="244">
        <v>0</v>
      </c>
      <c r="BD293" s="244">
        <v>0</v>
      </c>
      <c r="BE293" s="244">
        <v>0</v>
      </c>
      <c r="BF293" s="244">
        <v>0</v>
      </c>
      <c r="BG293" s="244">
        <v>0</v>
      </c>
      <c r="BH293" s="245">
        <v>0</v>
      </c>
      <c r="BK293">
        <v>235</v>
      </c>
      <c r="BL293" s="281"/>
      <c r="BM293" s="281"/>
      <c r="BN293" s="282"/>
      <c r="BO293" s="282"/>
      <c r="BP293" s="282"/>
      <c r="BQ293" s="283"/>
      <c r="BR293" s="284"/>
      <c r="BS293" s="147"/>
      <c r="BT293" s="285"/>
      <c r="BU293" s="288"/>
      <c r="BV293" s="287"/>
      <c r="BW293" s="288"/>
      <c r="BX293" s="286"/>
      <c r="BY293" s="287"/>
      <c r="BZ293" s="288"/>
      <c r="CA293" s="286"/>
      <c r="CB293" s="286"/>
      <c r="CC293" s="287"/>
      <c r="CD293" s="286"/>
      <c r="CE293" s="286"/>
      <c r="CF293" s="286"/>
      <c r="CG293" s="287"/>
      <c r="CH293" s="288"/>
      <c r="CI293" s="286"/>
      <c r="CJ293" s="286"/>
      <c r="CK293" s="287"/>
      <c r="CL293" s="288"/>
      <c r="CM293" s="286"/>
      <c r="CN293" s="294"/>
      <c r="CO293" s="289"/>
      <c r="CP293" s="290"/>
      <c r="CQ293" s="289"/>
      <c r="CR293" s="290"/>
      <c r="CS293" s="284"/>
      <c r="CT293" s="147"/>
      <c r="CU293" s="291"/>
      <c r="CV293" s="292"/>
    </row>
    <row r="294" spans="2:100">
      <c r="B294">
        <v>236</v>
      </c>
      <c r="C294" s="243" t="str">
        <v/>
      </c>
      <c r="D294" s="592" t="str">
        <v/>
      </c>
      <c r="E294" s="245" t="str">
        <v/>
      </c>
      <c r="F294" s="243" t="str">
        <v/>
      </c>
      <c r="G294" s="245" t="str">
        <v/>
      </c>
      <c r="H294" s="243" t="str">
        <v/>
      </c>
      <c r="I294" s="245" t="str">
        <v/>
      </c>
      <c r="J294" s="242" t="str">
        <v/>
      </c>
      <c r="K294" s="242" t="str">
        <v/>
      </c>
      <c r="L294" s="242" t="str">
        <v/>
      </c>
      <c r="M294" s="243" t="str">
        <v/>
      </c>
      <c r="N294" s="592" t="str">
        <v/>
      </c>
      <c r="O294" s="245" t="str">
        <v/>
      </c>
      <c r="P294" s="245" t="str">
        <v/>
      </c>
      <c r="Q294" s="254" t="str">
        <v/>
      </c>
      <c r="R294" s="255" t="str">
        <v/>
      </c>
      <c r="S294" s="256" t="str">
        <v/>
      </c>
      <c r="T294" s="257" t="str">
        <v/>
      </c>
      <c r="U294" s="255" t="str">
        <v/>
      </c>
      <c r="V294" s="256" t="str">
        <v/>
      </c>
      <c r="W294" s="257" t="str">
        <v/>
      </c>
      <c r="X294" s="255" t="str">
        <v/>
      </c>
      <c r="Y294" s="256" t="str">
        <v/>
      </c>
      <c r="Z294" s="257" t="str">
        <v/>
      </c>
      <c r="AA294" s="255" t="str">
        <v/>
      </c>
      <c r="AB294" s="256" t="str">
        <v/>
      </c>
      <c r="AC294" s="257" t="str">
        <v/>
      </c>
      <c r="AD294" s="255" t="str">
        <v/>
      </c>
      <c r="AE294" s="256" t="str">
        <v/>
      </c>
      <c r="AF294" s="257" t="str">
        <v/>
      </c>
      <c r="AG294" s="255" t="str">
        <v/>
      </c>
      <c r="AH294" s="256" t="str">
        <v/>
      </c>
      <c r="AI294" s="257" t="str">
        <v/>
      </c>
      <c r="AJ294" s="255" t="str">
        <v/>
      </c>
      <c r="AK294" s="256" t="str">
        <v/>
      </c>
      <c r="AL294" s="257" t="str">
        <v/>
      </c>
      <c r="AM294" s="255" t="str">
        <v/>
      </c>
      <c r="AN294" s="256" t="str">
        <v/>
      </c>
      <c r="AO294" s="257" t="str">
        <v/>
      </c>
      <c r="AP294" s="255" t="str">
        <v/>
      </c>
      <c r="AQ294" s="256" t="str">
        <v/>
      </c>
      <c r="AR294" s="257" t="str">
        <v/>
      </c>
      <c r="AS294" s="255" t="str">
        <v/>
      </c>
      <c r="AT294" s="256" t="str">
        <v/>
      </c>
      <c r="AU294" s="257" t="str">
        <v/>
      </c>
      <c r="AV294" s="255" t="str">
        <v/>
      </c>
      <c r="AW294" s="256" t="str">
        <v/>
      </c>
      <c r="AX294" s="257" t="str">
        <v/>
      </c>
      <c r="AY294" s="243">
        <v>0</v>
      </c>
      <c r="AZ294" s="244">
        <v>0</v>
      </c>
      <c r="BA294" s="244">
        <v>0</v>
      </c>
      <c r="BB294" s="244">
        <v>0</v>
      </c>
      <c r="BC294" s="244">
        <v>0</v>
      </c>
      <c r="BD294" s="244">
        <v>0</v>
      </c>
      <c r="BE294" s="244">
        <v>0</v>
      </c>
      <c r="BF294" s="244">
        <v>0</v>
      </c>
      <c r="BG294" s="244">
        <v>0</v>
      </c>
      <c r="BH294" s="245">
        <v>0</v>
      </c>
      <c r="BK294">
        <v>236</v>
      </c>
      <c r="BL294" s="281"/>
      <c r="BM294" s="281"/>
      <c r="BN294" s="282"/>
      <c r="BO294" s="282"/>
      <c r="BP294" s="282"/>
      <c r="BQ294" s="283"/>
      <c r="BR294" s="284"/>
      <c r="BS294" s="147"/>
      <c r="BT294" s="285"/>
      <c r="BU294" s="288"/>
      <c r="BV294" s="287"/>
      <c r="BW294" s="288"/>
      <c r="BX294" s="286"/>
      <c r="BY294" s="287"/>
      <c r="BZ294" s="288"/>
      <c r="CA294" s="286"/>
      <c r="CB294" s="286"/>
      <c r="CC294" s="287"/>
      <c r="CD294" s="286"/>
      <c r="CE294" s="286"/>
      <c r="CF294" s="286"/>
      <c r="CG294" s="287"/>
      <c r="CH294" s="288"/>
      <c r="CI294" s="286"/>
      <c r="CJ294" s="286"/>
      <c r="CK294" s="287"/>
      <c r="CL294" s="288"/>
      <c r="CM294" s="286"/>
      <c r="CN294" s="294"/>
      <c r="CO294" s="289"/>
      <c r="CP294" s="290"/>
      <c r="CQ294" s="289"/>
      <c r="CR294" s="290"/>
      <c r="CS294" s="284"/>
      <c r="CT294" s="147"/>
      <c r="CU294" s="291"/>
      <c r="CV294" s="292"/>
    </row>
    <row r="295" spans="2:100">
      <c r="B295">
        <v>237</v>
      </c>
      <c r="C295" s="243" t="str">
        <v/>
      </c>
      <c r="D295" s="592" t="str">
        <v/>
      </c>
      <c r="E295" s="245" t="str">
        <v/>
      </c>
      <c r="F295" s="243" t="str">
        <v/>
      </c>
      <c r="G295" s="245" t="str">
        <v/>
      </c>
      <c r="H295" s="243" t="str">
        <v/>
      </c>
      <c r="I295" s="245" t="str">
        <v/>
      </c>
      <c r="J295" s="242" t="str">
        <v/>
      </c>
      <c r="K295" s="242" t="str">
        <v/>
      </c>
      <c r="L295" s="242" t="str">
        <v/>
      </c>
      <c r="M295" s="243" t="str">
        <v/>
      </c>
      <c r="N295" s="592" t="str">
        <v/>
      </c>
      <c r="O295" s="245" t="str">
        <v/>
      </c>
      <c r="P295" s="245" t="str">
        <v/>
      </c>
      <c r="Q295" s="254" t="str">
        <v/>
      </c>
      <c r="R295" s="255" t="str">
        <v/>
      </c>
      <c r="S295" s="256" t="str">
        <v/>
      </c>
      <c r="T295" s="257" t="str">
        <v/>
      </c>
      <c r="U295" s="255" t="str">
        <v/>
      </c>
      <c r="V295" s="256" t="str">
        <v/>
      </c>
      <c r="W295" s="257" t="str">
        <v/>
      </c>
      <c r="X295" s="255" t="str">
        <v/>
      </c>
      <c r="Y295" s="256" t="str">
        <v/>
      </c>
      <c r="Z295" s="257" t="str">
        <v/>
      </c>
      <c r="AA295" s="255" t="str">
        <v/>
      </c>
      <c r="AB295" s="256" t="str">
        <v/>
      </c>
      <c r="AC295" s="257" t="str">
        <v/>
      </c>
      <c r="AD295" s="255" t="str">
        <v/>
      </c>
      <c r="AE295" s="256" t="str">
        <v/>
      </c>
      <c r="AF295" s="257" t="str">
        <v/>
      </c>
      <c r="AG295" s="255" t="str">
        <v/>
      </c>
      <c r="AH295" s="256" t="str">
        <v/>
      </c>
      <c r="AI295" s="257" t="str">
        <v/>
      </c>
      <c r="AJ295" s="255" t="str">
        <v/>
      </c>
      <c r="AK295" s="256" t="str">
        <v/>
      </c>
      <c r="AL295" s="257" t="str">
        <v/>
      </c>
      <c r="AM295" s="255" t="str">
        <v/>
      </c>
      <c r="AN295" s="256" t="str">
        <v/>
      </c>
      <c r="AO295" s="257" t="str">
        <v/>
      </c>
      <c r="AP295" s="255" t="str">
        <v/>
      </c>
      <c r="AQ295" s="256" t="str">
        <v/>
      </c>
      <c r="AR295" s="257" t="str">
        <v/>
      </c>
      <c r="AS295" s="255" t="str">
        <v/>
      </c>
      <c r="AT295" s="256" t="str">
        <v/>
      </c>
      <c r="AU295" s="257" t="str">
        <v/>
      </c>
      <c r="AV295" s="255" t="str">
        <v/>
      </c>
      <c r="AW295" s="256" t="str">
        <v/>
      </c>
      <c r="AX295" s="257" t="str">
        <v/>
      </c>
      <c r="AY295" s="243">
        <v>0</v>
      </c>
      <c r="AZ295" s="244">
        <v>0</v>
      </c>
      <c r="BA295" s="244">
        <v>0</v>
      </c>
      <c r="BB295" s="244">
        <v>0</v>
      </c>
      <c r="BC295" s="244">
        <v>0</v>
      </c>
      <c r="BD295" s="244">
        <v>0</v>
      </c>
      <c r="BE295" s="244">
        <v>0</v>
      </c>
      <c r="BF295" s="244">
        <v>0</v>
      </c>
      <c r="BG295" s="244">
        <v>0</v>
      </c>
      <c r="BH295" s="245">
        <v>0</v>
      </c>
      <c r="BK295">
        <v>237</v>
      </c>
      <c r="BL295" s="281"/>
      <c r="BM295" s="281"/>
      <c r="BN295" s="282"/>
      <c r="BO295" s="282"/>
      <c r="BP295" s="282"/>
      <c r="BQ295" s="283"/>
      <c r="BR295" s="284"/>
      <c r="BS295" s="147"/>
      <c r="BT295" s="285"/>
      <c r="BU295" s="288"/>
      <c r="BV295" s="287"/>
      <c r="BW295" s="288"/>
      <c r="BX295" s="286"/>
      <c r="BY295" s="287"/>
      <c r="BZ295" s="288"/>
      <c r="CA295" s="286"/>
      <c r="CB295" s="286"/>
      <c r="CC295" s="287"/>
      <c r="CD295" s="286"/>
      <c r="CE295" s="286"/>
      <c r="CF295" s="286"/>
      <c r="CG295" s="287"/>
      <c r="CH295" s="288"/>
      <c r="CI295" s="286"/>
      <c r="CJ295" s="286"/>
      <c r="CK295" s="287"/>
      <c r="CL295" s="288"/>
      <c r="CM295" s="286"/>
      <c r="CN295" s="294"/>
      <c r="CO295" s="289"/>
      <c r="CP295" s="290"/>
      <c r="CQ295" s="289"/>
      <c r="CR295" s="290"/>
      <c r="CS295" s="284"/>
      <c r="CT295" s="147"/>
      <c r="CU295" s="291"/>
      <c r="CV295" s="292"/>
    </row>
    <row r="296" spans="2:100">
      <c r="B296">
        <v>238</v>
      </c>
      <c r="C296" s="243" t="str">
        <v/>
      </c>
      <c r="D296" s="592" t="str">
        <v/>
      </c>
      <c r="E296" s="245" t="str">
        <v/>
      </c>
      <c r="F296" s="243" t="str">
        <v/>
      </c>
      <c r="G296" s="245" t="str">
        <v/>
      </c>
      <c r="H296" s="243" t="str">
        <v/>
      </c>
      <c r="I296" s="245" t="str">
        <v/>
      </c>
      <c r="J296" s="242" t="str">
        <v/>
      </c>
      <c r="K296" s="242" t="str">
        <v/>
      </c>
      <c r="L296" s="242" t="str">
        <v/>
      </c>
      <c r="M296" s="243" t="str">
        <v/>
      </c>
      <c r="N296" s="592" t="str">
        <v/>
      </c>
      <c r="O296" s="245" t="str">
        <v/>
      </c>
      <c r="P296" s="245" t="str">
        <v/>
      </c>
      <c r="Q296" s="254" t="str">
        <v/>
      </c>
      <c r="R296" s="255" t="str">
        <v/>
      </c>
      <c r="S296" s="256" t="str">
        <v/>
      </c>
      <c r="T296" s="257" t="str">
        <v/>
      </c>
      <c r="U296" s="255" t="str">
        <v/>
      </c>
      <c r="V296" s="256" t="str">
        <v/>
      </c>
      <c r="W296" s="257" t="str">
        <v/>
      </c>
      <c r="X296" s="255" t="str">
        <v/>
      </c>
      <c r="Y296" s="256" t="str">
        <v/>
      </c>
      <c r="Z296" s="257" t="str">
        <v/>
      </c>
      <c r="AA296" s="255" t="str">
        <v/>
      </c>
      <c r="AB296" s="256" t="str">
        <v/>
      </c>
      <c r="AC296" s="257" t="str">
        <v/>
      </c>
      <c r="AD296" s="255" t="str">
        <v/>
      </c>
      <c r="AE296" s="256" t="str">
        <v/>
      </c>
      <c r="AF296" s="257" t="str">
        <v/>
      </c>
      <c r="AG296" s="255" t="str">
        <v/>
      </c>
      <c r="AH296" s="256" t="str">
        <v/>
      </c>
      <c r="AI296" s="257" t="str">
        <v/>
      </c>
      <c r="AJ296" s="255" t="str">
        <v/>
      </c>
      <c r="AK296" s="256" t="str">
        <v/>
      </c>
      <c r="AL296" s="257" t="str">
        <v/>
      </c>
      <c r="AM296" s="255" t="str">
        <v/>
      </c>
      <c r="AN296" s="256" t="str">
        <v/>
      </c>
      <c r="AO296" s="257" t="str">
        <v/>
      </c>
      <c r="AP296" s="255" t="str">
        <v/>
      </c>
      <c r="AQ296" s="256" t="str">
        <v/>
      </c>
      <c r="AR296" s="257" t="str">
        <v/>
      </c>
      <c r="AS296" s="255" t="str">
        <v/>
      </c>
      <c r="AT296" s="256" t="str">
        <v/>
      </c>
      <c r="AU296" s="257" t="str">
        <v/>
      </c>
      <c r="AV296" s="255" t="str">
        <v/>
      </c>
      <c r="AW296" s="256" t="str">
        <v/>
      </c>
      <c r="AX296" s="257" t="str">
        <v/>
      </c>
      <c r="AY296" s="243">
        <v>0</v>
      </c>
      <c r="AZ296" s="244">
        <v>0</v>
      </c>
      <c r="BA296" s="244">
        <v>0</v>
      </c>
      <c r="BB296" s="244">
        <v>0</v>
      </c>
      <c r="BC296" s="244">
        <v>0</v>
      </c>
      <c r="BD296" s="244">
        <v>0</v>
      </c>
      <c r="BE296" s="244">
        <v>0</v>
      </c>
      <c r="BF296" s="244">
        <v>0</v>
      </c>
      <c r="BG296" s="244">
        <v>0</v>
      </c>
      <c r="BH296" s="245">
        <v>0</v>
      </c>
      <c r="BK296">
        <v>238</v>
      </c>
      <c r="BL296" s="281"/>
      <c r="BM296" s="281"/>
      <c r="BN296" s="282"/>
      <c r="BO296" s="282"/>
      <c r="BP296" s="282"/>
      <c r="BQ296" s="283"/>
      <c r="BR296" s="284"/>
      <c r="BS296" s="147"/>
      <c r="BT296" s="285"/>
      <c r="BU296" s="288"/>
      <c r="BV296" s="287"/>
      <c r="BW296" s="288"/>
      <c r="BX296" s="286"/>
      <c r="BY296" s="287"/>
      <c r="BZ296" s="288"/>
      <c r="CA296" s="286"/>
      <c r="CB296" s="286"/>
      <c r="CC296" s="287"/>
      <c r="CD296" s="286"/>
      <c r="CE296" s="286"/>
      <c r="CF296" s="286"/>
      <c r="CG296" s="287"/>
      <c r="CH296" s="288"/>
      <c r="CI296" s="286"/>
      <c r="CJ296" s="286"/>
      <c r="CK296" s="287"/>
      <c r="CL296" s="288"/>
      <c r="CM296" s="286"/>
      <c r="CN296" s="294"/>
      <c r="CO296" s="289"/>
      <c r="CP296" s="290"/>
      <c r="CQ296" s="289"/>
      <c r="CR296" s="290"/>
      <c r="CS296" s="284"/>
      <c r="CT296" s="147"/>
      <c r="CU296" s="291"/>
      <c r="CV296" s="292"/>
    </row>
    <row r="297" spans="2:100">
      <c r="B297">
        <v>239</v>
      </c>
      <c r="C297" s="243" t="str">
        <v/>
      </c>
      <c r="D297" s="592" t="str">
        <v/>
      </c>
      <c r="E297" s="245" t="str">
        <v/>
      </c>
      <c r="F297" s="243" t="str">
        <v/>
      </c>
      <c r="G297" s="245" t="str">
        <v/>
      </c>
      <c r="H297" s="243" t="str">
        <v/>
      </c>
      <c r="I297" s="245" t="str">
        <v/>
      </c>
      <c r="J297" s="242" t="str">
        <v/>
      </c>
      <c r="K297" s="242" t="str">
        <v/>
      </c>
      <c r="L297" s="242" t="str">
        <v/>
      </c>
      <c r="M297" s="243" t="str">
        <v/>
      </c>
      <c r="N297" s="592" t="str">
        <v/>
      </c>
      <c r="O297" s="245" t="str">
        <v/>
      </c>
      <c r="P297" s="245" t="str">
        <v/>
      </c>
      <c r="Q297" s="254" t="str">
        <v/>
      </c>
      <c r="R297" s="255" t="str">
        <v/>
      </c>
      <c r="S297" s="256" t="str">
        <v/>
      </c>
      <c r="T297" s="257" t="str">
        <v/>
      </c>
      <c r="U297" s="255" t="str">
        <v/>
      </c>
      <c r="V297" s="256" t="str">
        <v/>
      </c>
      <c r="W297" s="257" t="str">
        <v/>
      </c>
      <c r="X297" s="255" t="str">
        <v/>
      </c>
      <c r="Y297" s="256" t="str">
        <v/>
      </c>
      <c r="Z297" s="257" t="str">
        <v/>
      </c>
      <c r="AA297" s="255" t="str">
        <v/>
      </c>
      <c r="AB297" s="256" t="str">
        <v/>
      </c>
      <c r="AC297" s="257" t="str">
        <v/>
      </c>
      <c r="AD297" s="255" t="str">
        <v/>
      </c>
      <c r="AE297" s="256" t="str">
        <v/>
      </c>
      <c r="AF297" s="257" t="str">
        <v/>
      </c>
      <c r="AG297" s="255" t="str">
        <v/>
      </c>
      <c r="AH297" s="256" t="str">
        <v/>
      </c>
      <c r="AI297" s="257" t="str">
        <v/>
      </c>
      <c r="AJ297" s="255" t="str">
        <v/>
      </c>
      <c r="AK297" s="256" t="str">
        <v/>
      </c>
      <c r="AL297" s="257" t="str">
        <v/>
      </c>
      <c r="AM297" s="255" t="str">
        <v/>
      </c>
      <c r="AN297" s="256" t="str">
        <v/>
      </c>
      <c r="AO297" s="257" t="str">
        <v/>
      </c>
      <c r="AP297" s="255" t="str">
        <v/>
      </c>
      <c r="AQ297" s="256" t="str">
        <v/>
      </c>
      <c r="AR297" s="257" t="str">
        <v/>
      </c>
      <c r="AS297" s="255" t="str">
        <v/>
      </c>
      <c r="AT297" s="256" t="str">
        <v/>
      </c>
      <c r="AU297" s="257" t="str">
        <v/>
      </c>
      <c r="AV297" s="255" t="str">
        <v/>
      </c>
      <c r="AW297" s="256" t="str">
        <v/>
      </c>
      <c r="AX297" s="257" t="str">
        <v/>
      </c>
      <c r="AY297" s="243">
        <v>0</v>
      </c>
      <c r="AZ297" s="244">
        <v>0</v>
      </c>
      <c r="BA297" s="244">
        <v>0</v>
      </c>
      <c r="BB297" s="244">
        <v>0</v>
      </c>
      <c r="BC297" s="244">
        <v>0</v>
      </c>
      <c r="BD297" s="244">
        <v>0</v>
      </c>
      <c r="BE297" s="244">
        <v>0</v>
      </c>
      <c r="BF297" s="244">
        <v>0</v>
      </c>
      <c r="BG297" s="244">
        <v>0</v>
      </c>
      <c r="BH297" s="245">
        <v>0</v>
      </c>
      <c r="BK297">
        <v>239</v>
      </c>
      <c r="BL297" s="281"/>
      <c r="BM297" s="281"/>
      <c r="BN297" s="282"/>
      <c r="BO297" s="282"/>
      <c r="BP297" s="282"/>
      <c r="BQ297" s="283"/>
      <c r="BR297" s="284"/>
      <c r="BS297" s="147"/>
      <c r="BT297" s="285"/>
      <c r="BU297" s="288"/>
      <c r="BV297" s="287"/>
      <c r="BW297" s="288"/>
      <c r="BX297" s="286"/>
      <c r="BY297" s="287"/>
      <c r="BZ297" s="288"/>
      <c r="CA297" s="286"/>
      <c r="CB297" s="286"/>
      <c r="CC297" s="287"/>
      <c r="CD297" s="286"/>
      <c r="CE297" s="286"/>
      <c r="CF297" s="286"/>
      <c r="CG297" s="287"/>
      <c r="CH297" s="288"/>
      <c r="CI297" s="286"/>
      <c r="CJ297" s="286"/>
      <c r="CK297" s="287"/>
      <c r="CL297" s="288"/>
      <c r="CM297" s="286"/>
      <c r="CN297" s="294"/>
      <c r="CO297" s="289"/>
      <c r="CP297" s="290"/>
      <c r="CQ297" s="289"/>
      <c r="CR297" s="290"/>
      <c r="CS297" s="284"/>
      <c r="CT297" s="147"/>
      <c r="CU297" s="291"/>
      <c r="CV297" s="292"/>
    </row>
    <row r="298" spans="2:100">
      <c r="B298">
        <v>240</v>
      </c>
      <c r="C298" s="243" t="str">
        <v/>
      </c>
      <c r="D298" s="592" t="str">
        <v/>
      </c>
      <c r="E298" s="245" t="str">
        <v/>
      </c>
      <c r="F298" s="243" t="str">
        <v/>
      </c>
      <c r="G298" s="245" t="str">
        <v/>
      </c>
      <c r="H298" s="243" t="str">
        <v/>
      </c>
      <c r="I298" s="245" t="str">
        <v/>
      </c>
      <c r="J298" s="242" t="str">
        <v/>
      </c>
      <c r="K298" s="242" t="str">
        <v/>
      </c>
      <c r="L298" s="242" t="str">
        <v/>
      </c>
      <c r="M298" s="243" t="str">
        <v/>
      </c>
      <c r="N298" s="592" t="str">
        <v/>
      </c>
      <c r="O298" s="245" t="str">
        <v/>
      </c>
      <c r="P298" s="245" t="str">
        <v/>
      </c>
      <c r="Q298" s="254" t="str">
        <v/>
      </c>
      <c r="R298" s="255" t="str">
        <v/>
      </c>
      <c r="S298" s="256" t="str">
        <v/>
      </c>
      <c r="T298" s="257" t="str">
        <v/>
      </c>
      <c r="U298" s="255" t="str">
        <v/>
      </c>
      <c r="V298" s="256" t="str">
        <v/>
      </c>
      <c r="W298" s="257" t="str">
        <v/>
      </c>
      <c r="X298" s="255" t="str">
        <v/>
      </c>
      <c r="Y298" s="256" t="str">
        <v/>
      </c>
      <c r="Z298" s="257" t="str">
        <v/>
      </c>
      <c r="AA298" s="255" t="str">
        <v/>
      </c>
      <c r="AB298" s="256" t="str">
        <v/>
      </c>
      <c r="AC298" s="257" t="str">
        <v/>
      </c>
      <c r="AD298" s="255" t="str">
        <v/>
      </c>
      <c r="AE298" s="256" t="str">
        <v/>
      </c>
      <c r="AF298" s="257" t="str">
        <v/>
      </c>
      <c r="AG298" s="255" t="str">
        <v/>
      </c>
      <c r="AH298" s="256" t="str">
        <v/>
      </c>
      <c r="AI298" s="257" t="str">
        <v/>
      </c>
      <c r="AJ298" s="255" t="str">
        <v/>
      </c>
      <c r="AK298" s="256" t="str">
        <v/>
      </c>
      <c r="AL298" s="257" t="str">
        <v/>
      </c>
      <c r="AM298" s="255" t="str">
        <v/>
      </c>
      <c r="AN298" s="256" t="str">
        <v/>
      </c>
      <c r="AO298" s="257" t="str">
        <v/>
      </c>
      <c r="AP298" s="255" t="str">
        <v/>
      </c>
      <c r="AQ298" s="256" t="str">
        <v/>
      </c>
      <c r="AR298" s="257" t="str">
        <v/>
      </c>
      <c r="AS298" s="255" t="str">
        <v/>
      </c>
      <c r="AT298" s="256" t="str">
        <v/>
      </c>
      <c r="AU298" s="257" t="str">
        <v/>
      </c>
      <c r="AV298" s="255" t="str">
        <v/>
      </c>
      <c r="AW298" s="256" t="str">
        <v/>
      </c>
      <c r="AX298" s="257" t="str">
        <v/>
      </c>
      <c r="AY298" s="243">
        <v>0</v>
      </c>
      <c r="AZ298" s="244">
        <v>0</v>
      </c>
      <c r="BA298" s="244">
        <v>0</v>
      </c>
      <c r="BB298" s="244">
        <v>0</v>
      </c>
      <c r="BC298" s="244">
        <v>0</v>
      </c>
      <c r="BD298" s="244">
        <v>0</v>
      </c>
      <c r="BE298" s="244">
        <v>0</v>
      </c>
      <c r="BF298" s="244">
        <v>0</v>
      </c>
      <c r="BG298" s="244">
        <v>0</v>
      </c>
      <c r="BH298" s="245">
        <v>0</v>
      </c>
      <c r="BK298">
        <v>240</v>
      </c>
      <c r="BL298" s="281"/>
      <c r="BM298" s="281"/>
      <c r="BN298" s="282"/>
      <c r="BO298" s="282"/>
      <c r="BP298" s="282"/>
      <c r="BQ298" s="283"/>
      <c r="BR298" s="284"/>
      <c r="BS298" s="147"/>
      <c r="BT298" s="285"/>
      <c r="BU298" s="288"/>
      <c r="BV298" s="287"/>
      <c r="BW298" s="288"/>
      <c r="BX298" s="286"/>
      <c r="BY298" s="287"/>
      <c r="BZ298" s="288"/>
      <c r="CA298" s="286"/>
      <c r="CB298" s="286"/>
      <c r="CC298" s="287"/>
      <c r="CD298" s="286"/>
      <c r="CE298" s="286"/>
      <c r="CF298" s="286"/>
      <c r="CG298" s="287"/>
      <c r="CH298" s="288"/>
      <c r="CI298" s="286"/>
      <c r="CJ298" s="286"/>
      <c r="CK298" s="287"/>
      <c r="CL298" s="288"/>
      <c r="CM298" s="286"/>
      <c r="CN298" s="294"/>
      <c r="CO298" s="289"/>
      <c r="CP298" s="290"/>
      <c r="CQ298" s="289"/>
      <c r="CR298" s="290"/>
      <c r="CS298" s="284"/>
      <c r="CT298" s="147"/>
      <c r="CU298" s="291"/>
      <c r="CV298" s="292"/>
    </row>
    <row r="299" spans="2:100">
      <c r="B299">
        <v>241</v>
      </c>
      <c r="C299" s="243" t="str">
        <v/>
      </c>
      <c r="D299" s="592" t="str">
        <v/>
      </c>
      <c r="E299" s="245" t="str">
        <v/>
      </c>
      <c r="F299" s="243" t="str">
        <v/>
      </c>
      <c r="G299" s="245" t="str">
        <v/>
      </c>
      <c r="H299" s="243" t="str">
        <v/>
      </c>
      <c r="I299" s="245" t="str">
        <v/>
      </c>
      <c r="J299" s="242" t="str">
        <v/>
      </c>
      <c r="K299" s="242" t="str">
        <v/>
      </c>
      <c r="L299" s="242" t="str">
        <v/>
      </c>
      <c r="M299" s="243" t="str">
        <v/>
      </c>
      <c r="N299" s="592" t="str">
        <v/>
      </c>
      <c r="O299" s="245" t="str">
        <v/>
      </c>
      <c r="P299" s="245" t="str">
        <v/>
      </c>
      <c r="Q299" s="254" t="str">
        <v/>
      </c>
      <c r="R299" s="255" t="str">
        <v/>
      </c>
      <c r="S299" s="256" t="str">
        <v/>
      </c>
      <c r="T299" s="257" t="str">
        <v/>
      </c>
      <c r="U299" s="255" t="str">
        <v/>
      </c>
      <c r="V299" s="256" t="str">
        <v/>
      </c>
      <c r="W299" s="257" t="str">
        <v/>
      </c>
      <c r="X299" s="255" t="str">
        <v/>
      </c>
      <c r="Y299" s="256" t="str">
        <v/>
      </c>
      <c r="Z299" s="257" t="str">
        <v/>
      </c>
      <c r="AA299" s="255" t="str">
        <v/>
      </c>
      <c r="AB299" s="256" t="str">
        <v/>
      </c>
      <c r="AC299" s="257" t="str">
        <v/>
      </c>
      <c r="AD299" s="255" t="str">
        <v/>
      </c>
      <c r="AE299" s="256" t="str">
        <v/>
      </c>
      <c r="AF299" s="257" t="str">
        <v/>
      </c>
      <c r="AG299" s="255" t="str">
        <v/>
      </c>
      <c r="AH299" s="256" t="str">
        <v/>
      </c>
      <c r="AI299" s="257" t="str">
        <v/>
      </c>
      <c r="AJ299" s="255" t="str">
        <v/>
      </c>
      <c r="AK299" s="256" t="str">
        <v/>
      </c>
      <c r="AL299" s="257" t="str">
        <v/>
      </c>
      <c r="AM299" s="255" t="str">
        <v/>
      </c>
      <c r="AN299" s="256" t="str">
        <v/>
      </c>
      <c r="AO299" s="257" t="str">
        <v/>
      </c>
      <c r="AP299" s="255" t="str">
        <v/>
      </c>
      <c r="AQ299" s="256" t="str">
        <v/>
      </c>
      <c r="AR299" s="257" t="str">
        <v/>
      </c>
      <c r="AS299" s="255" t="str">
        <v/>
      </c>
      <c r="AT299" s="256" t="str">
        <v/>
      </c>
      <c r="AU299" s="257" t="str">
        <v/>
      </c>
      <c r="AV299" s="255" t="str">
        <v/>
      </c>
      <c r="AW299" s="256" t="str">
        <v/>
      </c>
      <c r="AX299" s="257" t="str">
        <v/>
      </c>
      <c r="AY299" s="243">
        <v>0</v>
      </c>
      <c r="AZ299" s="244">
        <v>0</v>
      </c>
      <c r="BA299" s="244">
        <v>0</v>
      </c>
      <c r="BB299" s="244">
        <v>0</v>
      </c>
      <c r="BC299" s="244">
        <v>0</v>
      </c>
      <c r="BD299" s="244">
        <v>0</v>
      </c>
      <c r="BE299" s="244">
        <v>0</v>
      </c>
      <c r="BF299" s="244">
        <v>0</v>
      </c>
      <c r="BG299" s="244">
        <v>0</v>
      </c>
      <c r="BH299" s="245">
        <v>0</v>
      </c>
      <c r="BK299">
        <v>241</v>
      </c>
      <c r="BL299" s="281"/>
      <c r="BM299" s="281"/>
      <c r="BN299" s="282"/>
      <c r="BO299" s="282"/>
      <c r="BP299" s="282"/>
      <c r="BQ299" s="283"/>
      <c r="BR299" s="284"/>
      <c r="BS299" s="147"/>
      <c r="BT299" s="285"/>
      <c r="BU299" s="288"/>
      <c r="BV299" s="287"/>
      <c r="BW299" s="288"/>
      <c r="BX299" s="286"/>
      <c r="BY299" s="287"/>
      <c r="BZ299" s="288"/>
      <c r="CA299" s="286"/>
      <c r="CB299" s="286"/>
      <c r="CC299" s="287"/>
      <c r="CD299" s="286"/>
      <c r="CE299" s="286"/>
      <c r="CF299" s="286"/>
      <c r="CG299" s="287"/>
      <c r="CH299" s="288"/>
      <c r="CI299" s="286"/>
      <c r="CJ299" s="286"/>
      <c r="CK299" s="287"/>
      <c r="CL299" s="288"/>
      <c r="CM299" s="286"/>
      <c r="CN299" s="294"/>
      <c r="CO299" s="289"/>
      <c r="CP299" s="290"/>
      <c r="CQ299" s="289"/>
      <c r="CR299" s="290"/>
      <c r="CS299" s="284"/>
      <c r="CT299" s="147"/>
      <c r="CU299" s="291"/>
      <c r="CV299" s="292"/>
    </row>
    <row r="300" spans="2:100">
      <c r="B300">
        <v>242</v>
      </c>
      <c r="C300" s="243" t="str">
        <v/>
      </c>
      <c r="D300" s="592" t="str">
        <v/>
      </c>
      <c r="E300" s="245" t="str">
        <v/>
      </c>
      <c r="F300" s="243" t="str">
        <v/>
      </c>
      <c r="G300" s="245" t="str">
        <v/>
      </c>
      <c r="H300" s="243" t="str">
        <v/>
      </c>
      <c r="I300" s="245" t="str">
        <v/>
      </c>
      <c r="J300" s="242" t="str">
        <v/>
      </c>
      <c r="K300" s="242" t="str">
        <v/>
      </c>
      <c r="L300" s="242" t="str">
        <v/>
      </c>
      <c r="M300" s="243" t="str">
        <v/>
      </c>
      <c r="N300" s="592" t="str">
        <v/>
      </c>
      <c r="O300" s="245" t="str">
        <v/>
      </c>
      <c r="P300" s="245" t="str">
        <v/>
      </c>
      <c r="Q300" s="254" t="str">
        <v/>
      </c>
      <c r="R300" s="255" t="str">
        <v/>
      </c>
      <c r="S300" s="256" t="str">
        <v/>
      </c>
      <c r="T300" s="257" t="str">
        <v/>
      </c>
      <c r="U300" s="255" t="str">
        <v/>
      </c>
      <c r="V300" s="256" t="str">
        <v/>
      </c>
      <c r="W300" s="257" t="str">
        <v/>
      </c>
      <c r="X300" s="255" t="str">
        <v/>
      </c>
      <c r="Y300" s="256" t="str">
        <v/>
      </c>
      <c r="Z300" s="257" t="str">
        <v/>
      </c>
      <c r="AA300" s="255" t="str">
        <v/>
      </c>
      <c r="AB300" s="256" t="str">
        <v/>
      </c>
      <c r="AC300" s="257" t="str">
        <v/>
      </c>
      <c r="AD300" s="255" t="str">
        <v/>
      </c>
      <c r="AE300" s="256" t="str">
        <v/>
      </c>
      <c r="AF300" s="257" t="str">
        <v/>
      </c>
      <c r="AG300" s="255" t="str">
        <v/>
      </c>
      <c r="AH300" s="256" t="str">
        <v/>
      </c>
      <c r="AI300" s="257" t="str">
        <v/>
      </c>
      <c r="AJ300" s="255" t="str">
        <v/>
      </c>
      <c r="AK300" s="256" t="str">
        <v/>
      </c>
      <c r="AL300" s="257" t="str">
        <v/>
      </c>
      <c r="AM300" s="255" t="str">
        <v/>
      </c>
      <c r="AN300" s="256" t="str">
        <v/>
      </c>
      <c r="AO300" s="257" t="str">
        <v/>
      </c>
      <c r="AP300" s="255" t="str">
        <v/>
      </c>
      <c r="AQ300" s="256" t="str">
        <v/>
      </c>
      <c r="AR300" s="257" t="str">
        <v/>
      </c>
      <c r="AS300" s="255" t="str">
        <v/>
      </c>
      <c r="AT300" s="256" t="str">
        <v/>
      </c>
      <c r="AU300" s="257" t="str">
        <v/>
      </c>
      <c r="AV300" s="255" t="str">
        <v/>
      </c>
      <c r="AW300" s="256" t="str">
        <v/>
      </c>
      <c r="AX300" s="257" t="str">
        <v/>
      </c>
      <c r="AY300" s="243">
        <v>0</v>
      </c>
      <c r="AZ300" s="244">
        <v>0</v>
      </c>
      <c r="BA300" s="244">
        <v>0</v>
      </c>
      <c r="BB300" s="244">
        <v>0</v>
      </c>
      <c r="BC300" s="244">
        <v>0</v>
      </c>
      <c r="BD300" s="244">
        <v>0</v>
      </c>
      <c r="BE300" s="244">
        <v>0</v>
      </c>
      <c r="BF300" s="244">
        <v>0</v>
      </c>
      <c r="BG300" s="244">
        <v>0</v>
      </c>
      <c r="BH300" s="245">
        <v>0</v>
      </c>
      <c r="BK300">
        <v>242</v>
      </c>
      <c r="BL300" s="281"/>
      <c r="BM300" s="281"/>
      <c r="BN300" s="282"/>
      <c r="BO300" s="282"/>
      <c r="BP300" s="282"/>
      <c r="BQ300" s="283"/>
      <c r="BR300" s="284"/>
      <c r="BS300" s="147"/>
      <c r="BT300" s="285"/>
      <c r="BU300" s="288"/>
      <c r="BV300" s="287"/>
      <c r="BW300" s="288"/>
      <c r="BX300" s="286"/>
      <c r="BY300" s="287"/>
      <c r="BZ300" s="288"/>
      <c r="CA300" s="286"/>
      <c r="CB300" s="286"/>
      <c r="CC300" s="287"/>
      <c r="CD300" s="286"/>
      <c r="CE300" s="286"/>
      <c r="CF300" s="286"/>
      <c r="CG300" s="287"/>
      <c r="CH300" s="288"/>
      <c r="CI300" s="286"/>
      <c r="CJ300" s="286"/>
      <c r="CK300" s="287"/>
      <c r="CL300" s="288"/>
      <c r="CM300" s="286"/>
      <c r="CN300" s="294"/>
      <c r="CO300" s="289"/>
      <c r="CP300" s="290"/>
      <c r="CQ300" s="289"/>
      <c r="CR300" s="290"/>
      <c r="CS300" s="284"/>
      <c r="CT300" s="147"/>
      <c r="CU300" s="291"/>
      <c r="CV300" s="292"/>
    </row>
    <row r="301" spans="2:100">
      <c r="B301">
        <v>243</v>
      </c>
      <c r="C301" s="243" t="str">
        <v/>
      </c>
      <c r="D301" s="592" t="str">
        <v/>
      </c>
      <c r="E301" s="245" t="str">
        <v/>
      </c>
      <c r="F301" s="243" t="str">
        <v/>
      </c>
      <c r="G301" s="245" t="str">
        <v/>
      </c>
      <c r="H301" s="243" t="str">
        <v/>
      </c>
      <c r="I301" s="245" t="str">
        <v/>
      </c>
      <c r="J301" s="242" t="str">
        <v/>
      </c>
      <c r="K301" s="242" t="str">
        <v/>
      </c>
      <c r="L301" s="242" t="str">
        <v/>
      </c>
      <c r="M301" s="243" t="str">
        <v/>
      </c>
      <c r="N301" s="592" t="str">
        <v/>
      </c>
      <c r="O301" s="245" t="str">
        <v/>
      </c>
      <c r="P301" s="245" t="str">
        <v/>
      </c>
      <c r="Q301" s="254" t="str">
        <v/>
      </c>
      <c r="R301" s="255" t="str">
        <v/>
      </c>
      <c r="S301" s="256" t="str">
        <v/>
      </c>
      <c r="T301" s="257" t="str">
        <v/>
      </c>
      <c r="U301" s="255" t="str">
        <v/>
      </c>
      <c r="V301" s="256" t="str">
        <v/>
      </c>
      <c r="W301" s="257" t="str">
        <v/>
      </c>
      <c r="X301" s="255" t="str">
        <v/>
      </c>
      <c r="Y301" s="256" t="str">
        <v/>
      </c>
      <c r="Z301" s="257" t="str">
        <v/>
      </c>
      <c r="AA301" s="255" t="str">
        <v/>
      </c>
      <c r="AB301" s="256" t="str">
        <v/>
      </c>
      <c r="AC301" s="257" t="str">
        <v/>
      </c>
      <c r="AD301" s="255" t="str">
        <v/>
      </c>
      <c r="AE301" s="256" t="str">
        <v/>
      </c>
      <c r="AF301" s="257" t="str">
        <v/>
      </c>
      <c r="AG301" s="255" t="str">
        <v/>
      </c>
      <c r="AH301" s="256" t="str">
        <v/>
      </c>
      <c r="AI301" s="257" t="str">
        <v/>
      </c>
      <c r="AJ301" s="255" t="str">
        <v/>
      </c>
      <c r="AK301" s="256" t="str">
        <v/>
      </c>
      <c r="AL301" s="257" t="str">
        <v/>
      </c>
      <c r="AM301" s="255" t="str">
        <v/>
      </c>
      <c r="AN301" s="256" t="str">
        <v/>
      </c>
      <c r="AO301" s="257" t="str">
        <v/>
      </c>
      <c r="AP301" s="255" t="str">
        <v/>
      </c>
      <c r="AQ301" s="256" t="str">
        <v/>
      </c>
      <c r="AR301" s="257" t="str">
        <v/>
      </c>
      <c r="AS301" s="255" t="str">
        <v/>
      </c>
      <c r="AT301" s="256" t="str">
        <v/>
      </c>
      <c r="AU301" s="257" t="str">
        <v/>
      </c>
      <c r="AV301" s="255" t="str">
        <v/>
      </c>
      <c r="AW301" s="256" t="str">
        <v/>
      </c>
      <c r="AX301" s="257" t="str">
        <v/>
      </c>
      <c r="AY301" s="243">
        <v>0</v>
      </c>
      <c r="AZ301" s="244">
        <v>0</v>
      </c>
      <c r="BA301" s="244">
        <v>0</v>
      </c>
      <c r="BB301" s="244">
        <v>0</v>
      </c>
      <c r="BC301" s="244">
        <v>0</v>
      </c>
      <c r="BD301" s="244">
        <v>0</v>
      </c>
      <c r="BE301" s="244">
        <v>0</v>
      </c>
      <c r="BF301" s="244">
        <v>0</v>
      </c>
      <c r="BG301" s="244">
        <v>0</v>
      </c>
      <c r="BH301" s="245">
        <v>0</v>
      </c>
      <c r="BK301">
        <v>243</v>
      </c>
      <c r="BL301" s="281"/>
      <c r="BM301" s="281"/>
      <c r="BN301" s="282"/>
      <c r="BO301" s="282"/>
      <c r="BP301" s="282"/>
      <c r="BQ301" s="283"/>
      <c r="BR301" s="284"/>
      <c r="BS301" s="147"/>
      <c r="BT301" s="285"/>
      <c r="BU301" s="288"/>
      <c r="BV301" s="287"/>
      <c r="BW301" s="288"/>
      <c r="BX301" s="286"/>
      <c r="BY301" s="287"/>
      <c r="BZ301" s="288"/>
      <c r="CA301" s="286"/>
      <c r="CB301" s="286"/>
      <c r="CC301" s="287"/>
      <c r="CD301" s="286"/>
      <c r="CE301" s="286"/>
      <c r="CF301" s="286"/>
      <c r="CG301" s="287"/>
      <c r="CH301" s="288"/>
      <c r="CI301" s="286"/>
      <c r="CJ301" s="286"/>
      <c r="CK301" s="287"/>
      <c r="CL301" s="288"/>
      <c r="CM301" s="286"/>
      <c r="CN301" s="294"/>
      <c r="CO301" s="289"/>
      <c r="CP301" s="290"/>
      <c r="CQ301" s="289"/>
      <c r="CR301" s="290"/>
      <c r="CS301" s="284"/>
      <c r="CT301" s="147"/>
      <c r="CU301" s="291"/>
      <c r="CV301" s="292"/>
    </row>
    <row r="302" spans="2:100">
      <c r="B302">
        <v>244</v>
      </c>
      <c r="C302" s="243" t="str">
        <v/>
      </c>
      <c r="D302" s="592" t="str">
        <v/>
      </c>
      <c r="E302" s="245" t="str">
        <v/>
      </c>
      <c r="F302" s="243" t="str">
        <v/>
      </c>
      <c r="G302" s="245" t="str">
        <v/>
      </c>
      <c r="H302" s="243" t="str">
        <v/>
      </c>
      <c r="I302" s="245" t="str">
        <v/>
      </c>
      <c r="J302" s="242" t="str">
        <v/>
      </c>
      <c r="K302" s="242" t="str">
        <v/>
      </c>
      <c r="L302" s="242" t="str">
        <v/>
      </c>
      <c r="M302" s="243" t="str">
        <v/>
      </c>
      <c r="N302" s="592" t="str">
        <v/>
      </c>
      <c r="O302" s="245" t="str">
        <v/>
      </c>
      <c r="P302" s="245" t="str">
        <v/>
      </c>
      <c r="Q302" s="254" t="str">
        <v/>
      </c>
      <c r="R302" s="255" t="str">
        <v/>
      </c>
      <c r="S302" s="256" t="str">
        <v/>
      </c>
      <c r="T302" s="257" t="str">
        <v/>
      </c>
      <c r="U302" s="255" t="str">
        <v/>
      </c>
      <c r="V302" s="256" t="str">
        <v/>
      </c>
      <c r="W302" s="257" t="str">
        <v/>
      </c>
      <c r="X302" s="255" t="str">
        <v/>
      </c>
      <c r="Y302" s="256" t="str">
        <v/>
      </c>
      <c r="Z302" s="257" t="str">
        <v/>
      </c>
      <c r="AA302" s="255" t="str">
        <v/>
      </c>
      <c r="AB302" s="256" t="str">
        <v/>
      </c>
      <c r="AC302" s="257" t="str">
        <v/>
      </c>
      <c r="AD302" s="255" t="str">
        <v/>
      </c>
      <c r="AE302" s="256" t="str">
        <v/>
      </c>
      <c r="AF302" s="257" t="str">
        <v/>
      </c>
      <c r="AG302" s="255" t="str">
        <v/>
      </c>
      <c r="AH302" s="256" t="str">
        <v/>
      </c>
      <c r="AI302" s="257" t="str">
        <v/>
      </c>
      <c r="AJ302" s="255" t="str">
        <v/>
      </c>
      <c r="AK302" s="256" t="str">
        <v/>
      </c>
      <c r="AL302" s="257" t="str">
        <v/>
      </c>
      <c r="AM302" s="255" t="str">
        <v/>
      </c>
      <c r="AN302" s="256" t="str">
        <v/>
      </c>
      <c r="AO302" s="257" t="str">
        <v/>
      </c>
      <c r="AP302" s="255" t="str">
        <v/>
      </c>
      <c r="AQ302" s="256" t="str">
        <v/>
      </c>
      <c r="AR302" s="257" t="str">
        <v/>
      </c>
      <c r="AS302" s="255" t="str">
        <v/>
      </c>
      <c r="AT302" s="256" t="str">
        <v/>
      </c>
      <c r="AU302" s="257" t="str">
        <v/>
      </c>
      <c r="AV302" s="255" t="str">
        <v/>
      </c>
      <c r="AW302" s="256" t="str">
        <v/>
      </c>
      <c r="AX302" s="257" t="str">
        <v/>
      </c>
      <c r="AY302" s="243">
        <v>0</v>
      </c>
      <c r="AZ302" s="244">
        <v>0</v>
      </c>
      <c r="BA302" s="244">
        <v>0</v>
      </c>
      <c r="BB302" s="244">
        <v>0</v>
      </c>
      <c r="BC302" s="244">
        <v>0</v>
      </c>
      <c r="BD302" s="244">
        <v>0</v>
      </c>
      <c r="BE302" s="244">
        <v>0</v>
      </c>
      <c r="BF302" s="244">
        <v>0</v>
      </c>
      <c r="BG302" s="244">
        <v>0</v>
      </c>
      <c r="BH302" s="245">
        <v>0</v>
      </c>
      <c r="BK302">
        <v>244</v>
      </c>
      <c r="BL302" s="281"/>
      <c r="BM302" s="281"/>
      <c r="BN302" s="282"/>
      <c r="BO302" s="282"/>
      <c r="BP302" s="282"/>
      <c r="BQ302" s="283"/>
      <c r="BR302" s="284"/>
      <c r="BS302" s="147"/>
      <c r="BT302" s="285"/>
      <c r="BU302" s="288"/>
      <c r="BV302" s="287"/>
      <c r="BW302" s="288"/>
      <c r="BX302" s="286"/>
      <c r="BY302" s="287"/>
      <c r="BZ302" s="288"/>
      <c r="CA302" s="286"/>
      <c r="CB302" s="286"/>
      <c r="CC302" s="287"/>
      <c r="CD302" s="286"/>
      <c r="CE302" s="286"/>
      <c r="CF302" s="286"/>
      <c r="CG302" s="287"/>
      <c r="CH302" s="288"/>
      <c r="CI302" s="286"/>
      <c r="CJ302" s="286"/>
      <c r="CK302" s="287"/>
      <c r="CL302" s="288"/>
      <c r="CM302" s="286"/>
      <c r="CN302" s="294"/>
      <c r="CO302" s="289"/>
      <c r="CP302" s="290"/>
      <c r="CQ302" s="289"/>
      <c r="CR302" s="290"/>
      <c r="CS302" s="284"/>
      <c r="CT302" s="147"/>
      <c r="CU302" s="291"/>
      <c r="CV302" s="292"/>
    </row>
    <row r="303" spans="2:100">
      <c r="B303">
        <v>245</v>
      </c>
      <c r="C303" s="243" t="str">
        <v/>
      </c>
      <c r="D303" s="592" t="str">
        <v/>
      </c>
      <c r="E303" s="245" t="str">
        <v/>
      </c>
      <c r="F303" s="243" t="str">
        <v/>
      </c>
      <c r="G303" s="245" t="str">
        <v/>
      </c>
      <c r="H303" s="243" t="str">
        <v/>
      </c>
      <c r="I303" s="245" t="str">
        <v/>
      </c>
      <c r="J303" s="242" t="str">
        <v/>
      </c>
      <c r="K303" s="242" t="str">
        <v/>
      </c>
      <c r="L303" s="242" t="str">
        <v/>
      </c>
      <c r="M303" s="243" t="str">
        <v/>
      </c>
      <c r="N303" s="592" t="str">
        <v/>
      </c>
      <c r="O303" s="245" t="str">
        <v/>
      </c>
      <c r="P303" s="245" t="str">
        <v/>
      </c>
      <c r="Q303" s="254" t="str">
        <v/>
      </c>
      <c r="R303" s="255" t="str">
        <v/>
      </c>
      <c r="S303" s="256" t="str">
        <v/>
      </c>
      <c r="T303" s="257" t="str">
        <v/>
      </c>
      <c r="U303" s="255" t="str">
        <v/>
      </c>
      <c r="V303" s="256" t="str">
        <v/>
      </c>
      <c r="W303" s="257" t="str">
        <v/>
      </c>
      <c r="X303" s="255" t="str">
        <v/>
      </c>
      <c r="Y303" s="256" t="str">
        <v/>
      </c>
      <c r="Z303" s="257" t="str">
        <v/>
      </c>
      <c r="AA303" s="255" t="str">
        <v/>
      </c>
      <c r="AB303" s="256" t="str">
        <v/>
      </c>
      <c r="AC303" s="257" t="str">
        <v/>
      </c>
      <c r="AD303" s="255" t="str">
        <v/>
      </c>
      <c r="AE303" s="256" t="str">
        <v/>
      </c>
      <c r="AF303" s="257" t="str">
        <v/>
      </c>
      <c r="AG303" s="255" t="str">
        <v/>
      </c>
      <c r="AH303" s="256" t="str">
        <v/>
      </c>
      <c r="AI303" s="257" t="str">
        <v/>
      </c>
      <c r="AJ303" s="255" t="str">
        <v/>
      </c>
      <c r="AK303" s="256" t="str">
        <v/>
      </c>
      <c r="AL303" s="257" t="str">
        <v/>
      </c>
      <c r="AM303" s="255" t="str">
        <v/>
      </c>
      <c r="AN303" s="256" t="str">
        <v/>
      </c>
      <c r="AO303" s="257" t="str">
        <v/>
      </c>
      <c r="AP303" s="255" t="str">
        <v/>
      </c>
      <c r="AQ303" s="256" t="str">
        <v/>
      </c>
      <c r="AR303" s="257" t="str">
        <v/>
      </c>
      <c r="AS303" s="255" t="str">
        <v/>
      </c>
      <c r="AT303" s="256" t="str">
        <v/>
      </c>
      <c r="AU303" s="257" t="str">
        <v/>
      </c>
      <c r="AV303" s="255" t="str">
        <v/>
      </c>
      <c r="AW303" s="256" t="str">
        <v/>
      </c>
      <c r="AX303" s="257" t="str">
        <v/>
      </c>
      <c r="AY303" s="243">
        <v>0</v>
      </c>
      <c r="AZ303" s="244">
        <v>0</v>
      </c>
      <c r="BA303" s="244">
        <v>0</v>
      </c>
      <c r="BB303" s="244">
        <v>0</v>
      </c>
      <c r="BC303" s="244">
        <v>0</v>
      </c>
      <c r="BD303" s="244">
        <v>0</v>
      </c>
      <c r="BE303" s="244">
        <v>0</v>
      </c>
      <c r="BF303" s="244">
        <v>0</v>
      </c>
      <c r="BG303" s="244">
        <v>0</v>
      </c>
      <c r="BH303" s="245">
        <v>0</v>
      </c>
      <c r="BK303">
        <v>245</v>
      </c>
      <c r="BL303" s="281"/>
      <c r="BM303" s="281"/>
      <c r="BN303" s="282"/>
      <c r="BO303" s="282"/>
      <c r="BP303" s="282"/>
      <c r="BQ303" s="283"/>
      <c r="BR303" s="284"/>
      <c r="BS303" s="147"/>
      <c r="BT303" s="285"/>
      <c r="BU303" s="288"/>
      <c r="BV303" s="287"/>
      <c r="BW303" s="288"/>
      <c r="BX303" s="286"/>
      <c r="BY303" s="287"/>
      <c r="BZ303" s="288"/>
      <c r="CA303" s="286"/>
      <c r="CB303" s="286"/>
      <c r="CC303" s="287"/>
      <c r="CD303" s="286"/>
      <c r="CE303" s="286"/>
      <c r="CF303" s="286"/>
      <c r="CG303" s="287"/>
      <c r="CH303" s="288"/>
      <c r="CI303" s="286"/>
      <c r="CJ303" s="286"/>
      <c r="CK303" s="287"/>
      <c r="CL303" s="288"/>
      <c r="CM303" s="286"/>
      <c r="CN303" s="294"/>
      <c r="CO303" s="289"/>
      <c r="CP303" s="290"/>
      <c r="CQ303" s="289"/>
      <c r="CR303" s="290"/>
      <c r="CS303" s="284"/>
      <c r="CT303" s="147"/>
      <c r="CU303" s="291"/>
      <c r="CV303" s="292"/>
    </row>
    <row r="304" spans="2:100">
      <c r="B304">
        <v>246</v>
      </c>
      <c r="C304" s="243" t="str">
        <v/>
      </c>
      <c r="D304" s="592" t="str">
        <v/>
      </c>
      <c r="E304" s="245" t="str">
        <v/>
      </c>
      <c r="F304" s="243" t="str">
        <v/>
      </c>
      <c r="G304" s="245" t="str">
        <v/>
      </c>
      <c r="H304" s="243" t="str">
        <v/>
      </c>
      <c r="I304" s="245" t="str">
        <v/>
      </c>
      <c r="J304" s="242" t="str">
        <v/>
      </c>
      <c r="K304" s="242" t="str">
        <v/>
      </c>
      <c r="L304" s="242" t="str">
        <v/>
      </c>
      <c r="M304" s="243" t="str">
        <v/>
      </c>
      <c r="N304" s="592" t="str">
        <v/>
      </c>
      <c r="O304" s="245" t="str">
        <v/>
      </c>
      <c r="P304" s="245" t="str">
        <v/>
      </c>
      <c r="Q304" s="254" t="str">
        <v/>
      </c>
      <c r="R304" s="255" t="str">
        <v/>
      </c>
      <c r="S304" s="256" t="str">
        <v/>
      </c>
      <c r="T304" s="257" t="str">
        <v/>
      </c>
      <c r="U304" s="255" t="str">
        <v/>
      </c>
      <c r="V304" s="256" t="str">
        <v/>
      </c>
      <c r="W304" s="257" t="str">
        <v/>
      </c>
      <c r="X304" s="255" t="str">
        <v/>
      </c>
      <c r="Y304" s="256" t="str">
        <v/>
      </c>
      <c r="Z304" s="257" t="str">
        <v/>
      </c>
      <c r="AA304" s="255" t="str">
        <v/>
      </c>
      <c r="AB304" s="256" t="str">
        <v/>
      </c>
      <c r="AC304" s="257" t="str">
        <v/>
      </c>
      <c r="AD304" s="255" t="str">
        <v/>
      </c>
      <c r="AE304" s="256" t="str">
        <v/>
      </c>
      <c r="AF304" s="257" t="str">
        <v/>
      </c>
      <c r="AG304" s="255" t="str">
        <v/>
      </c>
      <c r="AH304" s="256" t="str">
        <v/>
      </c>
      <c r="AI304" s="257" t="str">
        <v/>
      </c>
      <c r="AJ304" s="255" t="str">
        <v/>
      </c>
      <c r="AK304" s="256" t="str">
        <v/>
      </c>
      <c r="AL304" s="257" t="str">
        <v/>
      </c>
      <c r="AM304" s="255" t="str">
        <v/>
      </c>
      <c r="AN304" s="256" t="str">
        <v/>
      </c>
      <c r="AO304" s="257" t="str">
        <v/>
      </c>
      <c r="AP304" s="255" t="str">
        <v/>
      </c>
      <c r="AQ304" s="256" t="str">
        <v/>
      </c>
      <c r="AR304" s="257" t="str">
        <v/>
      </c>
      <c r="AS304" s="255" t="str">
        <v/>
      </c>
      <c r="AT304" s="256" t="str">
        <v/>
      </c>
      <c r="AU304" s="257" t="str">
        <v/>
      </c>
      <c r="AV304" s="255" t="str">
        <v/>
      </c>
      <c r="AW304" s="256" t="str">
        <v/>
      </c>
      <c r="AX304" s="257" t="str">
        <v/>
      </c>
      <c r="AY304" s="243">
        <v>0</v>
      </c>
      <c r="AZ304" s="244">
        <v>0</v>
      </c>
      <c r="BA304" s="244">
        <v>0</v>
      </c>
      <c r="BB304" s="244">
        <v>0</v>
      </c>
      <c r="BC304" s="244">
        <v>0</v>
      </c>
      <c r="BD304" s="244">
        <v>0</v>
      </c>
      <c r="BE304" s="244">
        <v>0</v>
      </c>
      <c r="BF304" s="244">
        <v>0</v>
      </c>
      <c r="BG304" s="244">
        <v>0</v>
      </c>
      <c r="BH304" s="245">
        <v>0</v>
      </c>
      <c r="BK304">
        <v>246</v>
      </c>
      <c r="BL304" s="281"/>
      <c r="BM304" s="281"/>
      <c r="BN304" s="282"/>
      <c r="BO304" s="282"/>
      <c r="BP304" s="282"/>
      <c r="BQ304" s="283"/>
      <c r="BR304" s="284"/>
      <c r="BS304" s="147"/>
      <c r="BT304" s="285"/>
      <c r="BU304" s="288"/>
      <c r="BV304" s="287"/>
      <c r="BW304" s="288"/>
      <c r="BX304" s="286"/>
      <c r="BY304" s="287"/>
      <c r="BZ304" s="288"/>
      <c r="CA304" s="286"/>
      <c r="CB304" s="286"/>
      <c r="CC304" s="287"/>
      <c r="CD304" s="286"/>
      <c r="CE304" s="286"/>
      <c r="CF304" s="286"/>
      <c r="CG304" s="287"/>
      <c r="CH304" s="288"/>
      <c r="CI304" s="286"/>
      <c r="CJ304" s="286"/>
      <c r="CK304" s="287"/>
      <c r="CL304" s="288"/>
      <c r="CM304" s="286"/>
      <c r="CN304" s="294"/>
      <c r="CO304" s="289"/>
      <c r="CP304" s="290"/>
      <c r="CQ304" s="289"/>
      <c r="CR304" s="290"/>
      <c r="CS304" s="284"/>
      <c r="CT304" s="147"/>
      <c r="CU304" s="291"/>
      <c r="CV304" s="292"/>
    </row>
    <row r="305" spans="2:100">
      <c r="B305">
        <v>247</v>
      </c>
      <c r="C305" s="243" t="str">
        <v/>
      </c>
      <c r="D305" s="592" t="str">
        <v/>
      </c>
      <c r="E305" s="245" t="str">
        <v/>
      </c>
      <c r="F305" s="243" t="str">
        <v/>
      </c>
      <c r="G305" s="245" t="str">
        <v/>
      </c>
      <c r="H305" s="243" t="str">
        <v/>
      </c>
      <c r="I305" s="245" t="str">
        <v/>
      </c>
      <c r="J305" s="242" t="str">
        <v/>
      </c>
      <c r="K305" s="242" t="str">
        <v/>
      </c>
      <c r="L305" s="242" t="str">
        <v/>
      </c>
      <c r="M305" s="243" t="str">
        <v/>
      </c>
      <c r="N305" s="592" t="str">
        <v/>
      </c>
      <c r="O305" s="245" t="str">
        <v/>
      </c>
      <c r="P305" s="245" t="str">
        <v/>
      </c>
      <c r="Q305" s="254" t="str">
        <v/>
      </c>
      <c r="R305" s="255" t="str">
        <v/>
      </c>
      <c r="S305" s="256" t="str">
        <v/>
      </c>
      <c r="T305" s="257" t="str">
        <v/>
      </c>
      <c r="U305" s="255" t="str">
        <v/>
      </c>
      <c r="V305" s="256" t="str">
        <v/>
      </c>
      <c r="W305" s="257" t="str">
        <v/>
      </c>
      <c r="X305" s="255" t="str">
        <v/>
      </c>
      <c r="Y305" s="256" t="str">
        <v/>
      </c>
      <c r="Z305" s="257" t="str">
        <v/>
      </c>
      <c r="AA305" s="255" t="str">
        <v/>
      </c>
      <c r="AB305" s="256" t="str">
        <v/>
      </c>
      <c r="AC305" s="257" t="str">
        <v/>
      </c>
      <c r="AD305" s="255" t="str">
        <v/>
      </c>
      <c r="AE305" s="256" t="str">
        <v/>
      </c>
      <c r="AF305" s="257" t="str">
        <v/>
      </c>
      <c r="AG305" s="255" t="str">
        <v/>
      </c>
      <c r="AH305" s="256" t="str">
        <v/>
      </c>
      <c r="AI305" s="257" t="str">
        <v/>
      </c>
      <c r="AJ305" s="255" t="str">
        <v/>
      </c>
      <c r="AK305" s="256" t="str">
        <v/>
      </c>
      <c r="AL305" s="257" t="str">
        <v/>
      </c>
      <c r="AM305" s="255" t="str">
        <v/>
      </c>
      <c r="AN305" s="256" t="str">
        <v/>
      </c>
      <c r="AO305" s="257" t="str">
        <v/>
      </c>
      <c r="AP305" s="255" t="str">
        <v/>
      </c>
      <c r="AQ305" s="256" t="str">
        <v/>
      </c>
      <c r="AR305" s="257" t="str">
        <v/>
      </c>
      <c r="AS305" s="255" t="str">
        <v/>
      </c>
      <c r="AT305" s="256" t="str">
        <v/>
      </c>
      <c r="AU305" s="257" t="str">
        <v/>
      </c>
      <c r="AV305" s="255" t="str">
        <v/>
      </c>
      <c r="AW305" s="256" t="str">
        <v/>
      </c>
      <c r="AX305" s="257" t="str">
        <v/>
      </c>
      <c r="AY305" s="243">
        <v>0</v>
      </c>
      <c r="AZ305" s="244">
        <v>0</v>
      </c>
      <c r="BA305" s="244">
        <v>0</v>
      </c>
      <c r="BB305" s="244">
        <v>0</v>
      </c>
      <c r="BC305" s="244">
        <v>0</v>
      </c>
      <c r="BD305" s="244">
        <v>0</v>
      </c>
      <c r="BE305" s="244">
        <v>0</v>
      </c>
      <c r="BF305" s="244">
        <v>0</v>
      </c>
      <c r="BG305" s="244">
        <v>0</v>
      </c>
      <c r="BH305" s="245">
        <v>0</v>
      </c>
      <c r="BK305">
        <v>247</v>
      </c>
      <c r="BL305" s="281"/>
      <c r="BM305" s="281"/>
      <c r="BN305" s="282"/>
      <c r="BO305" s="282"/>
      <c r="BP305" s="282"/>
      <c r="BQ305" s="283"/>
      <c r="BR305" s="284"/>
      <c r="BS305" s="147"/>
      <c r="BT305" s="285"/>
      <c r="BU305" s="288"/>
      <c r="BV305" s="287"/>
      <c r="BW305" s="288"/>
      <c r="BX305" s="286"/>
      <c r="BY305" s="287"/>
      <c r="BZ305" s="288"/>
      <c r="CA305" s="286"/>
      <c r="CB305" s="286"/>
      <c r="CC305" s="287"/>
      <c r="CD305" s="286"/>
      <c r="CE305" s="286"/>
      <c r="CF305" s="286"/>
      <c r="CG305" s="287"/>
      <c r="CH305" s="288"/>
      <c r="CI305" s="286"/>
      <c r="CJ305" s="286"/>
      <c r="CK305" s="287"/>
      <c r="CL305" s="288"/>
      <c r="CM305" s="286"/>
      <c r="CN305" s="294"/>
      <c r="CO305" s="289"/>
      <c r="CP305" s="290"/>
      <c r="CQ305" s="289"/>
      <c r="CR305" s="290"/>
      <c r="CS305" s="284"/>
      <c r="CT305" s="147"/>
      <c r="CU305" s="291"/>
      <c r="CV305" s="292"/>
    </row>
    <row r="306" spans="2:100">
      <c r="B306">
        <v>248</v>
      </c>
      <c r="C306" s="243" t="str">
        <v/>
      </c>
      <c r="D306" s="592" t="str">
        <v/>
      </c>
      <c r="E306" s="245" t="str">
        <v/>
      </c>
      <c r="F306" s="243" t="str">
        <v/>
      </c>
      <c r="G306" s="245" t="str">
        <v/>
      </c>
      <c r="H306" s="243" t="str">
        <v/>
      </c>
      <c r="I306" s="245" t="str">
        <v/>
      </c>
      <c r="J306" s="242" t="str">
        <v/>
      </c>
      <c r="K306" s="242" t="str">
        <v/>
      </c>
      <c r="L306" s="242" t="str">
        <v/>
      </c>
      <c r="M306" s="243" t="str">
        <v/>
      </c>
      <c r="N306" s="592" t="str">
        <v/>
      </c>
      <c r="O306" s="245" t="str">
        <v/>
      </c>
      <c r="P306" s="245" t="str">
        <v/>
      </c>
      <c r="Q306" s="254" t="str">
        <v/>
      </c>
      <c r="R306" s="255" t="str">
        <v/>
      </c>
      <c r="S306" s="256" t="str">
        <v/>
      </c>
      <c r="T306" s="257" t="str">
        <v/>
      </c>
      <c r="U306" s="255" t="str">
        <v/>
      </c>
      <c r="V306" s="256" t="str">
        <v/>
      </c>
      <c r="W306" s="257" t="str">
        <v/>
      </c>
      <c r="X306" s="255" t="str">
        <v/>
      </c>
      <c r="Y306" s="256" t="str">
        <v/>
      </c>
      <c r="Z306" s="257" t="str">
        <v/>
      </c>
      <c r="AA306" s="255" t="str">
        <v/>
      </c>
      <c r="AB306" s="256" t="str">
        <v/>
      </c>
      <c r="AC306" s="257" t="str">
        <v/>
      </c>
      <c r="AD306" s="255" t="str">
        <v/>
      </c>
      <c r="AE306" s="256" t="str">
        <v/>
      </c>
      <c r="AF306" s="257" t="str">
        <v/>
      </c>
      <c r="AG306" s="255" t="str">
        <v/>
      </c>
      <c r="AH306" s="256" t="str">
        <v/>
      </c>
      <c r="AI306" s="257" t="str">
        <v/>
      </c>
      <c r="AJ306" s="255" t="str">
        <v/>
      </c>
      <c r="AK306" s="256" t="str">
        <v/>
      </c>
      <c r="AL306" s="257" t="str">
        <v/>
      </c>
      <c r="AM306" s="255" t="str">
        <v/>
      </c>
      <c r="AN306" s="256" t="str">
        <v/>
      </c>
      <c r="AO306" s="257" t="str">
        <v/>
      </c>
      <c r="AP306" s="255" t="str">
        <v/>
      </c>
      <c r="AQ306" s="256" t="str">
        <v/>
      </c>
      <c r="AR306" s="257" t="str">
        <v/>
      </c>
      <c r="AS306" s="255" t="str">
        <v/>
      </c>
      <c r="AT306" s="256" t="str">
        <v/>
      </c>
      <c r="AU306" s="257" t="str">
        <v/>
      </c>
      <c r="AV306" s="255" t="str">
        <v/>
      </c>
      <c r="AW306" s="256" t="str">
        <v/>
      </c>
      <c r="AX306" s="257" t="str">
        <v/>
      </c>
      <c r="AY306" s="243">
        <v>0</v>
      </c>
      <c r="AZ306" s="244">
        <v>0</v>
      </c>
      <c r="BA306" s="244">
        <v>0</v>
      </c>
      <c r="BB306" s="244">
        <v>0</v>
      </c>
      <c r="BC306" s="244">
        <v>0</v>
      </c>
      <c r="BD306" s="244">
        <v>0</v>
      </c>
      <c r="BE306" s="244">
        <v>0</v>
      </c>
      <c r="BF306" s="244">
        <v>0</v>
      </c>
      <c r="BG306" s="244">
        <v>0</v>
      </c>
      <c r="BH306" s="245">
        <v>0</v>
      </c>
      <c r="BK306">
        <v>248</v>
      </c>
      <c r="BL306" s="281"/>
      <c r="BM306" s="281"/>
      <c r="BN306" s="282"/>
      <c r="BO306" s="282"/>
      <c r="BP306" s="282"/>
      <c r="BQ306" s="283"/>
      <c r="BR306" s="284"/>
      <c r="BS306" s="147"/>
      <c r="BT306" s="285"/>
      <c r="BU306" s="288"/>
      <c r="BV306" s="287"/>
      <c r="BW306" s="288"/>
      <c r="BX306" s="286"/>
      <c r="BY306" s="287"/>
      <c r="BZ306" s="288"/>
      <c r="CA306" s="286"/>
      <c r="CB306" s="286"/>
      <c r="CC306" s="287"/>
      <c r="CD306" s="286"/>
      <c r="CE306" s="286"/>
      <c r="CF306" s="286"/>
      <c r="CG306" s="287"/>
      <c r="CH306" s="288"/>
      <c r="CI306" s="286"/>
      <c r="CJ306" s="286"/>
      <c r="CK306" s="287"/>
      <c r="CL306" s="288"/>
      <c r="CM306" s="286"/>
      <c r="CN306" s="294"/>
      <c r="CO306" s="289"/>
      <c r="CP306" s="290"/>
      <c r="CQ306" s="289"/>
      <c r="CR306" s="290"/>
      <c r="CS306" s="284"/>
      <c r="CT306" s="147"/>
      <c r="CU306" s="291"/>
      <c r="CV306" s="292"/>
    </row>
    <row r="307" spans="2:100">
      <c r="B307">
        <v>249</v>
      </c>
      <c r="C307" s="243" t="str">
        <v/>
      </c>
      <c r="D307" s="592" t="str">
        <v/>
      </c>
      <c r="E307" s="245" t="str">
        <v/>
      </c>
      <c r="F307" s="243" t="str">
        <v/>
      </c>
      <c r="G307" s="245" t="str">
        <v/>
      </c>
      <c r="H307" s="243" t="str">
        <v/>
      </c>
      <c r="I307" s="245" t="str">
        <v/>
      </c>
      <c r="J307" s="242" t="str">
        <v/>
      </c>
      <c r="K307" s="242" t="str">
        <v/>
      </c>
      <c r="L307" s="242" t="str">
        <v/>
      </c>
      <c r="M307" s="243" t="str">
        <v/>
      </c>
      <c r="N307" s="592" t="str">
        <v/>
      </c>
      <c r="O307" s="245" t="str">
        <v/>
      </c>
      <c r="P307" s="245" t="str">
        <v/>
      </c>
      <c r="Q307" s="254" t="str">
        <v/>
      </c>
      <c r="R307" s="255" t="str">
        <v/>
      </c>
      <c r="S307" s="256" t="str">
        <v/>
      </c>
      <c r="T307" s="257" t="str">
        <v/>
      </c>
      <c r="U307" s="255" t="str">
        <v/>
      </c>
      <c r="V307" s="256" t="str">
        <v/>
      </c>
      <c r="W307" s="257" t="str">
        <v/>
      </c>
      <c r="X307" s="255" t="str">
        <v/>
      </c>
      <c r="Y307" s="256" t="str">
        <v/>
      </c>
      <c r="Z307" s="257" t="str">
        <v/>
      </c>
      <c r="AA307" s="255" t="str">
        <v/>
      </c>
      <c r="AB307" s="256" t="str">
        <v/>
      </c>
      <c r="AC307" s="257" t="str">
        <v/>
      </c>
      <c r="AD307" s="255" t="str">
        <v/>
      </c>
      <c r="AE307" s="256" t="str">
        <v/>
      </c>
      <c r="AF307" s="257" t="str">
        <v/>
      </c>
      <c r="AG307" s="255" t="str">
        <v/>
      </c>
      <c r="AH307" s="256" t="str">
        <v/>
      </c>
      <c r="AI307" s="257" t="str">
        <v/>
      </c>
      <c r="AJ307" s="255" t="str">
        <v/>
      </c>
      <c r="AK307" s="256" t="str">
        <v/>
      </c>
      <c r="AL307" s="257" t="str">
        <v/>
      </c>
      <c r="AM307" s="255" t="str">
        <v/>
      </c>
      <c r="AN307" s="256" t="str">
        <v/>
      </c>
      <c r="AO307" s="257" t="str">
        <v/>
      </c>
      <c r="AP307" s="255" t="str">
        <v/>
      </c>
      <c r="AQ307" s="256" t="str">
        <v/>
      </c>
      <c r="AR307" s="257" t="str">
        <v/>
      </c>
      <c r="AS307" s="255" t="str">
        <v/>
      </c>
      <c r="AT307" s="256" t="str">
        <v/>
      </c>
      <c r="AU307" s="257" t="str">
        <v/>
      </c>
      <c r="AV307" s="255" t="str">
        <v/>
      </c>
      <c r="AW307" s="256" t="str">
        <v/>
      </c>
      <c r="AX307" s="257" t="str">
        <v/>
      </c>
      <c r="AY307" s="243">
        <v>0</v>
      </c>
      <c r="AZ307" s="244">
        <v>0</v>
      </c>
      <c r="BA307" s="244">
        <v>0</v>
      </c>
      <c r="BB307" s="244">
        <v>0</v>
      </c>
      <c r="BC307" s="244">
        <v>0</v>
      </c>
      <c r="BD307" s="244">
        <v>0</v>
      </c>
      <c r="BE307" s="244">
        <v>0</v>
      </c>
      <c r="BF307" s="244">
        <v>0</v>
      </c>
      <c r="BG307" s="244">
        <v>0</v>
      </c>
      <c r="BH307" s="245">
        <v>0</v>
      </c>
      <c r="BK307">
        <v>249</v>
      </c>
      <c r="BL307" s="281"/>
      <c r="BM307" s="281"/>
      <c r="BN307" s="282"/>
      <c r="BO307" s="282"/>
      <c r="BP307" s="282"/>
      <c r="BQ307" s="283"/>
      <c r="BR307" s="284"/>
      <c r="BS307" s="147"/>
      <c r="BT307" s="285"/>
      <c r="BU307" s="288"/>
      <c r="BV307" s="287"/>
      <c r="BW307" s="288"/>
      <c r="BX307" s="286"/>
      <c r="BY307" s="287"/>
      <c r="BZ307" s="288"/>
      <c r="CA307" s="286"/>
      <c r="CB307" s="286"/>
      <c r="CC307" s="287"/>
      <c r="CD307" s="286"/>
      <c r="CE307" s="286"/>
      <c r="CF307" s="286"/>
      <c r="CG307" s="287"/>
      <c r="CH307" s="288"/>
      <c r="CI307" s="286"/>
      <c r="CJ307" s="286"/>
      <c r="CK307" s="287"/>
      <c r="CL307" s="288"/>
      <c r="CM307" s="286"/>
      <c r="CN307" s="294"/>
      <c r="CO307" s="289"/>
      <c r="CP307" s="290"/>
      <c r="CQ307" s="289"/>
      <c r="CR307" s="290"/>
      <c r="CS307" s="284"/>
      <c r="CT307" s="147"/>
      <c r="CU307" s="291"/>
      <c r="CV307" s="292"/>
    </row>
    <row r="308" spans="2:100">
      <c r="B308">
        <v>250</v>
      </c>
      <c r="C308" s="243" t="str">
        <v/>
      </c>
      <c r="D308" s="592" t="str">
        <v/>
      </c>
      <c r="E308" s="245" t="str">
        <v/>
      </c>
      <c r="F308" s="243" t="str">
        <v/>
      </c>
      <c r="G308" s="245" t="str">
        <v/>
      </c>
      <c r="H308" s="243" t="str">
        <v/>
      </c>
      <c r="I308" s="245" t="str">
        <v/>
      </c>
      <c r="J308" s="242" t="str">
        <v/>
      </c>
      <c r="K308" s="242" t="str">
        <v/>
      </c>
      <c r="L308" s="242" t="str">
        <v/>
      </c>
      <c r="M308" s="243" t="str">
        <v/>
      </c>
      <c r="N308" s="592" t="str">
        <v/>
      </c>
      <c r="O308" s="245" t="str">
        <v/>
      </c>
      <c r="P308" s="245" t="str">
        <v/>
      </c>
      <c r="Q308" s="254" t="str">
        <v/>
      </c>
      <c r="R308" s="255" t="str">
        <v/>
      </c>
      <c r="S308" s="256" t="str">
        <v/>
      </c>
      <c r="T308" s="257" t="str">
        <v/>
      </c>
      <c r="U308" s="255" t="str">
        <v/>
      </c>
      <c r="V308" s="256" t="str">
        <v/>
      </c>
      <c r="W308" s="257" t="str">
        <v/>
      </c>
      <c r="X308" s="255" t="str">
        <v/>
      </c>
      <c r="Y308" s="256" t="str">
        <v/>
      </c>
      <c r="Z308" s="257" t="str">
        <v/>
      </c>
      <c r="AA308" s="255" t="str">
        <v/>
      </c>
      <c r="AB308" s="256" t="str">
        <v/>
      </c>
      <c r="AC308" s="257" t="str">
        <v/>
      </c>
      <c r="AD308" s="255" t="str">
        <v/>
      </c>
      <c r="AE308" s="256" t="str">
        <v/>
      </c>
      <c r="AF308" s="257" t="str">
        <v/>
      </c>
      <c r="AG308" s="255" t="str">
        <v/>
      </c>
      <c r="AH308" s="256" t="str">
        <v/>
      </c>
      <c r="AI308" s="257" t="str">
        <v/>
      </c>
      <c r="AJ308" s="255" t="str">
        <v/>
      </c>
      <c r="AK308" s="256" t="str">
        <v/>
      </c>
      <c r="AL308" s="257" t="str">
        <v/>
      </c>
      <c r="AM308" s="255" t="str">
        <v/>
      </c>
      <c r="AN308" s="256" t="str">
        <v/>
      </c>
      <c r="AO308" s="257" t="str">
        <v/>
      </c>
      <c r="AP308" s="255" t="str">
        <v/>
      </c>
      <c r="AQ308" s="256" t="str">
        <v/>
      </c>
      <c r="AR308" s="257" t="str">
        <v/>
      </c>
      <c r="AS308" s="255" t="str">
        <v/>
      </c>
      <c r="AT308" s="256" t="str">
        <v/>
      </c>
      <c r="AU308" s="257" t="str">
        <v/>
      </c>
      <c r="AV308" s="255" t="str">
        <v/>
      </c>
      <c r="AW308" s="256" t="str">
        <v/>
      </c>
      <c r="AX308" s="257" t="str">
        <v/>
      </c>
      <c r="AY308" s="243">
        <v>0</v>
      </c>
      <c r="AZ308" s="244">
        <v>0</v>
      </c>
      <c r="BA308" s="244">
        <v>0</v>
      </c>
      <c r="BB308" s="244">
        <v>0</v>
      </c>
      <c r="BC308" s="244">
        <v>0</v>
      </c>
      <c r="BD308" s="244">
        <v>0</v>
      </c>
      <c r="BE308" s="244">
        <v>0</v>
      </c>
      <c r="BF308" s="244">
        <v>0</v>
      </c>
      <c r="BG308" s="244">
        <v>0</v>
      </c>
      <c r="BH308" s="245">
        <v>0</v>
      </c>
      <c r="BK308">
        <v>250</v>
      </c>
      <c r="BL308" s="281"/>
      <c r="BM308" s="281"/>
      <c r="BN308" s="282"/>
      <c r="BO308" s="282"/>
      <c r="BP308" s="282"/>
      <c r="BQ308" s="283"/>
      <c r="BR308" s="284"/>
      <c r="BS308" s="147"/>
      <c r="BT308" s="285"/>
      <c r="BU308" s="288"/>
      <c r="BV308" s="287"/>
      <c r="BW308" s="288"/>
      <c r="BX308" s="286"/>
      <c r="BY308" s="287"/>
      <c r="BZ308" s="288"/>
      <c r="CA308" s="286"/>
      <c r="CB308" s="286"/>
      <c r="CC308" s="287"/>
      <c r="CD308" s="286"/>
      <c r="CE308" s="286"/>
      <c r="CF308" s="286"/>
      <c r="CG308" s="287"/>
      <c r="CH308" s="288"/>
      <c r="CI308" s="286"/>
      <c r="CJ308" s="286"/>
      <c r="CK308" s="287"/>
      <c r="CL308" s="288"/>
      <c r="CM308" s="286"/>
      <c r="CN308" s="294"/>
      <c r="CO308" s="289"/>
      <c r="CP308" s="290"/>
      <c r="CQ308" s="289"/>
      <c r="CR308" s="290"/>
      <c r="CS308" s="284"/>
      <c r="CT308" s="147"/>
      <c r="CU308" s="291"/>
      <c r="CV308" s="292"/>
    </row>
    <row r="309" spans="2:100">
      <c r="B309">
        <v>251</v>
      </c>
      <c r="C309" s="243" t="str">
        <v/>
      </c>
      <c r="D309" s="592" t="str">
        <v/>
      </c>
      <c r="E309" s="245" t="str">
        <v/>
      </c>
      <c r="F309" s="243" t="str">
        <v/>
      </c>
      <c r="G309" s="245" t="str">
        <v/>
      </c>
      <c r="H309" s="243" t="str">
        <v/>
      </c>
      <c r="I309" s="245" t="str">
        <v/>
      </c>
      <c r="J309" s="242" t="str">
        <v/>
      </c>
      <c r="K309" s="242" t="str">
        <v/>
      </c>
      <c r="L309" s="242" t="str">
        <v/>
      </c>
      <c r="M309" s="243" t="str">
        <v/>
      </c>
      <c r="N309" s="592" t="str">
        <v/>
      </c>
      <c r="O309" s="245" t="str">
        <v/>
      </c>
      <c r="P309" s="245" t="str">
        <v/>
      </c>
      <c r="Q309" s="254" t="str">
        <v/>
      </c>
      <c r="R309" s="255" t="str">
        <v/>
      </c>
      <c r="S309" s="256" t="str">
        <v/>
      </c>
      <c r="T309" s="257" t="str">
        <v/>
      </c>
      <c r="U309" s="255" t="str">
        <v/>
      </c>
      <c r="V309" s="256" t="str">
        <v/>
      </c>
      <c r="W309" s="257" t="str">
        <v/>
      </c>
      <c r="X309" s="255" t="str">
        <v/>
      </c>
      <c r="Y309" s="256" t="str">
        <v/>
      </c>
      <c r="Z309" s="257" t="str">
        <v/>
      </c>
      <c r="AA309" s="255" t="str">
        <v/>
      </c>
      <c r="AB309" s="256" t="str">
        <v/>
      </c>
      <c r="AC309" s="257" t="str">
        <v/>
      </c>
      <c r="AD309" s="255" t="str">
        <v/>
      </c>
      <c r="AE309" s="256" t="str">
        <v/>
      </c>
      <c r="AF309" s="257" t="str">
        <v/>
      </c>
      <c r="AG309" s="255" t="str">
        <v/>
      </c>
      <c r="AH309" s="256" t="str">
        <v/>
      </c>
      <c r="AI309" s="257" t="str">
        <v/>
      </c>
      <c r="AJ309" s="255" t="str">
        <v/>
      </c>
      <c r="AK309" s="256" t="str">
        <v/>
      </c>
      <c r="AL309" s="257" t="str">
        <v/>
      </c>
      <c r="AM309" s="255" t="str">
        <v/>
      </c>
      <c r="AN309" s="256" t="str">
        <v/>
      </c>
      <c r="AO309" s="257" t="str">
        <v/>
      </c>
      <c r="AP309" s="255" t="str">
        <v/>
      </c>
      <c r="AQ309" s="256" t="str">
        <v/>
      </c>
      <c r="AR309" s="257" t="str">
        <v/>
      </c>
      <c r="AS309" s="255" t="str">
        <v/>
      </c>
      <c r="AT309" s="256" t="str">
        <v/>
      </c>
      <c r="AU309" s="257" t="str">
        <v/>
      </c>
      <c r="AV309" s="255" t="str">
        <v/>
      </c>
      <c r="AW309" s="256" t="str">
        <v/>
      </c>
      <c r="AX309" s="257" t="str">
        <v/>
      </c>
      <c r="AY309" s="243">
        <v>0</v>
      </c>
      <c r="AZ309" s="244">
        <v>0</v>
      </c>
      <c r="BA309" s="244">
        <v>0</v>
      </c>
      <c r="BB309" s="244">
        <v>0</v>
      </c>
      <c r="BC309" s="244">
        <v>0</v>
      </c>
      <c r="BD309" s="244">
        <v>0</v>
      </c>
      <c r="BE309" s="244">
        <v>0</v>
      </c>
      <c r="BF309" s="244">
        <v>0</v>
      </c>
      <c r="BG309" s="244">
        <v>0</v>
      </c>
      <c r="BH309" s="245">
        <v>0</v>
      </c>
      <c r="BK309">
        <v>251</v>
      </c>
      <c r="BL309" s="281"/>
      <c r="BM309" s="281"/>
      <c r="BN309" s="282"/>
      <c r="BO309" s="282"/>
      <c r="BP309" s="282"/>
      <c r="BQ309" s="283"/>
      <c r="BR309" s="284"/>
      <c r="BS309" s="147"/>
      <c r="BT309" s="285"/>
      <c r="BU309" s="288"/>
      <c r="BV309" s="287"/>
      <c r="BW309" s="288"/>
      <c r="BX309" s="286"/>
      <c r="BY309" s="287"/>
      <c r="BZ309" s="288"/>
      <c r="CA309" s="286"/>
      <c r="CB309" s="286"/>
      <c r="CC309" s="287"/>
      <c r="CD309" s="286"/>
      <c r="CE309" s="286"/>
      <c r="CF309" s="286"/>
      <c r="CG309" s="287"/>
      <c r="CH309" s="288"/>
      <c r="CI309" s="286"/>
      <c r="CJ309" s="286"/>
      <c r="CK309" s="287"/>
      <c r="CL309" s="288"/>
      <c r="CM309" s="286"/>
      <c r="CN309" s="294"/>
      <c r="CO309" s="289"/>
      <c r="CP309" s="290"/>
      <c r="CQ309" s="289"/>
      <c r="CR309" s="290"/>
      <c r="CS309" s="284"/>
      <c r="CT309" s="147"/>
      <c r="CU309" s="291"/>
      <c r="CV309" s="292"/>
    </row>
    <row r="310" spans="2:100">
      <c r="B310">
        <v>252</v>
      </c>
      <c r="C310" s="243" t="str">
        <v/>
      </c>
      <c r="D310" s="592" t="str">
        <v/>
      </c>
      <c r="E310" s="245" t="str">
        <v/>
      </c>
      <c r="F310" s="243" t="str">
        <v/>
      </c>
      <c r="G310" s="245" t="str">
        <v/>
      </c>
      <c r="H310" s="243" t="str">
        <v/>
      </c>
      <c r="I310" s="245" t="str">
        <v/>
      </c>
      <c r="J310" s="242" t="str">
        <v/>
      </c>
      <c r="K310" s="242" t="str">
        <v/>
      </c>
      <c r="L310" s="242" t="str">
        <v/>
      </c>
      <c r="M310" s="243" t="str">
        <v/>
      </c>
      <c r="N310" s="592" t="str">
        <v/>
      </c>
      <c r="O310" s="245" t="str">
        <v/>
      </c>
      <c r="P310" s="245" t="str">
        <v/>
      </c>
      <c r="Q310" s="254" t="str">
        <v/>
      </c>
      <c r="R310" s="255" t="str">
        <v/>
      </c>
      <c r="S310" s="256" t="str">
        <v/>
      </c>
      <c r="T310" s="257" t="str">
        <v/>
      </c>
      <c r="U310" s="255" t="str">
        <v/>
      </c>
      <c r="V310" s="256" t="str">
        <v/>
      </c>
      <c r="W310" s="257" t="str">
        <v/>
      </c>
      <c r="X310" s="255" t="str">
        <v/>
      </c>
      <c r="Y310" s="256" t="str">
        <v/>
      </c>
      <c r="Z310" s="257" t="str">
        <v/>
      </c>
      <c r="AA310" s="255" t="str">
        <v/>
      </c>
      <c r="AB310" s="256" t="str">
        <v/>
      </c>
      <c r="AC310" s="257" t="str">
        <v/>
      </c>
      <c r="AD310" s="255" t="str">
        <v/>
      </c>
      <c r="AE310" s="256" t="str">
        <v/>
      </c>
      <c r="AF310" s="257" t="str">
        <v/>
      </c>
      <c r="AG310" s="255" t="str">
        <v/>
      </c>
      <c r="AH310" s="256" t="str">
        <v/>
      </c>
      <c r="AI310" s="257" t="str">
        <v/>
      </c>
      <c r="AJ310" s="255" t="str">
        <v/>
      </c>
      <c r="AK310" s="256" t="str">
        <v/>
      </c>
      <c r="AL310" s="257" t="str">
        <v/>
      </c>
      <c r="AM310" s="255" t="str">
        <v/>
      </c>
      <c r="AN310" s="256" t="str">
        <v/>
      </c>
      <c r="AO310" s="257" t="str">
        <v/>
      </c>
      <c r="AP310" s="255" t="str">
        <v/>
      </c>
      <c r="AQ310" s="256" t="str">
        <v/>
      </c>
      <c r="AR310" s="257" t="str">
        <v/>
      </c>
      <c r="AS310" s="255" t="str">
        <v/>
      </c>
      <c r="AT310" s="256" t="str">
        <v/>
      </c>
      <c r="AU310" s="257" t="str">
        <v/>
      </c>
      <c r="AV310" s="255" t="str">
        <v/>
      </c>
      <c r="AW310" s="256" t="str">
        <v/>
      </c>
      <c r="AX310" s="257" t="str">
        <v/>
      </c>
      <c r="AY310" s="243">
        <v>0</v>
      </c>
      <c r="AZ310" s="244">
        <v>0</v>
      </c>
      <c r="BA310" s="244">
        <v>0</v>
      </c>
      <c r="BB310" s="244">
        <v>0</v>
      </c>
      <c r="BC310" s="244">
        <v>0</v>
      </c>
      <c r="BD310" s="244">
        <v>0</v>
      </c>
      <c r="BE310" s="244">
        <v>0</v>
      </c>
      <c r="BF310" s="244">
        <v>0</v>
      </c>
      <c r="BG310" s="244">
        <v>0</v>
      </c>
      <c r="BH310" s="245">
        <v>0</v>
      </c>
      <c r="BK310">
        <v>252</v>
      </c>
      <c r="BL310" s="281"/>
      <c r="BM310" s="281"/>
      <c r="BN310" s="282"/>
      <c r="BO310" s="282"/>
      <c r="BP310" s="282"/>
      <c r="BQ310" s="283"/>
      <c r="BR310" s="284"/>
      <c r="BS310" s="147"/>
      <c r="BT310" s="285"/>
      <c r="BU310" s="288"/>
      <c r="BV310" s="287"/>
      <c r="BW310" s="288"/>
      <c r="BX310" s="286"/>
      <c r="BY310" s="287"/>
      <c r="BZ310" s="288"/>
      <c r="CA310" s="286"/>
      <c r="CB310" s="286"/>
      <c r="CC310" s="287"/>
      <c r="CD310" s="286"/>
      <c r="CE310" s="286"/>
      <c r="CF310" s="286"/>
      <c r="CG310" s="287"/>
      <c r="CH310" s="288"/>
      <c r="CI310" s="286"/>
      <c r="CJ310" s="286"/>
      <c r="CK310" s="287"/>
      <c r="CL310" s="288"/>
      <c r="CM310" s="286"/>
      <c r="CN310" s="294"/>
      <c r="CO310" s="289"/>
      <c r="CP310" s="290"/>
      <c r="CQ310" s="289"/>
      <c r="CR310" s="290"/>
      <c r="CS310" s="284"/>
      <c r="CT310" s="147"/>
      <c r="CU310" s="291"/>
      <c r="CV310" s="292"/>
    </row>
    <row r="311" spans="2:100">
      <c r="B311">
        <v>253</v>
      </c>
      <c r="C311" s="243" t="str">
        <v/>
      </c>
      <c r="D311" s="592" t="str">
        <v/>
      </c>
      <c r="E311" s="245" t="str">
        <v/>
      </c>
      <c r="F311" s="243" t="str">
        <v/>
      </c>
      <c r="G311" s="245" t="str">
        <v/>
      </c>
      <c r="H311" s="243" t="str">
        <v/>
      </c>
      <c r="I311" s="245" t="str">
        <v/>
      </c>
      <c r="J311" s="242" t="str">
        <v/>
      </c>
      <c r="K311" s="242" t="str">
        <v/>
      </c>
      <c r="L311" s="242" t="str">
        <v/>
      </c>
      <c r="M311" s="243" t="str">
        <v/>
      </c>
      <c r="N311" s="592" t="str">
        <v/>
      </c>
      <c r="O311" s="245" t="str">
        <v/>
      </c>
      <c r="P311" s="245" t="str">
        <v/>
      </c>
      <c r="Q311" s="254" t="str">
        <v/>
      </c>
      <c r="R311" s="255" t="str">
        <v/>
      </c>
      <c r="S311" s="256" t="str">
        <v/>
      </c>
      <c r="T311" s="257" t="str">
        <v/>
      </c>
      <c r="U311" s="255" t="str">
        <v/>
      </c>
      <c r="V311" s="256" t="str">
        <v/>
      </c>
      <c r="W311" s="257" t="str">
        <v/>
      </c>
      <c r="X311" s="255" t="str">
        <v/>
      </c>
      <c r="Y311" s="256" t="str">
        <v/>
      </c>
      <c r="Z311" s="257" t="str">
        <v/>
      </c>
      <c r="AA311" s="255" t="str">
        <v/>
      </c>
      <c r="AB311" s="256" t="str">
        <v/>
      </c>
      <c r="AC311" s="257" t="str">
        <v/>
      </c>
      <c r="AD311" s="255" t="str">
        <v/>
      </c>
      <c r="AE311" s="256" t="str">
        <v/>
      </c>
      <c r="AF311" s="257" t="str">
        <v/>
      </c>
      <c r="AG311" s="255" t="str">
        <v/>
      </c>
      <c r="AH311" s="256" t="str">
        <v/>
      </c>
      <c r="AI311" s="257" t="str">
        <v/>
      </c>
      <c r="AJ311" s="255" t="str">
        <v/>
      </c>
      <c r="AK311" s="256" t="str">
        <v/>
      </c>
      <c r="AL311" s="257" t="str">
        <v/>
      </c>
      <c r="AM311" s="255" t="str">
        <v/>
      </c>
      <c r="AN311" s="256" t="str">
        <v/>
      </c>
      <c r="AO311" s="257" t="str">
        <v/>
      </c>
      <c r="AP311" s="255" t="str">
        <v/>
      </c>
      <c r="AQ311" s="256" t="str">
        <v/>
      </c>
      <c r="AR311" s="257" t="str">
        <v/>
      </c>
      <c r="AS311" s="255" t="str">
        <v/>
      </c>
      <c r="AT311" s="256" t="str">
        <v/>
      </c>
      <c r="AU311" s="257" t="str">
        <v/>
      </c>
      <c r="AV311" s="255" t="str">
        <v/>
      </c>
      <c r="AW311" s="256" t="str">
        <v/>
      </c>
      <c r="AX311" s="257" t="str">
        <v/>
      </c>
      <c r="AY311" s="243">
        <v>0</v>
      </c>
      <c r="AZ311" s="244">
        <v>0</v>
      </c>
      <c r="BA311" s="244">
        <v>0</v>
      </c>
      <c r="BB311" s="244">
        <v>0</v>
      </c>
      <c r="BC311" s="244">
        <v>0</v>
      </c>
      <c r="BD311" s="244">
        <v>0</v>
      </c>
      <c r="BE311" s="244">
        <v>0</v>
      </c>
      <c r="BF311" s="244">
        <v>0</v>
      </c>
      <c r="BG311" s="244">
        <v>0</v>
      </c>
      <c r="BH311" s="245">
        <v>0</v>
      </c>
      <c r="BK311">
        <v>253</v>
      </c>
      <c r="BL311" s="281"/>
      <c r="BM311" s="281"/>
      <c r="BN311" s="282"/>
      <c r="BO311" s="282"/>
      <c r="BP311" s="282"/>
      <c r="BQ311" s="283"/>
      <c r="BR311" s="284"/>
      <c r="BS311" s="147"/>
      <c r="BT311" s="285"/>
      <c r="BU311" s="288"/>
      <c r="BV311" s="287"/>
      <c r="BW311" s="288"/>
      <c r="BX311" s="286"/>
      <c r="BY311" s="287"/>
      <c r="BZ311" s="288"/>
      <c r="CA311" s="286"/>
      <c r="CB311" s="286"/>
      <c r="CC311" s="287"/>
      <c r="CD311" s="286"/>
      <c r="CE311" s="286"/>
      <c r="CF311" s="286"/>
      <c r="CG311" s="287"/>
      <c r="CH311" s="288"/>
      <c r="CI311" s="286"/>
      <c r="CJ311" s="286"/>
      <c r="CK311" s="287"/>
      <c r="CL311" s="288"/>
      <c r="CM311" s="286"/>
      <c r="CN311" s="294"/>
      <c r="CO311" s="289"/>
      <c r="CP311" s="290"/>
      <c r="CQ311" s="289"/>
      <c r="CR311" s="290"/>
      <c r="CS311" s="284"/>
      <c r="CT311" s="147"/>
      <c r="CU311" s="291"/>
      <c r="CV311" s="292"/>
    </row>
    <row r="312" spans="2:100">
      <c r="B312">
        <v>254</v>
      </c>
      <c r="C312" s="243" t="str">
        <v/>
      </c>
      <c r="D312" s="592" t="str">
        <v/>
      </c>
      <c r="E312" s="245" t="str">
        <v/>
      </c>
      <c r="F312" s="243" t="str">
        <v/>
      </c>
      <c r="G312" s="245" t="str">
        <v/>
      </c>
      <c r="H312" s="243" t="str">
        <v/>
      </c>
      <c r="I312" s="245" t="str">
        <v/>
      </c>
      <c r="J312" s="242" t="str">
        <v/>
      </c>
      <c r="K312" s="242" t="str">
        <v/>
      </c>
      <c r="L312" s="242" t="str">
        <v/>
      </c>
      <c r="M312" s="243" t="str">
        <v/>
      </c>
      <c r="N312" s="592" t="str">
        <v/>
      </c>
      <c r="O312" s="245" t="str">
        <v/>
      </c>
      <c r="P312" s="245" t="str">
        <v/>
      </c>
      <c r="Q312" s="254" t="str">
        <v/>
      </c>
      <c r="R312" s="255" t="str">
        <v/>
      </c>
      <c r="S312" s="256" t="str">
        <v/>
      </c>
      <c r="T312" s="257" t="str">
        <v/>
      </c>
      <c r="U312" s="255" t="str">
        <v/>
      </c>
      <c r="V312" s="256" t="str">
        <v/>
      </c>
      <c r="W312" s="257" t="str">
        <v/>
      </c>
      <c r="X312" s="255" t="str">
        <v/>
      </c>
      <c r="Y312" s="256" t="str">
        <v/>
      </c>
      <c r="Z312" s="257" t="str">
        <v/>
      </c>
      <c r="AA312" s="255" t="str">
        <v/>
      </c>
      <c r="AB312" s="256" t="str">
        <v/>
      </c>
      <c r="AC312" s="257" t="str">
        <v/>
      </c>
      <c r="AD312" s="255" t="str">
        <v/>
      </c>
      <c r="AE312" s="256" t="str">
        <v/>
      </c>
      <c r="AF312" s="257" t="str">
        <v/>
      </c>
      <c r="AG312" s="255" t="str">
        <v/>
      </c>
      <c r="AH312" s="256" t="str">
        <v/>
      </c>
      <c r="AI312" s="257" t="str">
        <v/>
      </c>
      <c r="AJ312" s="255" t="str">
        <v/>
      </c>
      <c r="AK312" s="256" t="str">
        <v/>
      </c>
      <c r="AL312" s="257" t="str">
        <v/>
      </c>
      <c r="AM312" s="255" t="str">
        <v/>
      </c>
      <c r="AN312" s="256" t="str">
        <v/>
      </c>
      <c r="AO312" s="257" t="str">
        <v/>
      </c>
      <c r="AP312" s="255" t="str">
        <v/>
      </c>
      <c r="AQ312" s="256" t="str">
        <v/>
      </c>
      <c r="AR312" s="257" t="str">
        <v/>
      </c>
      <c r="AS312" s="255" t="str">
        <v/>
      </c>
      <c r="AT312" s="256" t="str">
        <v/>
      </c>
      <c r="AU312" s="257" t="str">
        <v/>
      </c>
      <c r="AV312" s="255" t="str">
        <v/>
      </c>
      <c r="AW312" s="256" t="str">
        <v/>
      </c>
      <c r="AX312" s="257" t="str">
        <v/>
      </c>
      <c r="AY312" s="243">
        <v>0</v>
      </c>
      <c r="AZ312" s="244">
        <v>0</v>
      </c>
      <c r="BA312" s="244">
        <v>0</v>
      </c>
      <c r="BB312" s="244">
        <v>0</v>
      </c>
      <c r="BC312" s="244">
        <v>0</v>
      </c>
      <c r="BD312" s="244">
        <v>0</v>
      </c>
      <c r="BE312" s="244">
        <v>0</v>
      </c>
      <c r="BF312" s="244">
        <v>0</v>
      </c>
      <c r="BG312" s="244">
        <v>0</v>
      </c>
      <c r="BH312" s="245">
        <v>0</v>
      </c>
      <c r="BK312">
        <v>254</v>
      </c>
      <c r="BL312" s="281"/>
      <c r="BM312" s="281"/>
      <c r="BN312" s="282"/>
      <c r="BO312" s="282"/>
      <c r="BP312" s="282"/>
      <c r="BQ312" s="283"/>
      <c r="BR312" s="284"/>
      <c r="BS312" s="147"/>
      <c r="BT312" s="285"/>
      <c r="BU312" s="288"/>
      <c r="BV312" s="287"/>
      <c r="BW312" s="288"/>
      <c r="BX312" s="286"/>
      <c r="BY312" s="287"/>
      <c r="BZ312" s="288"/>
      <c r="CA312" s="286"/>
      <c r="CB312" s="286"/>
      <c r="CC312" s="287"/>
      <c r="CD312" s="286"/>
      <c r="CE312" s="286"/>
      <c r="CF312" s="286"/>
      <c r="CG312" s="287"/>
      <c r="CH312" s="288"/>
      <c r="CI312" s="286"/>
      <c r="CJ312" s="286"/>
      <c r="CK312" s="287"/>
      <c r="CL312" s="288"/>
      <c r="CM312" s="286"/>
      <c r="CN312" s="294"/>
      <c r="CO312" s="289"/>
      <c r="CP312" s="290"/>
      <c r="CQ312" s="289"/>
      <c r="CR312" s="290"/>
      <c r="CS312" s="284"/>
      <c r="CT312" s="147"/>
      <c r="CU312" s="291"/>
      <c r="CV312" s="292"/>
    </row>
    <row r="313" spans="2:100">
      <c r="B313">
        <v>255</v>
      </c>
      <c r="C313" s="243" t="str">
        <v/>
      </c>
      <c r="D313" s="592" t="str">
        <v/>
      </c>
      <c r="E313" s="245" t="str">
        <v/>
      </c>
      <c r="F313" s="243" t="str">
        <v/>
      </c>
      <c r="G313" s="245" t="str">
        <v/>
      </c>
      <c r="H313" s="243" t="str">
        <v/>
      </c>
      <c r="I313" s="245" t="str">
        <v/>
      </c>
      <c r="J313" s="242" t="str">
        <v/>
      </c>
      <c r="K313" s="242" t="str">
        <v/>
      </c>
      <c r="L313" s="242" t="str">
        <v/>
      </c>
      <c r="M313" s="243" t="str">
        <v/>
      </c>
      <c r="N313" s="592" t="str">
        <v/>
      </c>
      <c r="O313" s="245" t="str">
        <v/>
      </c>
      <c r="P313" s="245" t="str">
        <v/>
      </c>
      <c r="Q313" s="254" t="str">
        <v/>
      </c>
      <c r="R313" s="255" t="str">
        <v/>
      </c>
      <c r="S313" s="256" t="str">
        <v/>
      </c>
      <c r="T313" s="257" t="str">
        <v/>
      </c>
      <c r="U313" s="255" t="str">
        <v/>
      </c>
      <c r="V313" s="256" t="str">
        <v/>
      </c>
      <c r="W313" s="257" t="str">
        <v/>
      </c>
      <c r="X313" s="255" t="str">
        <v/>
      </c>
      <c r="Y313" s="256" t="str">
        <v/>
      </c>
      <c r="Z313" s="257" t="str">
        <v/>
      </c>
      <c r="AA313" s="255" t="str">
        <v/>
      </c>
      <c r="AB313" s="256" t="str">
        <v/>
      </c>
      <c r="AC313" s="257" t="str">
        <v/>
      </c>
      <c r="AD313" s="255" t="str">
        <v/>
      </c>
      <c r="AE313" s="256" t="str">
        <v/>
      </c>
      <c r="AF313" s="257" t="str">
        <v/>
      </c>
      <c r="AG313" s="255" t="str">
        <v/>
      </c>
      <c r="AH313" s="256" t="str">
        <v/>
      </c>
      <c r="AI313" s="257" t="str">
        <v/>
      </c>
      <c r="AJ313" s="255" t="str">
        <v/>
      </c>
      <c r="AK313" s="256" t="str">
        <v/>
      </c>
      <c r="AL313" s="257" t="str">
        <v/>
      </c>
      <c r="AM313" s="255" t="str">
        <v/>
      </c>
      <c r="AN313" s="256" t="str">
        <v/>
      </c>
      <c r="AO313" s="257" t="str">
        <v/>
      </c>
      <c r="AP313" s="255" t="str">
        <v/>
      </c>
      <c r="AQ313" s="256" t="str">
        <v/>
      </c>
      <c r="AR313" s="257" t="str">
        <v/>
      </c>
      <c r="AS313" s="255" t="str">
        <v/>
      </c>
      <c r="AT313" s="256" t="str">
        <v/>
      </c>
      <c r="AU313" s="257" t="str">
        <v/>
      </c>
      <c r="AV313" s="255" t="str">
        <v/>
      </c>
      <c r="AW313" s="256" t="str">
        <v/>
      </c>
      <c r="AX313" s="257" t="str">
        <v/>
      </c>
      <c r="AY313" s="243">
        <v>0</v>
      </c>
      <c r="AZ313" s="244">
        <v>0</v>
      </c>
      <c r="BA313" s="244">
        <v>0</v>
      </c>
      <c r="BB313" s="244">
        <v>0</v>
      </c>
      <c r="BC313" s="244">
        <v>0</v>
      </c>
      <c r="BD313" s="244">
        <v>0</v>
      </c>
      <c r="BE313" s="244">
        <v>0</v>
      </c>
      <c r="BF313" s="244">
        <v>0</v>
      </c>
      <c r="BG313" s="244">
        <v>0</v>
      </c>
      <c r="BH313" s="245">
        <v>0</v>
      </c>
      <c r="BK313">
        <v>255</v>
      </c>
      <c r="BL313" s="281"/>
      <c r="BM313" s="281"/>
      <c r="BN313" s="282"/>
      <c r="BO313" s="282"/>
      <c r="BP313" s="282"/>
      <c r="BQ313" s="283"/>
      <c r="BR313" s="284"/>
      <c r="BS313" s="147"/>
      <c r="BT313" s="285"/>
      <c r="BU313" s="288"/>
      <c r="BV313" s="287"/>
      <c r="BW313" s="288"/>
      <c r="BX313" s="286"/>
      <c r="BY313" s="287"/>
      <c r="BZ313" s="288"/>
      <c r="CA313" s="286"/>
      <c r="CB313" s="286"/>
      <c r="CC313" s="287"/>
      <c r="CD313" s="286"/>
      <c r="CE313" s="286"/>
      <c r="CF313" s="286"/>
      <c r="CG313" s="287"/>
      <c r="CH313" s="288"/>
      <c r="CI313" s="286"/>
      <c r="CJ313" s="286"/>
      <c r="CK313" s="287"/>
      <c r="CL313" s="288"/>
      <c r="CM313" s="286"/>
      <c r="CN313" s="294"/>
      <c r="CO313" s="289"/>
      <c r="CP313" s="290"/>
      <c r="CQ313" s="289"/>
      <c r="CR313" s="290"/>
      <c r="CS313" s="284"/>
      <c r="CT313" s="147"/>
      <c r="CU313" s="291"/>
      <c r="CV313" s="292"/>
    </row>
    <row r="314" spans="2:100">
      <c r="B314">
        <v>256</v>
      </c>
      <c r="C314" s="243" t="str">
        <v/>
      </c>
      <c r="D314" s="592" t="str">
        <v/>
      </c>
      <c r="E314" s="245" t="str">
        <v/>
      </c>
      <c r="F314" s="243" t="str">
        <v/>
      </c>
      <c r="G314" s="245" t="str">
        <v/>
      </c>
      <c r="H314" s="243" t="str">
        <v/>
      </c>
      <c r="I314" s="245" t="str">
        <v/>
      </c>
      <c r="J314" s="242" t="str">
        <v/>
      </c>
      <c r="K314" s="242" t="str">
        <v/>
      </c>
      <c r="L314" s="242" t="str">
        <v/>
      </c>
      <c r="M314" s="243" t="str">
        <v/>
      </c>
      <c r="N314" s="592" t="str">
        <v/>
      </c>
      <c r="O314" s="245" t="str">
        <v/>
      </c>
      <c r="P314" s="245" t="str">
        <v/>
      </c>
      <c r="Q314" s="254" t="str">
        <v/>
      </c>
      <c r="R314" s="255" t="str">
        <v/>
      </c>
      <c r="S314" s="256" t="str">
        <v/>
      </c>
      <c r="T314" s="257" t="str">
        <v/>
      </c>
      <c r="U314" s="255" t="str">
        <v/>
      </c>
      <c r="V314" s="256" t="str">
        <v/>
      </c>
      <c r="W314" s="257" t="str">
        <v/>
      </c>
      <c r="X314" s="255" t="str">
        <v/>
      </c>
      <c r="Y314" s="256" t="str">
        <v/>
      </c>
      <c r="Z314" s="257" t="str">
        <v/>
      </c>
      <c r="AA314" s="255" t="str">
        <v/>
      </c>
      <c r="AB314" s="256" t="str">
        <v/>
      </c>
      <c r="AC314" s="257" t="str">
        <v/>
      </c>
      <c r="AD314" s="255" t="str">
        <v/>
      </c>
      <c r="AE314" s="256" t="str">
        <v/>
      </c>
      <c r="AF314" s="257" t="str">
        <v/>
      </c>
      <c r="AG314" s="255" t="str">
        <v/>
      </c>
      <c r="AH314" s="256" t="str">
        <v/>
      </c>
      <c r="AI314" s="257" t="str">
        <v/>
      </c>
      <c r="AJ314" s="255" t="str">
        <v/>
      </c>
      <c r="AK314" s="256" t="str">
        <v/>
      </c>
      <c r="AL314" s="257" t="str">
        <v/>
      </c>
      <c r="AM314" s="255" t="str">
        <v/>
      </c>
      <c r="AN314" s="256" t="str">
        <v/>
      </c>
      <c r="AO314" s="257" t="str">
        <v/>
      </c>
      <c r="AP314" s="255" t="str">
        <v/>
      </c>
      <c r="AQ314" s="256" t="str">
        <v/>
      </c>
      <c r="AR314" s="257" t="str">
        <v/>
      </c>
      <c r="AS314" s="255" t="str">
        <v/>
      </c>
      <c r="AT314" s="256" t="str">
        <v/>
      </c>
      <c r="AU314" s="257" t="str">
        <v/>
      </c>
      <c r="AV314" s="255" t="str">
        <v/>
      </c>
      <c r="AW314" s="256" t="str">
        <v/>
      </c>
      <c r="AX314" s="257" t="str">
        <v/>
      </c>
      <c r="AY314" s="243">
        <v>0</v>
      </c>
      <c r="AZ314" s="244">
        <v>0</v>
      </c>
      <c r="BA314" s="244">
        <v>0</v>
      </c>
      <c r="BB314" s="244">
        <v>0</v>
      </c>
      <c r="BC314" s="244">
        <v>0</v>
      </c>
      <c r="BD314" s="244">
        <v>0</v>
      </c>
      <c r="BE314" s="244">
        <v>0</v>
      </c>
      <c r="BF314" s="244">
        <v>0</v>
      </c>
      <c r="BG314" s="244">
        <v>0</v>
      </c>
      <c r="BH314" s="245">
        <v>0</v>
      </c>
      <c r="BK314">
        <v>256</v>
      </c>
      <c r="BL314" s="281"/>
      <c r="BM314" s="281"/>
      <c r="BN314" s="282"/>
      <c r="BO314" s="282"/>
      <c r="BP314" s="282"/>
      <c r="BQ314" s="283"/>
      <c r="BR314" s="284"/>
      <c r="BS314" s="147"/>
      <c r="BT314" s="285"/>
      <c r="BU314" s="288"/>
      <c r="BV314" s="287"/>
      <c r="BW314" s="288"/>
      <c r="BX314" s="286"/>
      <c r="BY314" s="287"/>
      <c r="BZ314" s="288"/>
      <c r="CA314" s="286"/>
      <c r="CB314" s="286"/>
      <c r="CC314" s="287"/>
      <c r="CD314" s="286"/>
      <c r="CE314" s="286"/>
      <c r="CF314" s="286"/>
      <c r="CG314" s="287"/>
      <c r="CH314" s="288"/>
      <c r="CI314" s="286"/>
      <c r="CJ314" s="286"/>
      <c r="CK314" s="287"/>
      <c r="CL314" s="288"/>
      <c r="CM314" s="286"/>
      <c r="CN314" s="294"/>
      <c r="CO314" s="289"/>
      <c r="CP314" s="290"/>
      <c r="CQ314" s="289"/>
      <c r="CR314" s="290"/>
      <c r="CS314" s="284"/>
      <c r="CT314" s="147"/>
      <c r="CU314" s="291"/>
      <c r="CV314" s="292"/>
    </row>
    <row r="315" spans="2:100">
      <c r="B315">
        <v>257</v>
      </c>
      <c r="C315" s="243" t="str">
        <v/>
      </c>
      <c r="D315" s="592" t="str">
        <v/>
      </c>
      <c r="E315" s="245" t="str">
        <v/>
      </c>
      <c r="F315" s="243" t="str">
        <v/>
      </c>
      <c r="G315" s="245" t="str">
        <v/>
      </c>
      <c r="H315" s="243" t="str">
        <v/>
      </c>
      <c r="I315" s="245" t="str">
        <v/>
      </c>
      <c r="J315" s="242" t="str">
        <v/>
      </c>
      <c r="K315" s="242" t="str">
        <v/>
      </c>
      <c r="L315" s="242" t="str">
        <v/>
      </c>
      <c r="M315" s="243" t="str">
        <v/>
      </c>
      <c r="N315" s="592" t="str">
        <v/>
      </c>
      <c r="O315" s="245" t="str">
        <v/>
      </c>
      <c r="P315" s="245" t="str">
        <v/>
      </c>
      <c r="Q315" s="254" t="str">
        <v/>
      </c>
      <c r="R315" s="255" t="str">
        <v/>
      </c>
      <c r="S315" s="256" t="str">
        <v/>
      </c>
      <c r="T315" s="257" t="str">
        <v/>
      </c>
      <c r="U315" s="255" t="str">
        <v/>
      </c>
      <c r="V315" s="256" t="str">
        <v/>
      </c>
      <c r="W315" s="257" t="str">
        <v/>
      </c>
      <c r="X315" s="255" t="str">
        <v/>
      </c>
      <c r="Y315" s="256" t="str">
        <v/>
      </c>
      <c r="Z315" s="257" t="str">
        <v/>
      </c>
      <c r="AA315" s="255" t="str">
        <v/>
      </c>
      <c r="AB315" s="256" t="str">
        <v/>
      </c>
      <c r="AC315" s="257" t="str">
        <v/>
      </c>
      <c r="AD315" s="255" t="str">
        <v/>
      </c>
      <c r="AE315" s="256" t="str">
        <v/>
      </c>
      <c r="AF315" s="257" t="str">
        <v/>
      </c>
      <c r="AG315" s="255" t="str">
        <v/>
      </c>
      <c r="AH315" s="256" t="str">
        <v/>
      </c>
      <c r="AI315" s="257" t="str">
        <v/>
      </c>
      <c r="AJ315" s="255" t="str">
        <v/>
      </c>
      <c r="AK315" s="256" t="str">
        <v/>
      </c>
      <c r="AL315" s="257" t="str">
        <v/>
      </c>
      <c r="AM315" s="255" t="str">
        <v/>
      </c>
      <c r="AN315" s="256" t="str">
        <v/>
      </c>
      <c r="AO315" s="257" t="str">
        <v/>
      </c>
      <c r="AP315" s="255" t="str">
        <v/>
      </c>
      <c r="AQ315" s="256" t="str">
        <v/>
      </c>
      <c r="AR315" s="257" t="str">
        <v/>
      </c>
      <c r="AS315" s="255" t="str">
        <v/>
      </c>
      <c r="AT315" s="256" t="str">
        <v/>
      </c>
      <c r="AU315" s="257" t="str">
        <v/>
      </c>
      <c r="AV315" s="255" t="str">
        <v/>
      </c>
      <c r="AW315" s="256" t="str">
        <v/>
      </c>
      <c r="AX315" s="257" t="str">
        <v/>
      </c>
      <c r="AY315" s="243">
        <v>0</v>
      </c>
      <c r="AZ315" s="244">
        <v>0</v>
      </c>
      <c r="BA315" s="244">
        <v>0</v>
      </c>
      <c r="BB315" s="244">
        <v>0</v>
      </c>
      <c r="BC315" s="244">
        <v>0</v>
      </c>
      <c r="BD315" s="244">
        <v>0</v>
      </c>
      <c r="BE315" s="244">
        <v>0</v>
      </c>
      <c r="BF315" s="244">
        <v>0</v>
      </c>
      <c r="BG315" s="244">
        <v>0</v>
      </c>
      <c r="BH315" s="245">
        <v>0</v>
      </c>
      <c r="BK315">
        <v>257</v>
      </c>
      <c r="BL315" s="281"/>
      <c r="BM315" s="281"/>
      <c r="BN315" s="282"/>
      <c r="BO315" s="282"/>
      <c r="BP315" s="282"/>
      <c r="BQ315" s="283"/>
      <c r="BR315" s="284"/>
      <c r="BS315" s="147"/>
      <c r="BT315" s="285"/>
      <c r="BU315" s="288"/>
      <c r="BV315" s="287"/>
      <c r="BW315" s="288"/>
      <c r="BX315" s="286"/>
      <c r="BY315" s="287"/>
      <c r="BZ315" s="288"/>
      <c r="CA315" s="286"/>
      <c r="CB315" s="286"/>
      <c r="CC315" s="287"/>
      <c r="CD315" s="286"/>
      <c r="CE315" s="286"/>
      <c r="CF315" s="286"/>
      <c r="CG315" s="287"/>
      <c r="CH315" s="288"/>
      <c r="CI315" s="286"/>
      <c r="CJ315" s="286"/>
      <c r="CK315" s="287"/>
      <c r="CL315" s="288"/>
      <c r="CM315" s="286"/>
      <c r="CN315" s="294"/>
      <c r="CO315" s="289"/>
      <c r="CP315" s="290"/>
      <c r="CQ315" s="289"/>
      <c r="CR315" s="290"/>
      <c r="CS315" s="284"/>
      <c r="CT315" s="147"/>
      <c r="CU315" s="291"/>
      <c r="CV315" s="292"/>
    </row>
    <row r="316" spans="2:100">
      <c r="B316">
        <v>258</v>
      </c>
      <c r="C316" s="243" t="str">
        <v/>
      </c>
      <c r="D316" s="592" t="str">
        <v/>
      </c>
      <c r="E316" s="245" t="str">
        <v/>
      </c>
      <c r="F316" s="243" t="str">
        <v/>
      </c>
      <c r="G316" s="245" t="str">
        <v/>
      </c>
      <c r="H316" s="243" t="str">
        <v/>
      </c>
      <c r="I316" s="245" t="str">
        <v/>
      </c>
      <c r="J316" s="242" t="str">
        <v/>
      </c>
      <c r="K316" s="242" t="str">
        <v/>
      </c>
      <c r="L316" s="242" t="str">
        <v/>
      </c>
      <c r="M316" s="243" t="str">
        <v/>
      </c>
      <c r="N316" s="592" t="str">
        <v/>
      </c>
      <c r="O316" s="245" t="str">
        <v/>
      </c>
      <c r="P316" s="245" t="str">
        <v/>
      </c>
      <c r="Q316" s="254" t="str">
        <v/>
      </c>
      <c r="R316" s="255" t="str">
        <v/>
      </c>
      <c r="S316" s="256" t="str">
        <v/>
      </c>
      <c r="T316" s="257" t="str">
        <v/>
      </c>
      <c r="U316" s="255" t="str">
        <v/>
      </c>
      <c r="V316" s="256" t="str">
        <v/>
      </c>
      <c r="W316" s="257" t="str">
        <v/>
      </c>
      <c r="X316" s="255" t="str">
        <v/>
      </c>
      <c r="Y316" s="256" t="str">
        <v/>
      </c>
      <c r="Z316" s="257" t="str">
        <v/>
      </c>
      <c r="AA316" s="255" t="str">
        <v/>
      </c>
      <c r="AB316" s="256" t="str">
        <v/>
      </c>
      <c r="AC316" s="257" t="str">
        <v/>
      </c>
      <c r="AD316" s="255" t="str">
        <v/>
      </c>
      <c r="AE316" s="256" t="str">
        <v/>
      </c>
      <c r="AF316" s="257" t="str">
        <v/>
      </c>
      <c r="AG316" s="255" t="str">
        <v/>
      </c>
      <c r="AH316" s="256" t="str">
        <v/>
      </c>
      <c r="AI316" s="257" t="str">
        <v/>
      </c>
      <c r="AJ316" s="255" t="str">
        <v/>
      </c>
      <c r="AK316" s="256" t="str">
        <v/>
      </c>
      <c r="AL316" s="257" t="str">
        <v/>
      </c>
      <c r="AM316" s="255" t="str">
        <v/>
      </c>
      <c r="AN316" s="256" t="str">
        <v/>
      </c>
      <c r="AO316" s="257" t="str">
        <v/>
      </c>
      <c r="AP316" s="255" t="str">
        <v/>
      </c>
      <c r="AQ316" s="256" t="str">
        <v/>
      </c>
      <c r="AR316" s="257" t="str">
        <v/>
      </c>
      <c r="AS316" s="255" t="str">
        <v/>
      </c>
      <c r="AT316" s="256" t="str">
        <v/>
      </c>
      <c r="AU316" s="257" t="str">
        <v/>
      </c>
      <c r="AV316" s="255" t="str">
        <v/>
      </c>
      <c r="AW316" s="256" t="str">
        <v/>
      </c>
      <c r="AX316" s="257" t="str">
        <v/>
      </c>
      <c r="AY316" s="243">
        <v>0</v>
      </c>
      <c r="AZ316" s="244">
        <v>0</v>
      </c>
      <c r="BA316" s="244">
        <v>0</v>
      </c>
      <c r="BB316" s="244">
        <v>0</v>
      </c>
      <c r="BC316" s="244">
        <v>0</v>
      </c>
      <c r="BD316" s="244">
        <v>0</v>
      </c>
      <c r="BE316" s="244">
        <v>0</v>
      </c>
      <c r="BF316" s="244">
        <v>0</v>
      </c>
      <c r="BG316" s="244">
        <v>0</v>
      </c>
      <c r="BH316" s="245">
        <v>0</v>
      </c>
      <c r="BK316">
        <v>258</v>
      </c>
      <c r="BL316" s="281"/>
      <c r="BM316" s="281"/>
      <c r="BN316" s="282"/>
      <c r="BO316" s="282"/>
      <c r="BP316" s="282"/>
      <c r="BQ316" s="283"/>
      <c r="BR316" s="284"/>
      <c r="BS316" s="147"/>
      <c r="BT316" s="285"/>
      <c r="BU316" s="288"/>
      <c r="BV316" s="287"/>
      <c r="BW316" s="288"/>
      <c r="BX316" s="286"/>
      <c r="BY316" s="287"/>
      <c r="BZ316" s="288"/>
      <c r="CA316" s="286"/>
      <c r="CB316" s="286"/>
      <c r="CC316" s="287"/>
      <c r="CD316" s="286"/>
      <c r="CE316" s="286"/>
      <c r="CF316" s="286"/>
      <c r="CG316" s="287"/>
      <c r="CH316" s="288"/>
      <c r="CI316" s="286"/>
      <c r="CJ316" s="286"/>
      <c r="CK316" s="287"/>
      <c r="CL316" s="288"/>
      <c r="CM316" s="286"/>
      <c r="CN316" s="294"/>
      <c r="CO316" s="289"/>
      <c r="CP316" s="290"/>
      <c r="CQ316" s="289"/>
      <c r="CR316" s="290"/>
      <c r="CS316" s="284"/>
      <c r="CT316" s="147"/>
      <c r="CU316" s="291"/>
      <c r="CV316" s="292"/>
    </row>
    <row r="317" spans="2:100">
      <c r="B317">
        <v>259</v>
      </c>
      <c r="C317" s="243" t="str">
        <v/>
      </c>
      <c r="D317" s="592" t="str">
        <v/>
      </c>
      <c r="E317" s="245" t="str">
        <v/>
      </c>
      <c r="F317" s="243" t="str">
        <v/>
      </c>
      <c r="G317" s="245" t="str">
        <v/>
      </c>
      <c r="H317" s="243" t="str">
        <v/>
      </c>
      <c r="I317" s="245" t="str">
        <v/>
      </c>
      <c r="J317" s="242" t="str">
        <v/>
      </c>
      <c r="K317" s="242" t="str">
        <v/>
      </c>
      <c r="L317" s="242" t="str">
        <v/>
      </c>
      <c r="M317" s="243" t="str">
        <v/>
      </c>
      <c r="N317" s="592" t="str">
        <v/>
      </c>
      <c r="O317" s="245" t="str">
        <v/>
      </c>
      <c r="P317" s="245" t="str">
        <v/>
      </c>
      <c r="Q317" s="254" t="str">
        <v/>
      </c>
      <c r="R317" s="255" t="str">
        <v/>
      </c>
      <c r="S317" s="256" t="str">
        <v/>
      </c>
      <c r="T317" s="257" t="str">
        <v/>
      </c>
      <c r="U317" s="255" t="str">
        <v/>
      </c>
      <c r="V317" s="256" t="str">
        <v/>
      </c>
      <c r="W317" s="257" t="str">
        <v/>
      </c>
      <c r="X317" s="255" t="str">
        <v/>
      </c>
      <c r="Y317" s="256" t="str">
        <v/>
      </c>
      <c r="Z317" s="257" t="str">
        <v/>
      </c>
      <c r="AA317" s="255" t="str">
        <v/>
      </c>
      <c r="AB317" s="256" t="str">
        <v/>
      </c>
      <c r="AC317" s="257" t="str">
        <v/>
      </c>
      <c r="AD317" s="255" t="str">
        <v/>
      </c>
      <c r="AE317" s="256" t="str">
        <v/>
      </c>
      <c r="AF317" s="257" t="str">
        <v/>
      </c>
      <c r="AG317" s="255" t="str">
        <v/>
      </c>
      <c r="AH317" s="256" t="str">
        <v/>
      </c>
      <c r="AI317" s="257" t="str">
        <v/>
      </c>
      <c r="AJ317" s="255" t="str">
        <v/>
      </c>
      <c r="AK317" s="256" t="str">
        <v/>
      </c>
      <c r="AL317" s="257" t="str">
        <v/>
      </c>
      <c r="AM317" s="255" t="str">
        <v/>
      </c>
      <c r="AN317" s="256" t="str">
        <v/>
      </c>
      <c r="AO317" s="257" t="str">
        <v/>
      </c>
      <c r="AP317" s="255" t="str">
        <v/>
      </c>
      <c r="AQ317" s="256" t="str">
        <v/>
      </c>
      <c r="AR317" s="257" t="str">
        <v/>
      </c>
      <c r="AS317" s="255" t="str">
        <v/>
      </c>
      <c r="AT317" s="256" t="str">
        <v/>
      </c>
      <c r="AU317" s="257" t="str">
        <v/>
      </c>
      <c r="AV317" s="255" t="str">
        <v/>
      </c>
      <c r="AW317" s="256" t="str">
        <v/>
      </c>
      <c r="AX317" s="257" t="str">
        <v/>
      </c>
      <c r="AY317" s="243">
        <v>0</v>
      </c>
      <c r="AZ317" s="244">
        <v>0</v>
      </c>
      <c r="BA317" s="244">
        <v>0</v>
      </c>
      <c r="BB317" s="244">
        <v>0</v>
      </c>
      <c r="BC317" s="244">
        <v>0</v>
      </c>
      <c r="BD317" s="244">
        <v>0</v>
      </c>
      <c r="BE317" s="244">
        <v>0</v>
      </c>
      <c r="BF317" s="244">
        <v>0</v>
      </c>
      <c r="BG317" s="244">
        <v>0</v>
      </c>
      <c r="BH317" s="245">
        <v>0</v>
      </c>
      <c r="BK317">
        <v>259</v>
      </c>
      <c r="BL317" s="281"/>
      <c r="BM317" s="281"/>
      <c r="BN317" s="282"/>
      <c r="BO317" s="282"/>
      <c r="BP317" s="282"/>
      <c r="BQ317" s="283"/>
      <c r="BR317" s="284"/>
      <c r="BS317" s="147"/>
      <c r="BT317" s="285"/>
      <c r="BU317" s="288"/>
      <c r="BV317" s="287"/>
      <c r="BW317" s="288"/>
      <c r="BX317" s="286"/>
      <c r="BY317" s="287"/>
      <c r="BZ317" s="288"/>
      <c r="CA317" s="286"/>
      <c r="CB317" s="286"/>
      <c r="CC317" s="287"/>
      <c r="CD317" s="286"/>
      <c r="CE317" s="286"/>
      <c r="CF317" s="286"/>
      <c r="CG317" s="287"/>
      <c r="CH317" s="288"/>
      <c r="CI317" s="286"/>
      <c r="CJ317" s="286"/>
      <c r="CK317" s="287"/>
      <c r="CL317" s="288"/>
      <c r="CM317" s="286"/>
      <c r="CN317" s="294"/>
      <c r="CO317" s="289"/>
      <c r="CP317" s="290"/>
      <c r="CQ317" s="289"/>
      <c r="CR317" s="290"/>
      <c r="CS317" s="284"/>
      <c r="CT317" s="147"/>
      <c r="CU317" s="291"/>
      <c r="CV317" s="292"/>
    </row>
    <row r="318" spans="2:100">
      <c r="B318">
        <v>260</v>
      </c>
      <c r="C318" s="243" t="str">
        <v/>
      </c>
      <c r="D318" s="592" t="str">
        <v/>
      </c>
      <c r="E318" s="245" t="str">
        <v/>
      </c>
      <c r="F318" s="243" t="str">
        <v/>
      </c>
      <c r="G318" s="245" t="str">
        <v/>
      </c>
      <c r="H318" s="243" t="str">
        <v/>
      </c>
      <c r="I318" s="245" t="str">
        <v/>
      </c>
      <c r="J318" s="242" t="str">
        <v/>
      </c>
      <c r="K318" s="242" t="str">
        <v/>
      </c>
      <c r="L318" s="242" t="str">
        <v/>
      </c>
      <c r="M318" s="243" t="str">
        <v/>
      </c>
      <c r="N318" s="592" t="str">
        <v/>
      </c>
      <c r="O318" s="245" t="str">
        <v/>
      </c>
      <c r="P318" s="245" t="str">
        <v/>
      </c>
      <c r="Q318" s="254" t="str">
        <v/>
      </c>
      <c r="R318" s="255" t="str">
        <v/>
      </c>
      <c r="S318" s="256" t="str">
        <v/>
      </c>
      <c r="T318" s="257" t="str">
        <v/>
      </c>
      <c r="U318" s="255" t="str">
        <v/>
      </c>
      <c r="V318" s="256" t="str">
        <v/>
      </c>
      <c r="W318" s="257" t="str">
        <v/>
      </c>
      <c r="X318" s="255" t="str">
        <v/>
      </c>
      <c r="Y318" s="256" t="str">
        <v/>
      </c>
      <c r="Z318" s="257" t="str">
        <v/>
      </c>
      <c r="AA318" s="255" t="str">
        <v/>
      </c>
      <c r="AB318" s="256" t="str">
        <v/>
      </c>
      <c r="AC318" s="257" t="str">
        <v/>
      </c>
      <c r="AD318" s="255" t="str">
        <v/>
      </c>
      <c r="AE318" s="256" t="str">
        <v/>
      </c>
      <c r="AF318" s="257" t="str">
        <v/>
      </c>
      <c r="AG318" s="255" t="str">
        <v/>
      </c>
      <c r="AH318" s="256" t="str">
        <v/>
      </c>
      <c r="AI318" s="257" t="str">
        <v/>
      </c>
      <c r="AJ318" s="255" t="str">
        <v/>
      </c>
      <c r="AK318" s="256" t="str">
        <v/>
      </c>
      <c r="AL318" s="257" t="str">
        <v/>
      </c>
      <c r="AM318" s="255" t="str">
        <v/>
      </c>
      <c r="AN318" s="256" t="str">
        <v/>
      </c>
      <c r="AO318" s="257" t="str">
        <v/>
      </c>
      <c r="AP318" s="255" t="str">
        <v/>
      </c>
      <c r="AQ318" s="256" t="str">
        <v/>
      </c>
      <c r="AR318" s="257" t="str">
        <v/>
      </c>
      <c r="AS318" s="255" t="str">
        <v/>
      </c>
      <c r="AT318" s="256" t="str">
        <v/>
      </c>
      <c r="AU318" s="257" t="str">
        <v/>
      </c>
      <c r="AV318" s="255" t="str">
        <v/>
      </c>
      <c r="AW318" s="256" t="str">
        <v/>
      </c>
      <c r="AX318" s="257" t="str">
        <v/>
      </c>
      <c r="AY318" s="243">
        <v>0</v>
      </c>
      <c r="AZ318" s="244">
        <v>0</v>
      </c>
      <c r="BA318" s="244">
        <v>0</v>
      </c>
      <c r="BB318" s="244">
        <v>0</v>
      </c>
      <c r="BC318" s="244">
        <v>0</v>
      </c>
      <c r="BD318" s="244">
        <v>0</v>
      </c>
      <c r="BE318" s="244">
        <v>0</v>
      </c>
      <c r="BF318" s="244">
        <v>0</v>
      </c>
      <c r="BG318" s="244">
        <v>0</v>
      </c>
      <c r="BH318" s="245">
        <v>0</v>
      </c>
      <c r="BK318">
        <v>260</v>
      </c>
      <c r="BL318" s="281"/>
      <c r="BM318" s="281"/>
      <c r="BN318" s="282"/>
      <c r="BO318" s="282"/>
      <c r="BP318" s="282"/>
      <c r="BQ318" s="283"/>
      <c r="BR318" s="284"/>
      <c r="BS318" s="147"/>
      <c r="BT318" s="285"/>
      <c r="BU318" s="288"/>
      <c r="BV318" s="287"/>
      <c r="BW318" s="288"/>
      <c r="BX318" s="286"/>
      <c r="BY318" s="287"/>
      <c r="BZ318" s="288"/>
      <c r="CA318" s="286"/>
      <c r="CB318" s="286"/>
      <c r="CC318" s="287"/>
      <c r="CD318" s="286"/>
      <c r="CE318" s="286"/>
      <c r="CF318" s="286"/>
      <c r="CG318" s="287"/>
      <c r="CH318" s="288"/>
      <c r="CI318" s="286"/>
      <c r="CJ318" s="286"/>
      <c r="CK318" s="287"/>
      <c r="CL318" s="288"/>
      <c r="CM318" s="286"/>
      <c r="CN318" s="294"/>
      <c r="CO318" s="289"/>
      <c r="CP318" s="290"/>
      <c r="CQ318" s="289"/>
      <c r="CR318" s="290"/>
      <c r="CS318" s="284"/>
      <c r="CT318" s="147"/>
      <c r="CU318" s="291"/>
      <c r="CV318" s="292"/>
    </row>
    <row r="319" spans="2:100">
      <c r="B319">
        <v>261</v>
      </c>
      <c r="C319" s="243" t="str">
        <v/>
      </c>
      <c r="D319" s="592" t="str">
        <v/>
      </c>
      <c r="E319" s="245" t="str">
        <v/>
      </c>
      <c r="F319" s="243" t="str">
        <v/>
      </c>
      <c r="G319" s="245" t="str">
        <v/>
      </c>
      <c r="H319" s="243" t="str">
        <v/>
      </c>
      <c r="I319" s="245" t="str">
        <v/>
      </c>
      <c r="J319" s="242" t="str">
        <v/>
      </c>
      <c r="K319" s="242" t="str">
        <v/>
      </c>
      <c r="L319" s="242" t="str">
        <v/>
      </c>
      <c r="M319" s="243" t="str">
        <v/>
      </c>
      <c r="N319" s="592" t="str">
        <v/>
      </c>
      <c r="O319" s="245" t="str">
        <v/>
      </c>
      <c r="P319" s="245" t="str">
        <v/>
      </c>
      <c r="Q319" s="254" t="str">
        <v/>
      </c>
      <c r="R319" s="255" t="str">
        <v/>
      </c>
      <c r="S319" s="256" t="str">
        <v/>
      </c>
      <c r="T319" s="257" t="str">
        <v/>
      </c>
      <c r="U319" s="255" t="str">
        <v/>
      </c>
      <c r="V319" s="256" t="str">
        <v/>
      </c>
      <c r="W319" s="257" t="str">
        <v/>
      </c>
      <c r="X319" s="255" t="str">
        <v/>
      </c>
      <c r="Y319" s="256" t="str">
        <v/>
      </c>
      <c r="Z319" s="257" t="str">
        <v/>
      </c>
      <c r="AA319" s="255" t="str">
        <v/>
      </c>
      <c r="AB319" s="256" t="str">
        <v/>
      </c>
      <c r="AC319" s="257" t="str">
        <v/>
      </c>
      <c r="AD319" s="255" t="str">
        <v/>
      </c>
      <c r="AE319" s="256" t="str">
        <v/>
      </c>
      <c r="AF319" s="257" t="str">
        <v/>
      </c>
      <c r="AG319" s="255" t="str">
        <v/>
      </c>
      <c r="AH319" s="256" t="str">
        <v/>
      </c>
      <c r="AI319" s="257" t="str">
        <v/>
      </c>
      <c r="AJ319" s="255" t="str">
        <v/>
      </c>
      <c r="AK319" s="256" t="str">
        <v/>
      </c>
      <c r="AL319" s="257" t="str">
        <v/>
      </c>
      <c r="AM319" s="255" t="str">
        <v/>
      </c>
      <c r="AN319" s="256" t="str">
        <v/>
      </c>
      <c r="AO319" s="257" t="str">
        <v/>
      </c>
      <c r="AP319" s="255" t="str">
        <v/>
      </c>
      <c r="AQ319" s="256" t="str">
        <v/>
      </c>
      <c r="AR319" s="257" t="str">
        <v/>
      </c>
      <c r="AS319" s="255" t="str">
        <v/>
      </c>
      <c r="AT319" s="256" t="str">
        <v/>
      </c>
      <c r="AU319" s="257" t="str">
        <v/>
      </c>
      <c r="AV319" s="255" t="str">
        <v/>
      </c>
      <c r="AW319" s="256" t="str">
        <v/>
      </c>
      <c r="AX319" s="257" t="str">
        <v/>
      </c>
      <c r="AY319" s="243">
        <v>0</v>
      </c>
      <c r="AZ319" s="244">
        <v>0</v>
      </c>
      <c r="BA319" s="244">
        <v>0</v>
      </c>
      <c r="BB319" s="244">
        <v>0</v>
      </c>
      <c r="BC319" s="244">
        <v>0</v>
      </c>
      <c r="BD319" s="244">
        <v>0</v>
      </c>
      <c r="BE319" s="244">
        <v>0</v>
      </c>
      <c r="BF319" s="244">
        <v>0</v>
      </c>
      <c r="BG319" s="244">
        <v>0</v>
      </c>
      <c r="BH319" s="245">
        <v>0</v>
      </c>
      <c r="BK319">
        <v>261</v>
      </c>
      <c r="BL319" s="281"/>
      <c r="BM319" s="281"/>
      <c r="BN319" s="282"/>
      <c r="BO319" s="282"/>
      <c r="BP319" s="282"/>
      <c r="BQ319" s="283"/>
      <c r="BR319" s="284"/>
      <c r="BS319" s="147"/>
      <c r="BT319" s="285"/>
      <c r="BU319" s="288"/>
      <c r="BV319" s="287"/>
      <c r="BW319" s="288"/>
      <c r="BX319" s="286"/>
      <c r="BY319" s="287"/>
      <c r="BZ319" s="288"/>
      <c r="CA319" s="286"/>
      <c r="CB319" s="286"/>
      <c r="CC319" s="287"/>
      <c r="CD319" s="286"/>
      <c r="CE319" s="286"/>
      <c r="CF319" s="286"/>
      <c r="CG319" s="287"/>
      <c r="CH319" s="288"/>
      <c r="CI319" s="286"/>
      <c r="CJ319" s="286"/>
      <c r="CK319" s="287"/>
      <c r="CL319" s="288"/>
      <c r="CM319" s="286"/>
      <c r="CN319" s="294"/>
      <c r="CO319" s="289"/>
      <c r="CP319" s="290"/>
      <c r="CQ319" s="289"/>
      <c r="CR319" s="290"/>
      <c r="CS319" s="284"/>
      <c r="CT319" s="147"/>
      <c r="CU319" s="291"/>
      <c r="CV319" s="292"/>
    </row>
    <row r="320" spans="2:100">
      <c r="B320">
        <v>262</v>
      </c>
      <c r="C320" s="243" t="str">
        <v/>
      </c>
      <c r="D320" s="592" t="str">
        <v/>
      </c>
      <c r="E320" s="245" t="str">
        <v/>
      </c>
      <c r="F320" s="243" t="str">
        <v/>
      </c>
      <c r="G320" s="245" t="str">
        <v/>
      </c>
      <c r="H320" s="243" t="str">
        <v/>
      </c>
      <c r="I320" s="245" t="str">
        <v/>
      </c>
      <c r="J320" s="242" t="str">
        <v/>
      </c>
      <c r="K320" s="242" t="str">
        <v/>
      </c>
      <c r="L320" s="242" t="str">
        <v/>
      </c>
      <c r="M320" s="243" t="str">
        <v/>
      </c>
      <c r="N320" s="592" t="str">
        <v/>
      </c>
      <c r="O320" s="245" t="str">
        <v/>
      </c>
      <c r="P320" s="245" t="str">
        <v/>
      </c>
      <c r="Q320" s="254" t="str">
        <v/>
      </c>
      <c r="R320" s="255" t="str">
        <v/>
      </c>
      <c r="S320" s="256" t="str">
        <v/>
      </c>
      <c r="T320" s="257" t="str">
        <v/>
      </c>
      <c r="U320" s="255" t="str">
        <v/>
      </c>
      <c r="V320" s="256" t="str">
        <v/>
      </c>
      <c r="W320" s="257" t="str">
        <v/>
      </c>
      <c r="X320" s="255" t="str">
        <v/>
      </c>
      <c r="Y320" s="256" t="str">
        <v/>
      </c>
      <c r="Z320" s="257" t="str">
        <v/>
      </c>
      <c r="AA320" s="255" t="str">
        <v/>
      </c>
      <c r="AB320" s="256" t="str">
        <v/>
      </c>
      <c r="AC320" s="257" t="str">
        <v/>
      </c>
      <c r="AD320" s="255" t="str">
        <v/>
      </c>
      <c r="AE320" s="256" t="str">
        <v/>
      </c>
      <c r="AF320" s="257" t="str">
        <v/>
      </c>
      <c r="AG320" s="255" t="str">
        <v/>
      </c>
      <c r="AH320" s="256" t="str">
        <v/>
      </c>
      <c r="AI320" s="257" t="str">
        <v/>
      </c>
      <c r="AJ320" s="255" t="str">
        <v/>
      </c>
      <c r="AK320" s="256" t="str">
        <v/>
      </c>
      <c r="AL320" s="257" t="str">
        <v/>
      </c>
      <c r="AM320" s="255" t="str">
        <v/>
      </c>
      <c r="AN320" s="256" t="str">
        <v/>
      </c>
      <c r="AO320" s="257" t="str">
        <v/>
      </c>
      <c r="AP320" s="255" t="str">
        <v/>
      </c>
      <c r="AQ320" s="256" t="str">
        <v/>
      </c>
      <c r="AR320" s="257" t="str">
        <v/>
      </c>
      <c r="AS320" s="255" t="str">
        <v/>
      </c>
      <c r="AT320" s="256" t="str">
        <v/>
      </c>
      <c r="AU320" s="257" t="str">
        <v/>
      </c>
      <c r="AV320" s="255" t="str">
        <v/>
      </c>
      <c r="AW320" s="256" t="str">
        <v/>
      </c>
      <c r="AX320" s="257" t="str">
        <v/>
      </c>
      <c r="AY320" s="243">
        <v>0</v>
      </c>
      <c r="AZ320" s="244">
        <v>0</v>
      </c>
      <c r="BA320" s="244">
        <v>0</v>
      </c>
      <c r="BB320" s="244">
        <v>0</v>
      </c>
      <c r="BC320" s="244">
        <v>0</v>
      </c>
      <c r="BD320" s="244">
        <v>0</v>
      </c>
      <c r="BE320" s="244">
        <v>0</v>
      </c>
      <c r="BF320" s="244">
        <v>0</v>
      </c>
      <c r="BG320" s="244">
        <v>0</v>
      </c>
      <c r="BH320" s="245">
        <v>0</v>
      </c>
      <c r="BK320">
        <v>262</v>
      </c>
      <c r="BL320" s="281"/>
      <c r="BM320" s="281"/>
      <c r="BN320" s="282"/>
      <c r="BO320" s="282"/>
      <c r="BP320" s="282"/>
      <c r="BQ320" s="283"/>
      <c r="BR320" s="284"/>
      <c r="BS320" s="147"/>
      <c r="BT320" s="285"/>
      <c r="BU320" s="288"/>
      <c r="BV320" s="287"/>
      <c r="BW320" s="288"/>
      <c r="BX320" s="286"/>
      <c r="BY320" s="287"/>
      <c r="BZ320" s="288"/>
      <c r="CA320" s="286"/>
      <c r="CB320" s="286"/>
      <c r="CC320" s="287"/>
      <c r="CD320" s="286"/>
      <c r="CE320" s="286"/>
      <c r="CF320" s="286"/>
      <c r="CG320" s="287"/>
      <c r="CH320" s="288"/>
      <c r="CI320" s="286"/>
      <c r="CJ320" s="286"/>
      <c r="CK320" s="287"/>
      <c r="CL320" s="288"/>
      <c r="CM320" s="286"/>
      <c r="CN320" s="294"/>
      <c r="CO320" s="289"/>
      <c r="CP320" s="290"/>
      <c r="CQ320" s="289"/>
      <c r="CR320" s="290"/>
      <c r="CS320" s="284"/>
      <c r="CT320" s="147"/>
      <c r="CU320" s="291"/>
      <c r="CV320" s="292"/>
    </row>
    <row r="321" spans="2:100">
      <c r="B321">
        <v>263</v>
      </c>
      <c r="C321" s="243" t="str">
        <v/>
      </c>
      <c r="D321" s="592" t="str">
        <v/>
      </c>
      <c r="E321" s="245" t="str">
        <v/>
      </c>
      <c r="F321" s="243" t="str">
        <v/>
      </c>
      <c r="G321" s="245" t="str">
        <v/>
      </c>
      <c r="H321" s="243" t="str">
        <v/>
      </c>
      <c r="I321" s="245" t="str">
        <v/>
      </c>
      <c r="J321" s="242" t="str">
        <v/>
      </c>
      <c r="K321" s="242" t="str">
        <v/>
      </c>
      <c r="L321" s="242" t="str">
        <v/>
      </c>
      <c r="M321" s="243" t="str">
        <v/>
      </c>
      <c r="N321" s="592" t="str">
        <v/>
      </c>
      <c r="O321" s="245" t="str">
        <v/>
      </c>
      <c r="P321" s="245" t="str">
        <v/>
      </c>
      <c r="Q321" s="254" t="str">
        <v/>
      </c>
      <c r="R321" s="255" t="str">
        <v/>
      </c>
      <c r="S321" s="256" t="str">
        <v/>
      </c>
      <c r="T321" s="257" t="str">
        <v/>
      </c>
      <c r="U321" s="255" t="str">
        <v/>
      </c>
      <c r="V321" s="256" t="str">
        <v/>
      </c>
      <c r="W321" s="257" t="str">
        <v/>
      </c>
      <c r="X321" s="255" t="str">
        <v/>
      </c>
      <c r="Y321" s="256" t="str">
        <v/>
      </c>
      <c r="Z321" s="257" t="str">
        <v/>
      </c>
      <c r="AA321" s="255" t="str">
        <v/>
      </c>
      <c r="AB321" s="256" t="str">
        <v/>
      </c>
      <c r="AC321" s="257" t="str">
        <v/>
      </c>
      <c r="AD321" s="255" t="str">
        <v/>
      </c>
      <c r="AE321" s="256" t="str">
        <v/>
      </c>
      <c r="AF321" s="257" t="str">
        <v/>
      </c>
      <c r="AG321" s="255" t="str">
        <v/>
      </c>
      <c r="AH321" s="256" t="str">
        <v/>
      </c>
      <c r="AI321" s="257" t="str">
        <v/>
      </c>
      <c r="AJ321" s="255" t="str">
        <v/>
      </c>
      <c r="AK321" s="256" t="str">
        <v/>
      </c>
      <c r="AL321" s="257" t="str">
        <v/>
      </c>
      <c r="AM321" s="255" t="str">
        <v/>
      </c>
      <c r="AN321" s="256" t="str">
        <v/>
      </c>
      <c r="AO321" s="257" t="str">
        <v/>
      </c>
      <c r="AP321" s="255" t="str">
        <v/>
      </c>
      <c r="AQ321" s="256" t="str">
        <v/>
      </c>
      <c r="AR321" s="257" t="str">
        <v/>
      </c>
      <c r="AS321" s="255" t="str">
        <v/>
      </c>
      <c r="AT321" s="256" t="str">
        <v/>
      </c>
      <c r="AU321" s="257" t="str">
        <v/>
      </c>
      <c r="AV321" s="255" t="str">
        <v/>
      </c>
      <c r="AW321" s="256" t="str">
        <v/>
      </c>
      <c r="AX321" s="257" t="str">
        <v/>
      </c>
      <c r="AY321" s="243">
        <v>0</v>
      </c>
      <c r="AZ321" s="244">
        <v>0</v>
      </c>
      <c r="BA321" s="244">
        <v>0</v>
      </c>
      <c r="BB321" s="244">
        <v>0</v>
      </c>
      <c r="BC321" s="244">
        <v>0</v>
      </c>
      <c r="BD321" s="244">
        <v>0</v>
      </c>
      <c r="BE321" s="244">
        <v>0</v>
      </c>
      <c r="BF321" s="244">
        <v>0</v>
      </c>
      <c r="BG321" s="244">
        <v>0</v>
      </c>
      <c r="BH321" s="245">
        <v>0</v>
      </c>
      <c r="BK321">
        <v>263</v>
      </c>
      <c r="BL321" s="281"/>
      <c r="BM321" s="281"/>
      <c r="BN321" s="282"/>
      <c r="BO321" s="282"/>
      <c r="BP321" s="282"/>
      <c r="BQ321" s="283"/>
      <c r="BR321" s="284"/>
      <c r="BS321" s="147"/>
      <c r="BT321" s="285"/>
      <c r="BU321" s="288"/>
      <c r="BV321" s="287"/>
      <c r="BW321" s="288"/>
      <c r="BX321" s="286"/>
      <c r="BY321" s="287"/>
      <c r="BZ321" s="288"/>
      <c r="CA321" s="286"/>
      <c r="CB321" s="286"/>
      <c r="CC321" s="287"/>
      <c r="CD321" s="286"/>
      <c r="CE321" s="286"/>
      <c r="CF321" s="286"/>
      <c r="CG321" s="287"/>
      <c r="CH321" s="288"/>
      <c r="CI321" s="286"/>
      <c r="CJ321" s="286"/>
      <c r="CK321" s="287"/>
      <c r="CL321" s="288"/>
      <c r="CM321" s="286"/>
      <c r="CN321" s="294"/>
      <c r="CO321" s="289"/>
      <c r="CP321" s="290"/>
      <c r="CQ321" s="289"/>
      <c r="CR321" s="290"/>
      <c r="CS321" s="284"/>
      <c r="CT321" s="147"/>
      <c r="CU321" s="291"/>
      <c r="CV321" s="292"/>
    </row>
    <row r="322" spans="2:100">
      <c r="B322">
        <v>264</v>
      </c>
      <c r="C322" s="243" t="str">
        <v/>
      </c>
      <c r="D322" s="592" t="str">
        <v/>
      </c>
      <c r="E322" s="245" t="str">
        <v/>
      </c>
      <c r="F322" s="243" t="str">
        <v/>
      </c>
      <c r="G322" s="245" t="str">
        <v/>
      </c>
      <c r="H322" s="243" t="str">
        <v/>
      </c>
      <c r="I322" s="245" t="str">
        <v/>
      </c>
      <c r="J322" s="242" t="str">
        <v/>
      </c>
      <c r="K322" s="242" t="str">
        <v/>
      </c>
      <c r="L322" s="242" t="str">
        <v/>
      </c>
      <c r="M322" s="243" t="str">
        <v/>
      </c>
      <c r="N322" s="592" t="str">
        <v/>
      </c>
      <c r="O322" s="245" t="str">
        <v/>
      </c>
      <c r="P322" s="245" t="str">
        <v/>
      </c>
      <c r="Q322" s="254" t="str">
        <v/>
      </c>
      <c r="R322" s="255" t="str">
        <v/>
      </c>
      <c r="S322" s="256" t="str">
        <v/>
      </c>
      <c r="T322" s="257" t="str">
        <v/>
      </c>
      <c r="U322" s="255" t="str">
        <v/>
      </c>
      <c r="V322" s="256" t="str">
        <v/>
      </c>
      <c r="W322" s="257" t="str">
        <v/>
      </c>
      <c r="X322" s="255" t="str">
        <v/>
      </c>
      <c r="Y322" s="256" t="str">
        <v/>
      </c>
      <c r="Z322" s="257" t="str">
        <v/>
      </c>
      <c r="AA322" s="255" t="str">
        <v/>
      </c>
      <c r="AB322" s="256" t="str">
        <v/>
      </c>
      <c r="AC322" s="257" t="str">
        <v/>
      </c>
      <c r="AD322" s="255" t="str">
        <v/>
      </c>
      <c r="AE322" s="256" t="str">
        <v/>
      </c>
      <c r="AF322" s="257" t="str">
        <v/>
      </c>
      <c r="AG322" s="255" t="str">
        <v/>
      </c>
      <c r="AH322" s="256" t="str">
        <v/>
      </c>
      <c r="AI322" s="257" t="str">
        <v/>
      </c>
      <c r="AJ322" s="255" t="str">
        <v/>
      </c>
      <c r="AK322" s="256" t="str">
        <v/>
      </c>
      <c r="AL322" s="257" t="str">
        <v/>
      </c>
      <c r="AM322" s="255" t="str">
        <v/>
      </c>
      <c r="AN322" s="256" t="str">
        <v/>
      </c>
      <c r="AO322" s="257" t="str">
        <v/>
      </c>
      <c r="AP322" s="255" t="str">
        <v/>
      </c>
      <c r="AQ322" s="256" t="str">
        <v/>
      </c>
      <c r="AR322" s="257" t="str">
        <v/>
      </c>
      <c r="AS322" s="255" t="str">
        <v/>
      </c>
      <c r="AT322" s="256" t="str">
        <v/>
      </c>
      <c r="AU322" s="257" t="str">
        <v/>
      </c>
      <c r="AV322" s="255" t="str">
        <v/>
      </c>
      <c r="AW322" s="256" t="str">
        <v/>
      </c>
      <c r="AX322" s="257" t="str">
        <v/>
      </c>
      <c r="AY322" s="243">
        <v>0</v>
      </c>
      <c r="AZ322" s="244">
        <v>0</v>
      </c>
      <c r="BA322" s="244">
        <v>0</v>
      </c>
      <c r="BB322" s="244">
        <v>0</v>
      </c>
      <c r="BC322" s="244">
        <v>0</v>
      </c>
      <c r="BD322" s="244">
        <v>0</v>
      </c>
      <c r="BE322" s="244">
        <v>0</v>
      </c>
      <c r="BF322" s="244">
        <v>0</v>
      </c>
      <c r="BG322" s="244">
        <v>0</v>
      </c>
      <c r="BH322" s="245">
        <v>0</v>
      </c>
      <c r="BK322">
        <v>264</v>
      </c>
      <c r="BL322" s="281"/>
      <c r="BM322" s="281"/>
      <c r="BN322" s="282"/>
      <c r="BO322" s="282"/>
      <c r="BP322" s="282"/>
      <c r="BQ322" s="283"/>
      <c r="BR322" s="284"/>
      <c r="BS322" s="147"/>
      <c r="BT322" s="285"/>
      <c r="BU322" s="288"/>
      <c r="BV322" s="287"/>
      <c r="BW322" s="288"/>
      <c r="BX322" s="286"/>
      <c r="BY322" s="287"/>
      <c r="BZ322" s="288"/>
      <c r="CA322" s="286"/>
      <c r="CB322" s="286"/>
      <c r="CC322" s="287"/>
      <c r="CD322" s="286"/>
      <c r="CE322" s="286"/>
      <c r="CF322" s="286"/>
      <c r="CG322" s="287"/>
      <c r="CH322" s="288"/>
      <c r="CI322" s="286"/>
      <c r="CJ322" s="286"/>
      <c r="CK322" s="287"/>
      <c r="CL322" s="288"/>
      <c r="CM322" s="286"/>
      <c r="CN322" s="294"/>
      <c r="CO322" s="289"/>
      <c r="CP322" s="290"/>
      <c r="CQ322" s="289"/>
      <c r="CR322" s="290"/>
      <c r="CS322" s="284"/>
      <c r="CT322" s="147"/>
      <c r="CU322" s="291"/>
      <c r="CV322" s="292"/>
    </row>
    <row r="323" spans="2:100">
      <c r="B323">
        <v>265</v>
      </c>
      <c r="C323" s="243" t="str">
        <v/>
      </c>
      <c r="D323" s="592" t="str">
        <v/>
      </c>
      <c r="E323" s="245" t="str">
        <v/>
      </c>
      <c r="F323" s="243" t="str">
        <v/>
      </c>
      <c r="G323" s="245" t="str">
        <v/>
      </c>
      <c r="H323" s="243" t="str">
        <v/>
      </c>
      <c r="I323" s="245" t="str">
        <v/>
      </c>
      <c r="J323" s="242" t="str">
        <v/>
      </c>
      <c r="K323" s="242" t="str">
        <v/>
      </c>
      <c r="L323" s="242" t="str">
        <v/>
      </c>
      <c r="M323" s="243" t="str">
        <v/>
      </c>
      <c r="N323" s="592" t="str">
        <v/>
      </c>
      <c r="O323" s="245" t="str">
        <v/>
      </c>
      <c r="P323" s="245" t="str">
        <v/>
      </c>
      <c r="Q323" s="254" t="str">
        <v/>
      </c>
      <c r="R323" s="255" t="str">
        <v/>
      </c>
      <c r="S323" s="256" t="str">
        <v/>
      </c>
      <c r="T323" s="257" t="str">
        <v/>
      </c>
      <c r="U323" s="255" t="str">
        <v/>
      </c>
      <c r="V323" s="256" t="str">
        <v/>
      </c>
      <c r="W323" s="257" t="str">
        <v/>
      </c>
      <c r="X323" s="255" t="str">
        <v/>
      </c>
      <c r="Y323" s="256" t="str">
        <v/>
      </c>
      <c r="Z323" s="257" t="str">
        <v/>
      </c>
      <c r="AA323" s="255" t="str">
        <v/>
      </c>
      <c r="AB323" s="256" t="str">
        <v/>
      </c>
      <c r="AC323" s="257" t="str">
        <v/>
      </c>
      <c r="AD323" s="255" t="str">
        <v/>
      </c>
      <c r="AE323" s="256" t="str">
        <v/>
      </c>
      <c r="AF323" s="257" t="str">
        <v/>
      </c>
      <c r="AG323" s="255" t="str">
        <v/>
      </c>
      <c r="AH323" s="256" t="str">
        <v/>
      </c>
      <c r="AI323" s="257" t="str">
        <v/>
      </c>
      <c r="AJ323" s="255" t="str">
        <v/>
      </c>
      <c r="AK323" s="256" t="str">
        <v/>
      </c>
      <c r="AL323" s="257" t="str">
        <v/>
      </c>
      <c r="AM323" s="255" t="str">
        <v/>
      </c>
      <c r="AN323" s="256" t="str">
        <v/>
      </c>
      <c r="AO323" s="257" t="str">
        <v/>
      </c>
      <c r="AP323" s="255" t="str">
        <v/>
      </c>
      <c r="AQ323" s="256" t="str">
        <v/>
      </c>
      <c r="AR323" s="257" t="str">
        <v/>
      </c>
      <c r="AS323" s="255" t="str">
        <v/>
      </c>
      <c r="AT323" s="256" t="str">
        <v/>
      </c>
      <c r="AU323" s="257" t="str">
        <v/>
      </c>
      <c r="AV323" s="255" t="str">
        <v/>
      </c>
      <c r="AW323" s="256" t="str">
        <v/>
      </c>
      <c r="AX323" s="257" t="str">
        <v/>
      </c>
      <c r="AY323" s="243">
        <v>0</v>
      </c>
      <c r="AZ323" s="244">
        <v>0</v>
      </c>
      <c r="BA323" s="244">
        <v>0</v>
      </c>
      <c r="BB323" s="244">
        <v>0</v>
      </c>
      <c r="BC323" s="244">
        <v>0</v>
      </c>
      <c r="BD323" s="244">
        <v>0</v>
      </c>
      <c r="BE323" s="244">
        <v>0</v>
      </c>
      <c r="BF323" s="244">
        <v>0</v>
      </c>
      <c r="BG323" s="244">
        <v>0</v>
      </c>
      <c r="BH323" s="245">
        <v>0</v>
      </c>
      <c r="BK323">
        <v>265</v>
      </c>
      <c r="BL323" s="281"/>
      <c r="BM323" s="281"/>
      <c r="BN323" s="282"/>
      <c r="BO323" s="282"/>
      <c r="BP323" s="282"/>
      <c r="BQ323" s="283"/>
      <c r="BR323" s="284"/>
      <c r="BS323" s="147"/>
      <c r="BT323" s="285"/>
      <c r="BU323" s="288"/>
      <c r="BV323" s="287"/>
      <c r="BW323" s="288"/>
      <c r="BX323" s="286"/>
      <c r="BY323" s="287"/>
      <c r="BZ323" s="288"/>
      <c r="CA323" s="286"/>
      <c r="CB323" s="286"/>
      <c r="CC323" s="287"/>
      <c r="CD323" s="286"/>
      <c r="CE323" s="286"/>
      <c r="CF323" s="286"/>
      <c r="CG323" s="287"/>
      <c r="CH323" s="288"/>
      <c r="CI323" s="286"/>
      <c r="CJ323" s="286"/>
      <c r="CK323" s="287"/>
      <c r="CL323" s="288"/>
      <c r="CM323" s="286"/>
      <c r="CN323" s="294"/>
      <c r="CO323" s="289"/>
      <c r="CP323" s="290"/>
      <c r="CQ323" s="289"/>
      <c r="CR323" s="290"/>
      <c r="CS323" s="284"/>
      <c r="CT323" s="147"/>
      <c r="CU323" s="291"/>
      <c r="CV323" s="292"/>
    </row>
    <row r="324" spans="2:100">
      <c r="B324">
        <v>266</v>
      </c>
      <c r="C324" s="243" t="str">
        <v/>
      </c>
      <c r="D324" s="592" t="str">
        <v/>
      </c>
      <c r="E324" s="245" t="str">
        <v/>
      </c>
      <c r="F324" s="243" t="str">
        <v/>
      </c>
      <c r="G324" s="245" t="str">
        <v/>
      </c>
      <c r="H324" s="243" t="str">
        <v/>
      </c>
      <c r="I324" s="245" t="str">
        <v/>
      </c>
      <c r="J324" s="242" t="str">
        <v/>
      </c>
      <c r="K324" s="242" t="str">
        <v/>
      </c>
      <c r="L324" s="242" t="str">
        <v/>
      </c>
      <c r="M324" s="243" t="str">
        <v/>
      </c>
      <c r="N324" s="592" t="str">
        <v/>
      </c>
      <c r="O324" s="245" t="str">
        <v/>
      </c>
      <c r="P324" s="245" t="str">
        <v/>
      </c>
      <c r="Q324" s="254" t="str">
        <v/>
      </c>
      <c r="R324" s="255" t="str">
        <v/>
      </c>
      <c r="S324" s="256" t="str">
        <v/>
      </c>
      <c r="T324" s="257" t="str">
        <v/>
      </c>
      <c r="U324" s="255" t="str">
        <v/>
      </c>
      <c r="V324" s="256" t="str">
        <v/>
      </c>
      <c r="W324" s="257" t="str">
        <v/>
      </c>
      <c r="X324" s="255" t="str">
        <v/>
      </c>
      <c r="Y324" s="256" t="str">
        <v/>
      </c>
      <c r="Z324" s="257" t="str">
        <v/>
      </c>
      <c r="AA324" s="255" t="str">
        <v/>
      </c>
      <c r="AB324" s="256" t="str">
        <v/>
      </c>
      <c r="AC324" s="257" t="str">
        <v/>
      </c>
      <c r="AD324" s="255" t="str">
        <v/>
      </c>
      <c r="AE324" s="256" t="str">
        <v/>
      </c>
      <c r="AF324" s="257" t="str">
        <v/>
      </c>
      <c r="AG324" s="255" t="str">
        <v/>
      </c>
      <c r="AH324" s="256" t="str">
        <v/>
      </c>
      <c r="AI324" s="257" t="str">
        <v/>
      </c>
      <c r="AJ324" s="255" t="str">
        <v/>
      </c>
      <c r="AK324" s="256" t="str">
        <v/>
      </c>
      <c r="AL324" s="257" t="str">
        <v/>
      </c>
      <c r="AM324" s="255" t="str">
        <v/>
      </c>
      <c r="AN324" s="256" t="str">
        <v/>
      </c>
      <c r="AO324" s="257" t="str">
        <v/>
      </c>
      <c r="AP324" s="255" t="str">
        <v/>
      </c>
      <c r="AQ324" s="256" t="str">
        <v/>
      </c>
      <c r="AR324" s="257" t="str">
        <v/>
      </c>
      <c r="AS324" s="255" t="str">
        <v/>
      </c>
      <c r="AT324" s="256" t="str">
        <v/>
      </c>
      <c r="AU324" s="257" t="str">
        <v/>
      </c>
      <c r="AV324" s="255" t="str">
        <v/>
      </c>
      <c r="AW324" s="256" t="str">
        <v/>
      </c>
      <c r="AX324" s="257" t="str">
        <v/>
      </c>
      <c r="AY324" s="243">
        <v>0</v>
      </c>
      <c r="AZ324" s="244">
        <v>0</v>
      </c>
      <c r="BA324" s="244">
        <v>0</v>
      </c>
      <c r="BB324" s="244">
        <v>0</v>
      </c>
      <c r="BC324" s="244">
        <v>0</v>
      </c>
      <c r="BD324" s="244">
        <v>0</v>
      </c>
      <c r="BE324" s="244">
        <v>0</v>
      </c>
      <c r="BF324" s="244">
        <v>0</v>
      </c>
      <c r="BG324" s="244">
        <v>0</v>
      </c>
      <c r="BH324" s="245">
        <v>0</v>
      </c>
      <c r="BK324">
        <v>266</v>
      </c>
      <c r="BL324" s="281"/>
      <c r="BM324" s="281"/>
      <c r="BN324" s="282"/>
      <c r="BO324" s="282"/>
      <c r="BP324" s="282"/>
      <c r="BQ324" s="283"/>
      <c r="BR324" s="284"/>
      <c r="BS324" s="147"/>
      <c r="BT324" s="285"/>
      <c r="BU324" s="288"/>
      <c r="BV324" s="287"/>
      <c r="BW324" s="288"/>
      <c r="BX324" s="286"/>
      <c r="BY324" s="287"/>
      <c r="BZ324" s="288"/>
      <c r="CA324" s="286"/>
      <c r="CB324" s="286"/>
      <c r="CC324" s="287"/>
      <c r="CD324" s="286"/>
      <c r="CE324" s="286"/>
      <c r="CF324" s="286"/>
      <c r="CG324" s="287"/>
      <c r="CH324" s="288"/>
      <c r="CI324" s="286"/>
      <c r="CJ324" s="286"/>
      <c r="CK324" s="287"/>
      <c r="CL324" s="288"/>
      <c r="CM324" s="286"/>
      <c r="CN324" s="294"/>
      <c r="CO324" s="289"/>
      <c r="CP324" s="290"/>
      <c r="CQ324" s="289"/>
      <c r="CR324" s="290"/>
      <c r="CS324" s="284"/>
      <c r="CT324" s="147"/>
      <c r="CU324" s="291"/>
      <c r="CV324" s="292"/>
    </row>
    <row r="325" spans="2:100">
      <c r="B325">
        <v>267</v>
      </c>
      <c r="C325" s="243" t="str">
        <v/>
      </c>
      <c r="D325" s="592" t="str">
        <v/>
      </c>
      <c r="E325" s="245" t="str">
        <v/>
      </c>
      <c r="F325" s="243" t="str">
        <v/>
      </c>
      <c r="G325" s="245" t="str">
        <v/>
      </c>
      <c r="H325" s="243" t="str">
        <v/>
      </c>
      <c r="I325" s="245" t="str">
        <v/>
      </c>
      <c r="J325" s="242" t="str">
        <v/>
      </c>
      <c r="K325" s="242" t="str">
        <v/>
      </c>
      <c r="L325" s="242" t="str">
        <v/>
      </c>
      <c r="M325" s="243" t="str">
        <v/>
      </c>
      <c r="N325" s="592" t="str">
        <v/>
      </c>
      <c r="O325" s="245" t="str">
        <v/>
      </c>
      <c r="P325" s="245" t="str">
        <v/>
      </c>
      <c r="Q325" s="254" t="str">
        <v/>
      </c>
      <c r="R325" s="255" t="str">
        <v/>
      </c>
      <c r="S325" s="256" t="str">
        <v/>
      </c>
      <c r="T325" s="257" t="str">
        <v/>
      </c>
      <c r="U325" s="255" t="str">
        <v/>
      </c>
      <c r="V325" s="256" t="str">
        <v/>
      </c>
      <c r="W325" s="257" t="str">
        <v/>
      </c>
      <c r="X325" s="255" t="str">
        <v/>
      </c>
      <c r="Y325" s="256" t="str">
        <v/>
      </c>
      <c r="Z325" s="257" t="str">
        <v/>
      </c>
      <c r="AA325" s="255" t="str">
        <v/>
      </c>
      <c r="AB325" s="256" t="str">
        <v/>
      </c>
      <c r="AC325" s="257" t="str">
        <v/>
      </c>
      <c r="AD325" s="255" t="str">
        <v/>
      </c>
      <c r="AE325" s="256" t="str">
        <v/>
      </c>
      <c r="AF325" s="257" t="str">
        <v/>
      </c>
      <c r="AG325" s="255" t="str">
        <v/>
      </c>
      <c r="AH325" s="256" t="str">
        <v/>
      </c>
      <c r="AI325" s="257" t="str">
        <v/>
      </c>
      <c r="AJ325" s="255" t="str">
        <v/>
      </c>
      <c r="AK325" s="256" t="str">
        <v/>
      </c>
      <c r="AL325" s="257" t="str">
        <v/>
      </c>
      <c r="AM325" s="255" t="str">
        <v/>
      </c>
      <c r="AN325" s="256" t="str">
        <v/>
      </c>
      <c r="AO325" s="257" t="str">
        <v/>
      </c>
      <c r="AP325" s="255" t="str">
        <v/>
      </c>
      <c r="AQ325" s="256" t="str">
        <v/>
      </c>
      <c r="AR325" s="257" t="str">
        <v/>
      </c>
      <c r="AS325" s="255" t="str">
        <v/>
      </c>
      <c r="AT325" s="256" t="str">
        <v/>
      </c>
      <c r="AU325" s="257" t="str">
        <v/>
      </c>
      <c r="AV325" s="255" t="str">
        <v/>
      </c>
      <c r="AW325" s="256" t="str">
        <v/>
      </c>
      <c r="AX325" s="257" t="str">
        <v/>
      </c>
      <c r="AY325" s="243">
        <v>0</v>
      </c>
      <c r="AZ325" s="244">
        <v>0</v>
      </c>
      <c r="BA325" s="244">
        <v>0</v>
      </c>
      <c r="BB325" s="244">
        <v>0</v>
      </c>
      <c r="BC325" s="244">
        <v>0</v>
      </c>
      <c r="BD325" s="244">
        <v>0</v>
      </c>
      <c r="BE325" s="244">
        <v>0</v>
      </c>
      <c r="BF325" s="244">
        <v>0</v>
      </c>
      <c r="BG325" s="244">
        <v>0</v>
      </c>
      <c r="BH325" s="245">
        <v>0</v>
      </c>
      <c r="BK325">
        <v>267</v>
      </c>
      <c r="BL325" s="281"/>
      <c r="BM325" s="281"/>
      <c r="BN325" s="282"/>
      <c r="BO325" s="282"/>
      <c r="BP325" s="282"/>
      <c r="BQ325" s="283"/>
      <c r="BR325" s="284"/>
      <c r="BS325" s="147"/>
      <c r="BT325" s="285"/>
      <c r="BU325" s="288"/>
      <c r="BV325" s="287"/>
      <c r="BW325" s="288"/>
      <c r="BX325" s="286"/>
      <c r="BY325" s="287"/>
      <c r="BZ325" s="288"/>
      <c r="CA325" s="286"/>
      <c r="CB325" s="286"/>
      <c r="CC325" s="287"/>
      <c r="CD325" s="286"/>
      <c r="CE325" s="286"/>
      <c r="CF325" s="286"/>
      <c r="CG325" s="287"/>
      <c r="CH325" s="288"/>
      <c r="CI325" s="286"/>
      <c r="CJ325" s="286"/>
      <c r="CK325" s="287"/>
      <c r="CL325" s="288"/>
      <c r="CM325" s="286"/>
      <c r="CN325" s="294"/>
      <c r="CO325" s="289"/>
      <c r="CP325" s="290"/>
      <c r="CQ325" s="289"/>
      <c r="CR325" s="290"/>
      <c r="CS325" s="284"/>
      <c r="CT325" s="147"/>
      <c r="CU325" s="291"/>
      <c r="CV325" s="292"/>
    </row>
    <row r="326" spans="2:100">
      <c r="B326">
        <v>268</v>
      </c>
      <c r="C326" s="243" t="str">
        <v/>
      </c>
      <c r="D326" s="592" t="str">
        <v/>
      </c>
      <c r="E326" s="245" t="str">
        <v/>
      </c>
      <c r="F326" s="243" t="str">
        <v/>
      </c>
      <c r="G326" s="245" t="str">
        <v/>
      </c>
      <c r="H326" s="243" t="str">
        <v/>
      </c>
      <c r="I326" s="245" t="str">
        <v/>
      </c>
      <c r="J326" s="242" t="str">
        <v/>
      </c>
      <c r="K326" s="242" t="str">
        <v/>
      </c>
      <c r="L326" s="242" t="str">
        <v/>
      </c>
      <c r="M326" s="243" t="str">
        <v/>
      </c>
      <c r="N326" s="592" t="str">
        <v/>
      </c>
      <c r="O326" s="245" t="str">
        <v/>
      </c>
      <c r="P326" s="245" t="str">
        <v/>
      </c>
      <c r="Q326" s="254" t="str">
        <v/>
      </c>
      <c r="R326" s="255" t="str">
        <v/>
      </c>
      <c r="S326" s="256" t="str">
        <v/>
      </c>
      <c r="T326" s="257" t="str">
        <v/>
      </c>
      <c r="U326" s="255" t="str">
        <v/>
      </c>
      <c r="V326" s="256" t="str">
        <v/>
      </c>
      <c r="W326" s="257" t="str">
        <v/>
      </c>
      <c r="X326" s="255" t="str">
        <v/>
      </c>
      <c r="Y326" s="256" t="str">
        <v/>
      </c>
      <c r="Z326" s="257" t="str">
        <v/>
      </c>
      <c r="AA326" s="255" t="str">
        <v/>
      </c>
      <c r="AB326" s="256" t="str">
        <v/>
      </c>
      <c r="AC326" s="257" t="str">
        <v/>
      </c>
      <c r="AD326" s="255" t="str">
        <v/>
      </c>
      <c r="AE326" s="256" t="str">
        <v/>
      </c>
      <c r="AF326" s="257" t="str">
        <v/>
      </c>
      <c r="AG326" s="255" t="str">
        <v/>
      </c>
      <c r="AH326" s="256" t="str">
        <v/>
      </c>
      <c r="AI326" s="257" t="str">
        <v/>
      </c>
      <c r="AJ326" s="255" t="str">
        <v/>
      </c>
      <c r="AK326" s="256" t="str">
        <v/>
      </c>
      <c r="AL326" s="257" t="str">
        <v/>
      </c>
      <c r="AM326" s="255" t="str">
        <v/>
      </c>
      <c r="AN326" s="256" t="str">
        <v/>
      </c>
      <c r="AO326" s="257" t="str">
        <v/>
      </c>
      <c r="AP326" s="255" t="str">
        <v/>
      </c>
      <c r="AQ326" s="256" t="str">
        <v/>
      </c>
      <c r="AR326" s="257" t="str">
        <v/>
      </c>
      <c r="AS326" s="255" t="str">
        <v/>
      </c>
      <c r="AT326" s="256" t="str">
        <v/>
      </c>
      <c r="AU326" s="257" t="str">
        <v/>
      </c>
      <c r="AV326" s="255" t="str">
        <v/>
      </c>
      <c r="AW326" s="256" t="str">
        <v/>
      </c>
      <c r="AX326" s="257" t="str">
        <v/>
      </c>
      <c r="AY326" s="243">
        <v>0</v>
      </c>
      <c r="AZ326" s="244">
        <v>0</v>
      </c>
      <c r="BA326" s="244">
        <v>0</v>
      </c>
      <c r="BB326" s="244">
        <v>0</v>
      </c>
      <c r="BC326" s="244">
        <v>0</v>
      </c>
      <c r="BD326" s="244">
        <v>0</v>
      </c>
      <c r="BE326" s="244">
        <v>0</v>
      </c>
      <c r="BF326" s="244">
        <v>0</v>
      </c>
      <c r="BG326" s="244">
        <v>0</v>
      </c>
      <c r="BH326" s="245">
        <v>0</v>
      </c>
      <c r="BK326">
        <v>268</v>
      </c>
      <c r="BL326" s="281"/>
      <c r="BM326" s="281"/>
      <c r="BN326" s="282"/>
      <c r="BO326" s="282"/>
      <c r="BP326" s="282"/>
      <c r="BQ326" s="283"/>
      <c r="BR326" s="284"/>
      <c r="BS326" s="147"/>
      <c r="BT326" s="285"/>
      <c r="BU326" s="288"/>
      <c r="BV326" s="287"/>
      <c r="BW326" s="288"/>
      <c r="BX326" s="286"/>
      <c r="BY326" s="287"/>
      <c r="BZ326" s="288"/>
      <c r="CA326" s="286"/>
      <c r="CB326" s="286"/>
      <c r="CC326" s="287"/>
      <c r="CD326" s="286"/>
      <c r="CE326" s="286"/>
      <c r="CF326" s="286"/>
      <c r="CG326" s="287"/>
      <c r="CH326" s="288"/>
      <c r="CI326" s="286"/>
      <c r="CJ326" s="286"/>
      <c r="CK326" s="287"/>
      <c r="CL326" s="288"/>
      <c r="CM326" s="286"/>
      <c r="CN326" s="294"/>
      <c r="CO326" s="289"/>
      <c r="CP326" s="290"/>
      <c r="CQ326" s="289"/>
      <c r="CR326" s="290"/>
      <c r="CS326" s="284"/>
      <c r="CT326" s="147"/>
      <c r="CU326" s="291"/>
      <c r="CV326" s="292"/>
    </row>
    <row r="327" spans="2:100">
      <c r="B327">
        <v>269</v>
      </c>
      <c r="C327" s="243" t="str">
        <v/>
      </c>
      <c r="D327" s="592" t="str">
        <v/>
      </c>
      <c r="E327" s="245" t="str">
        <v/>
      </c>
      <c r="F327" s="243" t="str">
        <v/>
      </c>
      <c r="G327" s="245" t="str">
        <v/>
      </c>
      <c r="H327" s="243" t="str">
        <v/>
      </c>
      <c r="I327" s="245" t="str">
        <v/>
      </c>
      <c r="J327" s="242" t="str">
        <v/>
      </c>
      <c r="K327" s="242" t="str">
        <v/>
      </c>
      <c r="L327" s="242" t="str">
        <v/>
      </c>
      <c r="M327" s="243" t="str">
        <v/>
      </c>
      <c r="N327" s="592" t="str">
        <v/>
      </c>
      <c r="O327" s="245" t="str">
        <v/>
      </c>
      <c r="P327" s="245" t="str">
        <v/>
      </c>
      <c r="Q327" s="254" t="str">
        <v/>
      </c>
      <c r="R327" s="255" t="str">
        <v/>
      </c>
      <c r="S327" s="256" t="str">
        <v/>
      </c>
      <c r="T327" s="257" t="str">
        <v/>
      </c>
      <c r="U327" s="255" t="str">
        <v/>
      </c>
      <c r="V327" s="256" t="str">
        <v/>
      </c>
      <c r="W327" s="257" t="str">
        <v/>
      </c>
      <c r="X327" s="255" t="str">
        <v/>
      </c>
      <c r="Y327" s="256" t="str">
        <v/>
      </c>
      <c r="Z327" s="257" t="str">
        <v/>
      </c>
      <c r="AA327" s="255" t="str">
        <v/>
      </c>
      <c r="AB327" s="256" t="str">
        <v/>
      </c>
      <c r="AC327" s="257" t="str">
        <v/>
      </c>
      <c r="AD327" s="255" t="str">
        <v/>
      </c>
      <c r="AE327" s="256" t="str">
        <v/>
      </c>
      <c r="AF327" s="257" t="str">
        <v/>
      </c>
      <c r="AG327" s="255" t="str">
        <v/>
      </c>
      <c r="AH327" s="256" t="str">
        <v/>
      </c>
      <c r="AI327" s="257" t="str">
        <v/>
      </c>
      <c r="AJ327" s="255" t="str">
        <v/>
      </c>
      <c r="AK327" s="256" t="str">
        <v/>
      </c>
      <c r="AL327" s="257" t="str">
        <v/>
      </c>
      <c r="AM327" s="255" t="str">
        <v/>
      </c>
      <c r="AN327" s="256" t="str">
        <v/>
      </c>
      <c r="AO327" s="257" t="str">
        <v/>
      </c>
      <c r="AP327" s="255" t="str">
        <v/>
      </c>
      <c r="AQ327" s="256" t="str">
        <v/>
      </c>
      <c r="AR327" s="257" t="str">
        <v/>
      </c>
      <c r="AS327" s="255" t="str">
        <v/>
      </c>
      <c r="AT327" s="256" t="str">
        <v/>
      </c>
      <c r="AU327" s="257" t="str">
        <v/>
      </c>
      <c r="AV327" s="255" t="str">
        <v/>
      </c>
      <c r="AW327" s="256" t="str">
        <v/>
      </c>
      <c r="AX327" s="257" t="str">
        <v/>
      </c>
      <c r="AY327" s="243">
        <v>0</v>
      </c>
      <c r="AZ327" s="244">
        <v>0</v>
      </c>
      <c r="BA327" s="244">
        <v>0</v>
      </c>
      <c r="BB327" s="244">
        <v>0</v>
      </c>
      <c r="BC327" s="244">
        <v>0</v>
      </c>
      <c r="BD327" s="244">
        <v>0</v>
      </c>
      <c r="BE327" s="244">
        <v>0</v>
      </c>
      <c r="BF327" s="244">
        <v>0</v>
      </c>
      <c r="BG327" s="244">
        <v>0</v>
      </c>
      <c r="BH327" s="245">
        <v>0</v>
      </c>
      <c r="BK327">
        <v>269</v>
      </c>
      <c r="BL327" s="281"/>
      <c r="BM327" s="281"/>
      <c r="BN327" s="282"/>
      <c r="BO327" s="282"/>
      <c r="BP327" s="282"/>
      <c r="BQ327" s="283"/>
      <c r="BR327" s="284"/>
      <c r="BS327" s="147"/>
      <c r="BT327" s="285"/>
      <c r="BU327" s="288"/>
      <c r="BV327" s="287"/>
      <c r="BW327" s="288"/>
      <c r="BX327" s="286"/>
      <c r="BY327" s="287"/>
      <c r="BZ327" s="288"/>
      <c r="CA327" s="286"/>
      <c r="CB327" s="286"/>
      <c r="CC327" s="287"/>
      <c r="CD327" s="286"/>
      <c r="CE327" s="286"/>
      <c r="CF327" s="286"/>
      <c r="CG327" s="287"/>
      <c r="CH327" s="288"/>
      <c r="CI327" s="286"/>
      <c r="CJ327" s="286"/>
      <c r="CK327" s="287"/>
      <c r="CL327" s="288"/>
      <c r="CM327" s="286"/>
      <c r="CN327" s="294"/>
      <c r="CO327" s="289"/>
      <c r="CP327" s="290"/>
      <c r="CQ327" s="289"/>
      <c r="CR327" s="290"/>
      <c r="CS327" s="284"/>
      <c r="CT327" s="147"/>
      <c r="CU327" s="291"/>
      <c r="CV327" s="292"/>
    </row>
    <row r="328" spans="2:100">
      <c r="B328">
        <v>270</v>
      </c>
      <c r="C328" s="243" t="str">
        <v/>
      </c>
      <c r="D328" s="592" t="str">
        <v/>
      </c>
      <c r="E328" s="245" t="str">
        <v/>
      </c>
      <c r="F328" s="243" t="str">
        <v/>
      </c>
      <c r="G328" s="245" t="str">
        <v/>
      </c>
      <c r="H328" s="243" t="str">
        <v/>
      </c>
      <c r="I328" s="245" t="str">
        <v/>
      </c>
      <c r="J328" s="242" t="str">
        <v/>
      </c>
      <c r="K328" s="242" t="str">
        <v/>
      </c>
      <c r="L328" s="242" t="str">
        <v/>
      </c>
      <c r="M328" s="243" t="str">
        <v/>
      </c>
      <c r="N328" s="592" t="str">
        <v/>
      </c>
      <c r="O328" s="245" t="str">
        <v/>
      </c>
      <c r="P328" s="245" t="str">
        <v/>
      </c>
      <c r="Q328" s="254" t="str">
        <v/>
      </c>
      <c r="R328" s="255" t="str">
        <v/>
      </c>
      <c r="S328" s="256" t="str">
        <v/>
      </c>
      <c r="T328" s="257" t="str">
        <v/>
      </c>
      <c r="U328" s="255" t="str">
        <v/>
      </c>
      <c r="V328" s="256" t="str">
        <v/>
      </c>
      <c r="W328" s="257" t="str">
        <v/>
      </c>
      <c r="X328" s="255" t="str">
        <v/>
      </c>
      <c r="Y328" s="256" t="str">
        <v/>
      </c>
      <c r="Z328" s="257" t="str">
        <v/>
      </c>
      <c r="AA328" s="255" t="str">
        <v/>
      </c>
      <c r="AB328" s="256" t="str">
        <v/>
      </c>
      <c r="AC328" s="257" t="str">
        <v/>
      </c>
      <c r="AD328" s="255" t="str">
        <v/>
      </c>
      <c r="AE328" s="256" t="str">
        <v/>
      </c>
      <c r="AF328" s="257" t="str">
        <v/>
      </c>
      <c r="AG328" s="255" t="str">
        <v/>
      </c>
      <c r="AH328" s="256" t="str">
        <v/>
      </c>
      <c r="AI328" s="257" t="str">
        <v/>
      </c>
      <c r="AJ328" s="255" t="str">
        <v/>
      </c>
      <c r="AK328" s="256" t="str">
        <v/>
      </c>
      <c r="AL328" s="257" t="str">
        <v/>
      </c>
      <c r="AM328" s="255" t="str">
        <v/>
      </c>
      <c r="AN328" s="256" t="str">
        <v/>
      </c>
      <c r="AO328" s="257" t="str">
        <v/>
      </c>
      <c r="AP328" s="255" t="str">
        <v/>
      </c>
      <c r="AQ328" s="256" t="str">
        <v/>
      </c>
      <c r="AR328" s="257" t="str">
        <v/>
      </c>
      <c r="AS328" s="255" t="str">
        <v/>
      </c>
      <c r="AT328" s="256" t="str">
        <v/>
      </c>
      <c r="AU328" s="257" t="str">
        <v/>
      </c>
      <c r="AV328" s="255" t="str">
        <v/>
      </c>
      <c r="AW328" s="256" t="str">
        <v/>
      </c>
      <c r="AX328" s="257" t="str">
        <v/>
      </c>
      <c r="AY328" s="243">
        <v>0</v>
      </c>
      <c r="AZ328" s="244">
        <v>0</v>
      </c>
      <c r="BA328" s="244">
        <v>0</v>
      </c>
      <c r="BB328" s="244">
        <v>0</v>
      </c>
      <c r="BC328" s="244">
        <v>0</v>
      </c>
      <c r="BD328" s="244">
        <v>0</v>
      </c>
      <c r="BE328" s="244">
        <v>0</v>
      </c>
      <c r="BF328" s="244">
        <v>0</v>
      </c>
      <c r="BG328" s="244">
        <v>0</v>
      </c>
      <c r="BH328" s="245">
        <v>0</v>
      </c>
      <c r="BK328">
        <v>270</v>
      </c>
      <c r="BL328" s="281"/>
      <c r="BM328" s="281"/>
      <c r="BN328" s="282"/>
      <c r="BO328" s="282"/>
      <c r="BP328" s="282"/>
      <c r="BQ328" s="283"/>
      <c r="BR328" s="284"/>
      <c r="BS328" s="147"/>
      <c r="BT328" s="285"/>
      <c r="BU328" s="288"/>
      <c r="BV328" s="287"/>
      <c r="BW328" s="288"/>
      <c r="BX328" s="286"/>
      <c r="BY328" s="287"/>
      <c r="BZ328" s="288"/>
      <c r="CA328" s="286"/>
      <c r="CB328" s="286"/>
      <c r="CC328" s="287"/>
      <c r="CD328" s="286"/>
      <c r="CE328" s="286"/>
      <c r="CF328" s="286"/>
      <c r="CG328" s="287"/>
      <c r="CH328" s="288"/>
      <c r="CI328" s="286"/>
      <c r="CJ328" s="286"/>
      <c r="CK328" s="287"/>
      <c r="CL328" s="288"/>
      <c r="CM328" s="286"/>
      <c r="CN328" s="294"/>
      <c r="CO328" s="289"/>
      <c r="CP328" s="290"/>
      <c r="CQ328" s="289"/>
      <c r="CR328" s="290"/>
      <c r="CS328" s="284"/>
      <c r="CT328" s="147"/>
      <c r="CU328" s="291"/>
      <c r="CV328" s="292"/>
    </row>
    <row r="329" spans="2:100">
      <c r="B329">
        <v>271</v>
      </c>
      <c r="C329" s="243" t="str">
        <v/>
      </c>
      <c r="D329" s="592" t="str">
        <v/>
      </c>
      <c r="E329" s="245" t="str">
        <v/>
      </c>
      <c r="F329" s="243" t="str">
        <v/>
      </c>
      <c r="G329" s="245" t="str">
        <v/>
      </c>
      <c r="H329" s="243" t="str">
        <v/>
      </c>
      <c r="I329" s="245" t="str">
        <v/>
      </c>
      <c r="J329" s="242" t="str">
        <v/>
      </c>
      <c r="K329" s="242" t="str">
        <v/>
      </c>
      <c r="L329" s="242" t="str">
        <v/>
      </c>
      <c r="M329" s="243" t="str">
        <v/>
      </c>
      <c r="N329" s="592" t="str">
        <v/>
      </c>
      <c r="O329" s="245" t="str">
        <v/>
      </c>
      <c r="P329" s="245" t="str">
        <v/>
      </c>
      <c r="Q329" s="254" t="str">
        <v/>
      </c>
      <c r="R329" s="255" t="str">
        <v/>
      </c>
      <c r="S329" s="256" t="str">
        <v/>
      </c>
      <c r="T329" s="257" t="str">
        <v/>
      </c>
      <c r="U329" s="255" t="str">
        <v/>
      </c>
      <c r="V329" s="256" t="str">
        <v/>
      </c>
      <c r="W329" s="257" t="str">
        <v/>
      </c>
      <c r="X329" s="255" t="str">
        <v/>
      </c>
      <c r="Y329" s="256" t="str">
        <v/>
      </c>
      <c r="Z329" s="257" t="str">
        <v/>
      </c>
      <c r="AA329" s="255" t="str">
        <v/>
      </c>
      <c r="AB329" s="256" t="str">
        <v/>
      </c>
      <c r="AC329" s="257" t="str">
        <v/>
      </c>
      <c r="AD329" s="255" t="str">
        <v/>
      </c>
      <c r="AE329" s="256" t="str">
        <v/>
      </c>
      <c r="AF329" s="257" t="str">
        <v/>
      </c>
      <c r="AG329" s="255" t="str">
        <v/>
      </c>
      <c r="AH329" s="256" t="str">
        <v/>
      </c>
      <c r="AI329" s="257" t="str">
        <v/>
      </c>
      <c r="AJ329" s="255" t="str">
        <v/>
      </c>
      <c r="AK329" s="256" t="str">
        <v/>
      </c>
      <c r="AL329" s="257" t="str">
        <v/>
      </c>
      <c r="AM329" s="255" t="str">
        <v/>
      </c>
      <c r="AN329" s="256" t="str">
        <v/>
      </c>
      <c r="AO329" s="257" t="str">
        <v/>
      </c>
      <c r="AP329" s="255" t="str">
        <v/>
      </c>
      <c r="AQ329" s="256" t="str">
        <v/>
      </c>
      <c r="AR329" s="257" t="str">
        <v/>
      </c>
      <c r="AS329" s="255" t="str">
        <v/>
      </c>
      <c r="AT329" s="256" t="str">
        <v/>
      </c>
      <c r="AU329" s="257" t="str">
        <v/>
      </c>
      <c r="AV329" s="255" t="str">
        <v/>
      </c>
      <c r="AW329" s="256" t="str">
        <v/>
      </c>
      <c r="AX329" s="257" t="str">
        <v/>
      </c>
      <c r="AY329" s="243">
        <v>0</v>
      </c>
      <c r="AZ329" s="244">
        <v>0</v>
      </c>
      <c r="BA329" s="244">
        <v>0</v>
      </c>
      <c r="BB329" s="244">
        <v>0</v>
      </c>
      <c r="BC329" s="244">
        <v>0</v>
      </c>
      <c r="BD329" s="244">
        <v>0</v>
      </c>
      <c r="BE329" s="244">
        <v>0</v>
      </c>
      <c r="BF329" s="244">
        <v>0</v>
      </c>
      <c r="BG329" s="244">
        <v>0</v>
      </c>
      <c r="BH329" s="245">
        <v>0</v>
      </c>
      <c r="BK329">
        <v>271</v>
      </c>
      <c r="BL329" s="281"/>
      <c r="BM329" s="281"/>
      <c r="BN329" s="282"/>
      <c r="BO329" s="282"/>
      <c r="BP329" s="282"/>
      <c r="BQ329" s="283"/>
      <c r="BR329" s="284"/>
      <c r="BS329" s="147"/>
      <c r="BT329" s="285"/>
      <c r="BU329" s="288"/>
      <c r="BV329" s="287"/>
      <c r="BW329" s="288"/>
      <c r="BX329" s="286"/>
      <c r="BY329" s="287"/>
      <c r="BZ329" s="288"/>
      <c r="CA329" s="286"/>
      <c r="CB329" s="286"/>
      <c r="CC329" s="287"/>
      <c r="CD329" s="286"/>
      <c r="CE329" s="286"/>
      <c r="CF329" s="286"/>
      <c r="CG329" s="287"/>
      <c r="CH329" s="288"/>
      <c r="CI329" s="286"/>
      <c r="CJ329" s="286"/>
      <c r="CK329" s="287"/>
      <c r="CL329" s="288"/>
      <c r="CM329" s="286"/>
      <c r="CN329" s="294"/>
      <c r="CO329" s="289"/>
      <c r="CP329" s="290"/>
      <c r="CQ329" s="289"/>
      <c r="CR329" s="290"/>
      <c r="CS329" s="284"/>
      <c r="CT329" s="147"/>
      <c r="CU329" s="291"/>
      <c r="CV329" s="292"/>
    </row>
    <row r="330" spans="2:100">
      <c r="B330">
        <v>272</v>
      </c>
      <c r="C330" s="243" t="str">
        <v/>
      </c>
      <c r="D330" s="592" t="str">
        <v/>
      </c>
      <c r="E330" s="245" t="str">
        <v/>
      </c>
      <c r="F330" s="243" t="str">
        <v/>
      </c>
      <c r="G330" s="245" t="str">
        <v/>
      </c>
      <c r="H330" s="243" t="str">
        <v/>
      </c>
      <c r="I330" s="245" t="str">
        <v/>
      </c>
      <c r="J330" s="242" t="str">
        <v/>
      </c>
      <c r="K330" s="242" t="str">
        <v/>
      </c>
      <c r="L330" s="242" t="str">
        <v/>
      </c>
      <c r="M330" s="243" t="str">
        <v/>
      </c>
      <c r="N330" s="592" t="str">
        <v/>
      </c>
      <c r="O330" s="245" t="str">
        <v/>
      </c>
      <c r="P330" s="245" t="str">
        <v/>
      </c>
      <c r="Q330" s="254" t="str">
        <v/>
      </c>
      <c r="R330" s="255" t="str">
        <v/>
      </c>
      <c r="S330" s="256" t="str">
        <v/>
      </c>
      <c r="T330" s="257" t="str">
        <v/>
      </c>
      <c r="U330" s="255" t="str">
        <v/>
      </c>
      <c r="V330" s="256" t="str">
        <v/>
      </c>
      <c r="W330" s="257" t="str">
        <v/>
      </c>
      <c r="X330" s="255" t="str">
        <v/>
      </c>
      <c r="Y330" s="256" t="str">
        <v/>
      </c>
      <c r="Z330" s="257" t="str">
        <v/>
      </c>
      <c r="AA330" s="255" t="str">
        <v/>
      </c>
      <c r="AB330" s="256" t="str">
        <v/>
      </c>
      <c r="AC330" s="257" t="str">
        <v/>
      </c>
      <c r="AD330" s="255" t="str">
        <v/>
      </c>
      <c r="AE330" s="256" t="str">
        <v/>
      </c>
      <c r="AF330" s="257" t="str">
        <v/>
      </c>
      <c r="AG330" s="255" t="str">
        <v/>
      </c>
      <c r="AH330" s="256" t="str">
        <v/>
      </c>
      <c r="AI330" s="257" t="str">
        <v/>
      </c>
      <c r="AJ330" s="255" t="str">
        <v/>
      </c>
      <c r="AK330" s="256" t="str">
        <v/>
      </c>
      <c r="AL330" s="257" t="str">
        <v/>
      </c>
      <c r="AM330" s="255" t="str">
        <v/>
      </c>
      <c r="AN330" s="256" t="str">
        <v/>
      </c>
      <c r="AO330" s="257" t="str">
        <v/>
      </c>
      <c r="AP330" s="255" t="str">
        <v/>
      </c>
      <c r="AQ330" s="256" t="str">
        <v/>
      </c>
      <c r="AR330" s="257" t="str">
        <v/>
      </c>
      <c r="AS330" s="255" t="str">
        <v/>
      </c>
      <c r="AT330" s="256" t="str">
        <v/>
      </c>
      <c r="AU330" s="257" t="str">
        <v/>
      </c>
      <c r="AV330" s="255" t="str">
        <v/>
      </c>
      <c r="AW330" s="256" t="str">
        <v/>
      </c>
      <c r="AX330" s="257" t="str">
        <v/>
      </c>
      <c r="AY330" s="243">
        <v>0</v>
      </c>
      <c r="AZ330" s="244">
        <v>0</v>
      </c>
      <c r="BA330" s="244">
        <v>0</v>
      </c>
      <c r="BB330" s="244">
        <v>0</v>
      </c>
      <c r="BC330" s="244">
        <v>0</v>
      </c>
      <c r="BD330" s="244">
        <v>0</v>
      </c>
      <c r="BE330" s="244">
        <v>0</v>
      </c>
      <c r="BF330" s="244">
        <v>0</v>
      </c>
      <c r="BG330" s="244">
        <v>0</v>
      </c>
      <c r="BH330" s="245">
        <v>0</v>
      </c>
      <c r="BK330">
        <v>272</v>
      </c>
      <c r="BL330" s="281"/>
      <c r="BM330" s="281"/>
      <c r="BN330" s="282"/>
      <c r="BO330" s="282"/>
      <c r="BP330" s="282"/>
      <c r="BQ330" s="283"/>
      <c r="BR330" s="284"/>
      <c r="BS330" s="147"/>
      <c r="BT330" s="285"/>
      <c r="BU330" s="288"/>
      <c r="BV330" s="287"/>
      <c r="BW330" s="288"/>
      <c r="BX330" s="286"/>
      <c r="BY330" s="287"/>
      <c r="BZ330" s="288"/>
      <c r="CA330" s="286"/>
      <c r="CB330" s="286"/>
      <c r="CC330" s="287"/>
      <c r="CD330" s="286"/>
      <c r="CE330" s="286"/>
      <c r="CF330" s="286"/>
      <c r="CG330" s="287"/>
      <c r="CH330" s="288"/>
      <c r="CI330" s="286"/>
      <c r="CJ330" s="286"/>
      <c r="CK330" s="287"/>
      <c r="CL330" s="288"/>
      <c r="CM330" s="286"/>
      <c r="CN330" s="294"/>
      <c r="CO330" s="289"/>
      <c r="CP330" s="290"/>
      <c r="CQ330" s="289"/>
      <c r="CR330" s="290"/>
      <c r="CS330" s="284"/>
      <c r="CT330" s="147"/>
      <c r="CU330" s="291"/>
      <c r="CV330" s="292"/>
    </row>
    <row r="331" spans="2:100">
      <c r="B331">
        <v>273</v>
      </c>
      <c r="C331" s="243" t="str">
        <v/>
      </c>
      <c r="D331" s="592" t="str">
        <v/>
      </c>
      <c r="E331" s="245" t="str">
        <v/>
      </c>
      <c r="F331" s="243" t="str">
        <v/>
      </c>
      <c r="G331" s="245" t="str">
        <v/>
      </c>
      <c r="H331" s="243" t="str">
        <v/>
      </c>
      <c r="I331" s="245" t="str">
        <v/>
      </c>
      <c r="J331" s="242" t="str">
        <v/>
      </c>
      <c r="K331" s="242" t="str">
        <v/>
      </c>
      <c r="L331" s="242" t="str">
        <v/>
      </c>
      <c r="M331" s="243" t="str">
        <v/>
      </c>
      <c r="N331" s="592" t="str">
        <v/>
      </c>
      <c r="O331" s="245" t="str">
        <v/>
      </c>
      <c r="P331" s="245" t="str">
        <v/>
      </c>
      <c r="Q331" s="254" t="str">
        <v/>
      </c>
      <c r="R331" s="255" t="str">
        <v/>
      </c>
      <c r="S331" s="256" t="str">
        <v/>
      </c>
      <c r="T331" s="257" t="str">
        <v/>
      </c>
      <c r="U331" s="255" t="str">
        <v/>
      </c>
      <c r="V331" s="256" t="str">
        <v/>
      </c>
      <c r="W331" s="257" t="str">
        <v/>
      </c>
      <c r="X331" s="255" t="str">
        <v/>
      </c>
      <c r="Y331" s="256" t="str">
        <v/>
      </c>
      <c r="Z331" s="257" t="str">
        <v/>
      </c>
      <c r="AA331" s="255" t="str">
        <v/>
      </c>
      <c r="AB331" s="256" t="str">
        <v/>
      </c>
      <c r="AC331" s="257" t="str">
        <v/>
      </c>
      <c r="AD331" s="255" t="str">
        <v/>
      </c>
      <c r="AE331" s="256" t="str">
        <v/>
      </c>
      <c r="AF331" s="257" t="str">
        <v/>
      </c>
      <c r="AG331" s="255" t="str">
        <v/>
      </c>
      <c r="AH331" s="256" t="str">
        <v/>
      </c>
      <c r="AI331" s="257" t="str">
        <v/>
      </c>
      <c r="AJ331" s="255" t="str">
        <v/>
      </c>
      <c r="AK331" s="256" t="str">
        <v/>
      </c>
      <c r="AL331" s="257" t="str">
        <v/>
      </c>
      <c r="AM331" s="255" t="str">
        <v/>
      </c>
      <c r="AN331" s="256" t="str">
        <v/>
      </c>
      <c r="AO331" s="257" t="str">
        <v/>
      </c>
      <c r="AP331" s="255" t="str">
        <v/>
      </c>
      <c r="AQ331" s="256" t="str">
        <v/>
      </c>
      <c r="AR331" s="257" t="str">
        <v/>
      </c>
      <c r="AS331" s="255" t="str">
        <v/>
      </c>
      <c r="AT331" s="256" t="str">
        <v/>
      </c>
      <c r="AU331" s="257" t="str">
        <v/>
      </c>
      <c r="AV331" s="255" t="str">
        <v/>
      </c>
      <c r="AW331" s="256" t="str">
        <v/>
      </c>
      <c r="AX331" s="257" t="str">
        <v/>
      </c>
      <c r="AY331" s="243">
        <v>0</v>
      </c>
      <c r="AZ331" s="244">
        <v>0</v>
      </c>
      <c r="BA331" s="244">
        <v>0</v>
      </c>
      <c r="BB331" s="244">
        <v>0</v>
      </c>
      <c r="BC331" s="244">
        <v>0</v>
      </c>
      <c r="BD331" s="244">
        <v>0</v>
      </c>
      <c r="BE331" s="244">
        <v>0</v>
      </c>
      <c r="BF331" s="244">
        <v>0</v>
      </c>
      <c r="BG331" s="244">
        <v>0</v>
      </c>
      <c r="BH331" s="245">
        <v>0</v>
      </c>
      <c r="BK331">
        <v>273</v>
      </c>
      <c r="BL331" s="281"/>
      <c r="BM331" s="281"/>
      <c r="BN331" s="282"/>
      <c r="BO331" s="282"/>
      <c r="BP331" s="282"/>
      <c r="BQ331" s="283"/>
      <c r="BR331" s="284"/>
      <c r="BS331" s="147"/>
      <c r="BT331" s="285"/>
      <c r="BU331" s="288"/>
      <c r="BV331" s="287"/>
      <c r="BW331" s="288"/>
      <c r="BX331" s="286"/>
      <c r="BY331" s="287"/>
      <c r="BZ331" s="288"/>
      <c r="CA331" s="286"/>
      <c r="CB331" s="286"/>
      <c r="CC331" s="287"/>
      <c r="CD331" s="286"/>
      <c r="CE331" s="286"/>
      <c r="CF331" s="286"/>
      <c r="CG331" s="287"/>
      <c r="CH331" s="288"/>
      <c r="CI331" s="286"/>
      <c r="CJ331" s="286"/>
      <c r="CK331" s="287"/>
      <c r="CL331" s="288"/>
      <c r="CM331" s="286"/>
      <c r="CN331" s="294"/>
      <c r="CO331" s="289"/>
      <c r="CP331" s="290"/>
      <c r="CQ331" s="289"/>
      <c r="CR331" s="290"/>
      <c r="CS331" s="284"/>
      <c r="CT331" s="147"/>
      <c r="CU331" s="291"/>
      <c r="CV331" s="292"/>
    </row>
    <row r="332" spans="2:100">
      <c r="B332">
        <v>274</v>
      </c>
      <c r="C332" s="243" t="str">
        <v/>
      </c>
      <c r="D332" s="592" t="str">
        <v/>
      </c>
      <c r="E332" s="245" t="str">
        <v/>
      </c>
      <c r="F332" s="243" t="str">
        <v/>
      </c>
      <c r="G332" s="245" t="str">
        <v/>
      </c>
      <c r="H332" s="243" t="str">
        <v/>
      </c>
      <c r="I332" s="245" t="str">
        <v/>
      </c>
      <c r="J332" s="242" t="str">
        <v/>
      </c>
      <c r="K332" s="242" t="str">
        <v/>
      </c>
      <c r="L332" s="242" t="str">
        <v/>
      </c>
      <c r="M332" s="243" t="str">
        <v/>
      </c>
      <c r="N332" s="592" t="str">
        <v/>
      </c>
      <c r="O332" s="245" t="str">
        <v/>
      </c>
      <c r="P332" s="245" t="str">
        <v/>
      </c>
      <c r="Q332" s="254" t="str">
        <v/>
      </c>
      <c r="R332" s="255" t="str">
        <v/>
      </c>
      <c r="S332" s="256" t="str">
        <v/>
      </c>
      <c r="T332" s="257" t="str">
        <v/>
      </c>
      <c r="U332" s="255" t="str">
        <v/>
      </c>
      <c r="V332" s="256" t="str">
        <v/>
      </c>
      <c r="W332" s="257" t="str">
        <v/>
      </c>
      <c r="X332" s="255" t="str">
        <v/>
      </c>
      <c r="Y332" s="256" t="str">
        <v/>
      </c>
      <c r="Z332" s="257" t="str">
        <v/>
      </c>
      <c r="AA332" s="255" t="str">
        <v/>
      </c>
      <c r="AB332" s="256" t="str">
        <v/>
      </c>
      <c r="AC332" s="257" t="str">
        <v/>
      </c>
      <c r="AD332" s="255" t="str">
        <v/>
      </c>
      <c r="AE332" s="256" t="str">
        <v/>
      </c>
      <c r="AF332" s="257" t="str">
        <v/>
      </c>
      <c r="AG332" s="255" t="str">
        <v/>
      </c>
      <c r="AH332" s="256" t="str">
        <v/>
      </c>
      <c r="AI332" s="257" t="str">
        <v/>
      </c>
      <c r="AJ332" s="255" t="str">
        <v/>
      </c>
      <c r="AK332" s="256" t="str">
        <v/>
      </c>
      <c r="AL332" s="257" t="str">
        <v/>
      </c>
      <c r="AM332" s="255" t="str">
        <v/>
      </c>
      <c r="AN332" s="256" t="str">
        <v/>
      </c>
      <c r="AO332" s="257" t="str">
        <v/>
      </c>
      <c r="AP332" s="255" t="str">
        <v/>
      </c>
      <c r="AQ332" s="256" t="str">
        <v/>
      </c>
      <c r="AR332" s="257" t="str">
        <v/>
      </c>
      <c r="AS332" s="255" t="str">
        <v/>
      </c>
      <c r="AT332" s="256" t="str">
        <v/>
      </c>
      <c r="AU332" s="257" t="str">
        <v/>
      </c>
      <c r="AV332" s="255" t="str">
        <v/>
      </c>
      <c r="AW332" s="256" t="str">
        <v/>
      </c>
      <c r="AX332" s="257" t="str">
        <v/>
      </c>
      <c r="AY332" s="243">
        <v>0</v>
      </c>
      <c r="AZ332" s="244">
        <v>0</v>
      </c>
      <c r="BA332" s="244">
        <v>0</v>
      </c>
      <c r="BB332" s="244">
        <v>0</v>
      </c>
      <c r="BC332" s="244">
        <v>0</v>
      </c>
      <c r="BD332" s="244">
        <v>0</v>
      </c>
      <c r="BE332" s="244">
        <v>0</v>
      </c>
      <c r="BF332" s="244">
        <v>0</v>
      </c>
      <c r="BG332" s="244">
        <v>0</v>
      </c>
      <c r="BH332" s="245">
        <v>0</v>
      </c>
      <c r="BK332">
        <v>274</v>
      </c>
      <c r="BL332" s="281"/>
      <c r="BM332" s="281"/>
      <c r="BN332" s="282"/>
      <c r="BO332" s="282"/>
      <c r="BP332" s="282"/>
      <c r="BQ332" s="283"/>
      <c r="BR332" s="284"/>
      <c r="BS332" s="147"/>
      <c r="BT332" s="285"/>
      <c r="BU332" s="288"/>
      <c r="BV332" s="287"/>
      <c r="BW332" s="288"/>
      <c r="BX332" s="286"/>
      <c r="BY332" s="287"/>
      <c r="BZ332" s="288"/>
      <c r="CA332" s="286"/>
      <c r="CB332" s="286"/>
      <c r="CC332" s="287"/>
      <c r="CD332" s="286"/>
      <c r="CE332" s="286"/>
      <c r="CF332" s="286"/>
      <c r="CG332" s="287"/>
      <c r="CH332" s="288"/>
      <c r="CI332" s="286"/>
      <c r="CJ332" s="286"/>
      <c r="CK332" s="287"/>
      <c r="CL332" s="288"/>
      <c r="CM332" s="286"/>
      <c r="CN332" s="294"/>
      <c r="CO332" s="289"/>
      <c r="CP332" s="290"/>
      <c r="CQ332" s="289"/>
      <c r="CR332" s="290"/>
      <c r="CS332" s="284"/>
      <c r="CT332" s="147"/>
      <c r="CU332" s="291"/>
      <c r="CV332" s="292"/>
    </row>
    <row r="333" spans="2:100">
      <c r="B333">
        <v>275</v>
      </c>
      <c r="C333" s="243" t="str">
        <v/>
      </c>
      <c r="D333" s="592" t="str">
        <v/>
      </c>
      <c r="E333" s="245" t="str">
        <v/>
      </c>
      <c r="F333" s="243" t="str">
        <v/>
      </c>
      <c r="G333" s="245" t="str">
        <v/>
      </c>
      <c r="H333" s="243" t="str">
        <v/>
      </c>
      <c r="I333" s="245" t="str">
        <v/>
      </c>
      <c r="J333" s="242" t="str">
        <v/>
      </c>
      <c r="K333" s="242" t="str">
        <v/>
      </c>
      <c r="L333" s="242" t="str">
        <v/>
      </c>
      <c r="M333" s="243" t="str">
        <v/>
      </c>
      <c r="N333" s="592" t="str">
        <v/>
      </c>
      <c r="O333" s="245" t="str">
        <v/>
      </c>
      <c r="P333" s="245" t="str">
        <v/>
      </c>
      <c r="Q333" s="254" t="str">
        <v/>
      </c>
      <c r="R333" s="255" t="str">
        <v/>
      </c>
      <c r="S333" s="256" t="str">
        <v/>
      </c>
      <c r="T333" s="257" t="str">
        <v/>
      </c>
      <c r="U333" s="255" t="str">
        <v/>
      </c>
      <c r="V333" s="256" t="str">
        <v/>
      </c>
      <c r="W333" s="257" t="str">
        <v/>
      </c>
      <c r="X333" s="255" t="str">
        <v/>
      </c>
      <c r="Y333" s="256" t="str">
        <v/>
      </c>
      <c r="Z333" s="257" t="str">
        <v/>
      </c>
      <c r="AA333" s="255" t="str">
        <v/>
      </c>
      <c r="AB333" s="256" t="str">
        <v/>
      </c>
      <c r="AC333" s="257" t="str">
        <v/>
      </c>
      <c r="AD333" s="255" t="str">
        <v/>
      </c>
      <c r="AE333" s="256" t="str">
        <v/>
      </c>
      <c r="AF333" s="257" t="str">
        <v/>
      </c>
      <c r="AG333" s="255" t="str">
        <v/>
      </c>
      <c r="AH333" s="256" t="str">
        <v/>
      </c>
      <c r="AI333" s="257" t="str">
        <v/>
      </c>
      <c r="AJ333" s="255" t="str">
        <v/>
      </c>
      <c r="AK333" s="256" t="str">
        <v/>
      </c>
      <c r="AL333" s="257" t="str">
        <v/>
      </c>
      <c r="AM333" s="255" t="str">
        <v/>
      </c>
      <c r="AN333" s="256" t="str">
        <v/>
      </c>
      <c r="AO333" s="257" t="str">
        <v/>
      </c>
      <c r="AP333" s="255" t="str">
        <v/>
      </c>
      <c r="AQ333" s="256" t="str">
        <v/>
      </c>
      <c r="AR333" s="257" t="str">
        <v/>
      </c>
      <c r="AS333" s="255" t="str">
        <v/>
      </c>
      <c r="AT333" s="256" t="str">
        <v/>
      </c>
      <c r="AU333" s="257" t="str">
        <v/>
      </c>
      <c r="AV333" s="255" t="str">
        <v/>
      </c>
      <c r="AW333" s="256" t="str">
        <v/>
      </c>
      <c r="AX333" s="257" t="str">
        <v/>
      </c>
      <c r="AY333" s="243">
        <v>0</v>
      </c>
      <c r="AZ333" s="244">
        <v>0</v>
      </c>
      <c r="BA333" s="244">
        <v>0</v>
      </c>
      <c r="BB333" s="244">
        <v>0</v>
      </c>
      <c r="BC333" s="244">
        <v>0</v>
      </c>
      <c r="BD333" s="244">
        <v>0</v>
      </c>
      <c r="BE333" s="244">
        <v>0</v>
      </c>
      <c r="BF333" s="244">
        <v>0</v>
      </c>
      <c r="BG333" s="244">
        <v>0</v>
      </c>
      <c r="BH333" s="245">
        <v>0</v>
      </c>
      <c r="BK333">
        <v>275</v>
      </c>
      <c r="BL333" s="281"/>
      <c r="BM333" s="281"/>
      <c r="BN333" s="282"/>
      <c r="BO333" s="282"/>
      <c r="BP333" s="282"/>
      <c r="BQ333" s="283"/>
      <c r="BR333" s="284"/>
      <c r="BS333" s="147"/>
      <c r="BT333" s="285"/>
      <c r="BU333" s="288"/>
      <c r="BV333" s="287"/>
      <c r="BW333" s="288"/>
      <c r="BX333" s="286"/>
      <c r="BY333" s="287"/>
      <c r="BZ333" s="288"/>
      <c r="CA333" s="286"/>
      <c r="CB333" s="286"/>
      <c r="CC333" s="287"/>
      <c r="CD333" s="286"/>
      <c r="CE333" s="286"/>
      <c r="CF333" s="286"/>
      <c r="CG333" s="287"/>
      <c r="CH333" s="288"/>
      <c r="CI333" s="286"/>
      <c r="CJ333" s="286"/>
      <c r="CK333" s="287"/>
      <c r="CL333" s="288"/>
      <c r="CM333" s="286"/>
      <c r="CN333" s="294"/>
      <c r="CO333" s="289"/>
      <c r="CP333" s="290"/>
      <c r="CQ333" s="289"/>
      <c r="CR333" s="290"/>
      <c r="CS333" s="284"/>
      <c r="CT333" s="147"/>
      <c r="CU333" s="291"/>
      <c r="CV333" s="292"/>
    </row>
    <row r="334" spans="2:100">
      <c r="B334">
        <v>276</v>
      </c>
      <c r="C334" s="243" t="str">
        <v/>
      </c>
      <c r="D334" s="592" t="str">
        <v/>
      </c>
      <c r="E334" s="245" t="str">
        <v/>
      </c>
      <c r="F334" s="243" t="str">
        <v/>
      </c>
      <c r="G334" s="245" t="str">
        <v/>
      </c>
      <c r="H334" s="243" t="str">
        <v/>
      </c>
      <c r="I334" s="245" t="str">
        <v/>
      </c>
      <c r="J334" s="242" t="str">
        <v/>
      </c>
      <c r="K334" s="242" t="str">
        <v/>
      </c>
      <c r="L334" s="242" t="str">
        <v/>
      </c>
      <c r="M334" s="243" t="str">
        <v/>
      </c>
      <c r="N334" s="592" t="str">
        <v/>
      </c>
      <c r="O334" s="245" t="str">
        <v/>
      </c>
      <c r="P334" s="245" t="str">
        <v/>
      </c>
      <c r="Q334" s="254" t="str">
        <v/>
      </c>
      <c r="R334" s="255" t="str">
        <v/>
      </c>
      <c r="S334" s="256" t="str">
        <v/>
      </c>
      <c r="T334" s="257" t="str">
        <v/>
      </c>
      <c r="U334" s="255" t="str">
        <v/>
      </c>
      <c r="V334" s="256" t="str">
        <v/>
      </c>
      <c r="W334" s="257" t="str">
        <v/>
      </c>
      <c r="X334" s="255" t="str">
        <v/>
      </c>
      <c r="Y334" s="256" t="str">
        <v/>
      </c>
      <c r="Z334" s="257" t="str">
        <v/>
      </c>
      <c r="AA334" s="255" t="str">
        <v/>
      </c>
      <c r="AB334" s="256" t="str">
        <v/>
      </c>
      <c r="AC334" s="257" t="str">
        <v/>
      </c>
      <c r="AD334" s="255" t="str">
        <v/>
      </c>
      <c r="AE334" s="256" t="str">
        <v/>
      </c>
      <c r="AF334" s="257" t="str">
        <v/>
      </c>
      <c r="AG334" s="255" t="str">
        <v/>
      </c>
      <c r="AH334" s="256" t="str">
        <v/>
      </c>
      <c r="AI334" s="257" t="str">
        <v/>
      </c>
      <c r="AJ334" s="255" t="str">
        <v/>
      </c>
      <c r="AK334" s="256" t="str">
        <v/>
      </c>
      <c r="AL334" s="257" t="str">
        <v/>
      </c>
      <c r="AM334" s="255" t="str">
        <v/>
      </c>
      <c r="AN334" s="256" t="str">
        <v/>
      </c>
      <c r="AO334" s="257" t="str">
        <v/>
      </c>
      <c r="AP334" s="255" t="str">
        <v/>
      </c>
      <c r="AQ334" s="256" t="str">
        <v/>
      </c>
      <c r="AR334" s="257" t="str">
        <v/>
      </c>
      <c r="AS334" s="255" t="str">
        <v/>
      </c>
      <c r="AT334" s="256" t="str">
        <v/>
      </c>
      <c r="AU334" s="257" t="str">
        <v/>
      </c>
      <c r="AV334" s="255" t="str">
        <v/>
      </c>
      <c r="AW334" s="256" t="str">
        <v/>
      </c>
      <c r="AX334" s="257" t="str">
        <v/>
      </c>
      <c r="AY334" s="243">
        <v>0</v>
      </c>
      <c r="AZ334" s="244">
        <v>0</v>
      </c>
      <c r="BA334" s="244">
        <v>0</v>
      </c>
      <c r="BB334" s="244">
        <v>0</v>
      </c>
      <c r="BC334" s="244">
        <v>0</v>
      </c>
      <c r="BD334" s="244">
        <v>0</v>
      </c>
      <c r="BE334" s="244">
        <v>0</v>
      </c>
      <c r="BF334" s="244">
        <v>0</v>
      </c>
      <c r="BG334" s="244">
        <v>0</v>
      </c>
      <c r="BH334" s="245">
        <v>0</v>
      </c>
      <c r="BK334">
        <v>276</v>
      </c>
      <c r="BL334" s="281"/>
      <c r="BM334" s="281"/>
      <c r="BN334" s="282"/>
      <c r="BO334" s="282"/>
      <c r="BP334" s="282"/>
      <c r="BQ334" s="283"/>
      <c r="BR334" s="284"/>
      <c r="BS334" s="147"/>
      <c r="BT334" s="285"/>
      <c r="BU334" s="288"/>
      <c r="BV334" s="287"/>
      <c r="BW334" s="288"/>
      <c r="BX334" s="286"/>
      <c r="BY334" s="287"/>
      <c r="BZ334" s="288"/>
      <c r="CA334" s="286"/>
      <c r="CB334" s="286"/>
      <c r="CC334" s="287"/>
      <c r="CD334" s="286"/>
      <c r="CE334" s="286"/>
      <c r="CF334" s="286"/>
      <c r="CG334" s="287"/>
      <c r="CH334" s="288"/>
      <c r="CI334" s="286"/>
      <c r="CJ334" s="286"/>
      <c r="CK334" s="287"/>
      <c r="CL334" s="288"/>
      <c r="CM334" s="286"/>
      <c r="CN334" s="294"/>
      <c r="CO334" s="289"/>
      <c r="CP334" s="290"/>
      <c r="CQ334" s="289"/>
      <c r="CR334" s="290"/>
      <c r="CS334" s="284"/>
      <c r="CT334" s="147"/>
      <c r="CU334" s="291"/>
      <c r="CV334" s="292"/>
    </row>
    <row r="335" spans="2:100">
      <c r="B335">
        <v>277</v>
      </c>
      <c r="C335" s="243" t="str">
        <v/>
      </c>
      <c r="D335" s="592" t="str">
        <v/>
      </c>
      <c r="E335" s="245" t="str">
        <v/>
      </c>
      <c r="F335" s="243" t="str">
        <v/>
      </c>
      <c r="G335" s="245" t="str">
        <v/>
      </c>
      <c r="H335" s="243" t="str">
        <v/>
      </c>
      <c r="I335" s="245" t="str">
        <v/>
      </c>
      <c r="J335" s="242" t="str">
        <v/>
      </c>
      <c r="K335" s="242" t="str">
        <v/>
      </c>
      <c r="L335" s="242" t="str">
        <v/>
      </c>
      <c r="M335" s="243" t="str">
        <v/>
      </c>
      <c r="N335" s="592" t="str">
        <v/>
      </c>
      <c r="O335" s="245" t="str">
        <v/>
      </c>
      <c r="P335" s="245" t="str">
        <v/>
      </c>
      <c r="Q335" s="254" t="str">
        <v/>
      </c>
      <c r="R335" s="255" t="str">
        <v/>
      </c>
      <c r="S335" s="256" t="str">
        <v/>
      </c>
      <c r="T335" s="257" t="str">
        <v/>
      </c>
      <c r="U335" s="255" t="str">
        <v/>
      </c>
      <c r="V335" s="256" t="str">
        <v/>
      </c>
      <c r="W335" s="257" t="str">
        <v/>
      </c>
      <c r="X335" s="255" t="str">
        <v/>
      </c>
      <c r="Y335" s="256" t="str">
        <v/>
      </c>
      <c r="Z335" s="257" t="str">
        <v/>
      </c>
      <c r="AA335" s="255" t="str">
        <v/>
      </c>
      <c r="AB335" s="256" t="str">
        <v/>
      </c>
      <c r="AC335" s="257" t="str">
        <v/>
      </c>
      <c r="AD335" s="255" t="str">
        <v/>
      </c>
      <c r="AE335" s="256" t="str">
        <v/>
      </c>
      <c r="AF335" s="257" t="str">
        <v/>
      </c>
      <c r="AG335" s="255" t="str">
        <v/>
      </c>
      <c r="AH335" s="256" t="str">
        <v/>
      </c>
      <c r="AI335" s="257" t="str">
        <v/>
      </c>
      <c r="AJ335" s="255" t="str">
        <v/>
      </c>
      <c r="AK335" s="256" t="str">
        <v/>
      </c>
      <c r="AL335" s="257" t="str">
        <v/>
      </c>
      <c r="AM335" s="255" t="str">
        <v/>
      </c>
      <c r="AN335" s="256" t="str">
        <v/>
      </c>
      <c r="AO335" s="257" t="str">
        <v/>
      </c>
      <c r="AP335" s="255" t="str">
        <v/>
      </c>
      <c r="AQ335" s="256" t="str">
        <v/>
      </c>
      <c r="AR335" s="257" t="str">
        <v/>
      </c>
      <c r="AS335" s="255" t="str">
        <v/>
      </c>
      <c r="AT335" s="256" t="str">
        <v/>
      </c>
      <c r="AU335" s="257" t="str">
        <v/>
      </c>
      <c r="AV335" s="255" t="str">
        <v/>
      </c>
      <c r="AW335" s="256" t="str">
        <v/>
      </c>
      <c r="AX335" s="257" t="str">
        <v/>
      </c>
      <c r="AY335" s="243">
        <v>0</v>
      </c>
      <c r="AZ335" s="244">
        <v>0</v>
      </c>
      <c r="BA335" s="244">
        <v>0</v>
      </c>
      <c r="BB335" s="244">
        <v>0</v>
      </c>
      <c r="BC335" s="244">
        <v>0</v>
      </c>
      <c r="BD335" s="244">
        <v>0</v>
      </c>
      <c r="BE335" s="244">
        <v>0</v>
      </c>
      <c r="BF335" s="244">
        <v>0</v>
      </c>
      <c r="BG335" s="244">
        <v>0</v>
      </c>
      <c r="BH335" s="245">
        <v>0</v>
      </c>
      <c r="BK335">
        <v>277</v>
      </c>
      <c r="BL335" s="281"/>
      <c r="BM335" s="281"/>
      <c r="BN335" s="282"/>
      <c r="BO335" s="282"/>
      <c r="BP335" s="282"/>
      <c r="BQ335" s="283"/>
      <c r="BR335" s="284"/>
      <c r="BS335" s="147"/>
      <c r="BT335" s="285"/>
      <c r="BU335" s="288"/>
      <c r="BV335" s="287"/>
      <c r="BW335" s="288"/>
      <c r="BX335" s="286"/>
      <c r="BY335" s="287"/>
      <c r="BZ335" s="288"/>
      <c r="CA335" s="286"/>
      <c r="CB335" s="286"/>
      <c r="CC335" s="287"/>
      <c r="CD335" s="286"/>
      <c r="CE335" s="286"/>
      <c r="CF335" s="286"/>
      <c r="CG335" s="287"/>
      <c r="CH335" s="288"/>
      <c r="CI335" s="286"/>
      <c r="CJ335" s="286"/>
      <c r="CK335" s="287"/>
      <c r="CL335" s="288"/>
      <c r="CM335" s="286"/>
      <c r="CN335" s="294"/>
      <c r="CO335" s="289"/>
      <c r="CP335" s="290"/>
      <c r="CQ335" s="289"/>
      <c r="CR335" s="290"/>
      <c r="CS335" s="284"/>
      <c r="CT335" s="147"/>
      <c r="CU335" s="291"/>
      <c r="CV335" s="292"/>
    </row>
    <row r="336" spans="2:100">
      <c r="B336">
        <v>278</v>
      </c>
      <c r="C336" s="243" t="str">
        <v/>
      </c>
      <c r="D336" s="592" t="str">
        <v/>
      </c>
      <c r="E336" s="245" t="str">
        <v/>
      </c>
      <c r="F336" s="243" t="str">
        <v/>
      </c>
      <c r="G336" s="245" t="str">
        <v/>
      </c>
      <c r="H336" s="243" t="str">
        <v/>
      </c>
      <c r="I336" s="245" t="str">
        <v/>
      </c>
      <c r="J336" s="242" t="str">
        <v/>
      </c>
      <c r="K336" s="242" t="str">
        <v/>
      </c>
      <c r="L336" s="242" t="str">
        <v/>
      </c>
      <c r="M336" s="243" t="str">
        <v/>
      </c>
      <c r="N336" s="592" t="str">
        <v/>
      </c>
      <c r="O336" s="245" t="str">
        <v/>
      </c>
      <c r="P336" s="245" t="str">
        <v/>
      </c>
      <c r="Q336" s="254" t="str">
        <v/>
      </c>
      <c r="R336" s="255" t="str">
        <v/>
      </c>
      <c r="S336" s="256" t="str">
        <v/>
      </c>
      <c r="T336" s="257" t="str">
        <v/>
      </c>
      <c r="U336" s="255" t="str">
        <v/>
      </c>
      <c r="V336" s="256" t="str">
        <v/>
      </c>
      <c r="W336" s="257" t="str">
        <v/>
      </c>
      <c r="X336" s="255" t="str">
        <v/>
      </c>
      <c r="Y336" s="256" t="str">
        <v/>
      </c>
      <c r="Z336" s="257" t="str">
        <v/>
      </c>
      <c r="AA336" s="255" t="str">
        <v/>
      </c>
      <c r="AB336" s="256" t="str">
        <v/>
      </c>
      <c r="AC336" s="257" t="str">
        <v/>
      </c>
      <c r="AD336" s="255" t="str">
        <v/>
      </c>
      <c r="AE336" s="256" t="str">
        <v/>
      </c>
      <c r="AF336" s="257" t="str">
        <v/>
      </c>
      <c r="AG336" s="255" t="str">
        <v/>
      </c>
      <c r="AH336" s="256" t="str">
        <v/>
      </c>
      <c r="AI336" s="257" t="str">
        <v/>
      </c>
      <c r="AJ336" s="255" t="str">
        <v/>
      </c>
      <c r="AK336" s="256" t="str">
        <v/>
      </c>
      <c r="AL336" s="257" t="str">
        <v/>
      </c>
      <c r="AM336" s="255" t="str">
        <v/>
      </c>
      <c r="AN336" s="256" t="str">
        <v/>
      </c>
      <c r="AO336" s="257" t="str">
        <v/>
      </c>
      <c r="AP336" s="255" t="str">
        <v/>
      </c>
      <c r="AQ336" s="256" t="str">
        <v/>
      </c>
      <c r="AR336" s="257" t="str">
        <v/>
      </c>
      <c r="AS336" s="255" t="str">
        <v/>
      </c>
      <c r="AT336" s="256" t="str">
        <v/>
      </c>
      <c r="AU336" s="257" t="str">
        <v/>
      </c>
      <c r="AV336" s="255" t="str">
        <v/>
      </c>
      <c r="AW336" s="256" t="str">
        <v/>
      </c>
      <c r="AX336" s="257" t="str">
        <v/>
      </c>
      <c r="AY336" s="243">
        <v>0</v>
      </c>
      <c r="AZ336" s="244">
        <v>0</v>
      </c>
      <c r="BA336" s="244">
        <v>0</v>
      </c>
      <c r="BB336" s="244">
        <v>0</v>
      </c>
      <c r="BC336" s="244">
        <v>0</v>
      </c>
      <c r="BD336" s="244">
        <v>0</v>
      </c>
      <c r="BE336" s="244">
        <v>0</v>
      </c>
      <c r="BF336" s="244">
        <v>0</v>
      </c>
      <c r="BG336" s="244">
        <v>0</v>
      </c>
      <c r="BH336" s="245">
        <v>0</v>
      </c>
      <c r="BK336">
        <v>278</v>
      </c>
      <c r="BL336" s="281"/>
      <c r="BM336" s="281"/>
      <c r="BN336" s="282"/>
      <c r="BO336" s="282"/>
      <c r="BP336" s="282"/>
      <c r="BQ336" s="283"/>
      <c r="BR336" s="284"/>
      <c r="BS336" s="147"/>
      <c r="BT336" s="285"/>
      <c r="BU336" s="288"/>
      <c r="BV336" s="287"/>
      <c r="BW336" s="288"/>
      <c r="BX336" s="286"/>
      <c r="BY336" s="287"/>
      <c r="BZ336" s="288"/>
      <c r="CA336" s="286"/>
      <c r="CB336" s="286"/>
      <c r="CC336" s="287"/>
      <c r="CD336" s="286"/>
      <c r="CE336" s="286"/>
      <c r="CF336" s="286"/>
      <c r="CG336" s="287"/>
      <c r="CH336" s="288"/>
      <c r="CI336" s="286"/>
      <c r="CJ336" s="286"/>
      <c r="CK336" s="287"/>
      <c r="CL336" s="288"/>
      <c r="CM336" s="286"/>
      <c r="CN336" s="294"/>
      <c r="CO336" s="289"/>
      <c r="CP336" s="290"/>
      <c r="CQ336" s="289"/>
      <c r="CR336" s="290"/>
      <c r="CS336" s="284"/>
      <c r="CT336" s="147"/>
      <c r="CU336" s="291"/>
      <c r="CV336" s="292"/>
    </row>
    <row r="337" spans="2:100">
      <c r="B337">
        <v>279</v>
      </c>
      <c r="C337" s="243" t="str">
        <v/>
      </c>
      <c r="D337" s="592" t="str">
        <v/>
      </c>
      <c r="E337" s="245" t="str">
        <v/>
      </c>
      <c r="F337" s="243" t="str">
        <v/>
      </c>
      <c r="G337" s="245" t="str">
        <v/>
      </c>
      <c r="H337" s="243" t="str">
        <v/>
      </c>
      <c r="I337" s="245" t="str">
        <v/>
      </c>
      <c r="J337" s="242" t="str">
        <v/>
      </c>
      <c r="K337" s="242" t="str">
        <v/>
      </c>
      <c r="L337" s="242" t="str">
        <v/>
      </c>
      <c r="M337" s="243" t="str">
        <v/>
      </c>
      <c r="N337" s="592" t="str">
        <v/>
      </c>
      <c r="O337" s="245" t="str">
        <v/>
      </c>
      <c r="P337" s="245" t="str">
        <v/>
      </c>
      <c r="Q337" s="254" t="str">
        <v/>
      </c>
      <c r="R337" s="255" t="str">
        <v/>
      </c>
      <c r="S337" s="256" t="str">
        <v/>
      </c>
      <c r="T337" s="257" t="str">
        <v/>
      </c>
      <c r="U337" s="255" t="str">
        <v/>
      </c>
      <c r="V337" s="256" t="str">
        <v/>
      </c>
      <c r="W337" s="257" t="str">
        <v/>
      </c>
      <c r="X337" s="255" t="str">
        <v/>
      </c>
      <c r="Y337" s="256" t="str">
        <v/>
      </c>
      <c r="Z337" s="257" t="str">
        <v/>
      </c>
      <c r="AA337" s="255" t="str">
        <v/>
      </c>
      <c r="AB337" s="256" t="str">
        <v/>
      </c>
      <c r="AC337" s="257" t="str">
        <v/>
      </c>
      <c r="AD337" s="255" t="str">
        <v/>
      </c>
      <c r="AE337" s="256" t="str">
        <v/>
      </c>
      <c r="AF337" s="257" t="str">
        <v/>
      </c>
      <c r="AG337" s="255" t="str">
        <v/>
      </c>
      <c r="AH337" s="256" t="str">
        <v/>
      </c>
      <c r="AI337" s="257" t="str">
        <v/>
      </c>
      <c r="AJ337" s="255" t="str">
        <v/>
      </c>
      <c r="AK337" s="256" t="str">
        <v/>
      </c>
      <c r="AL337" s="257" t="str">
        <v/>
      </c>
      <c r="AM337" s="255" t="str">
        <v/>
      </c>
      <c r="AN337" s="256" t="str">
        <v/>
      </c>
      <c r="AO337" s="257" t="str">
        <v/>
      </c>
      <c r="AP337" s="255" t="str">
        <v/>
      </c>
      <c r="AQ337" s="256" t="str">
        <v/>
      </c>
      <c r="AR337" s="257" t="str">
        <v/>
      </c>
      <c r="AS337" s="255" t="str">
        <v/>
      </c>
      <c r="AT337" s="256" t="str">
        <v/>
      </c>
      <c r="AU337" s="257" t="str">
        <v/>
      </c>
      <c r="AV337" s="255" t="str">
        <v/>
      </c>
      <c r="AW337" s="256" t="str">
        <v/>
      </c>
      <c r="AX337" s="257" t="str">
        <v/>
      </c>
      <c r="AY337" s="243">
        <v>0</v>
      </c>
      <c r="AZ337" s="244">
        <v>0</v>
      </c>
      <c r="BA337" s="244">
        <v>0</v>
      </c>
      <c r="BB337" s="244">
        <v>0</v>
      </c>
      <c r="BC337" s="244">
        <v>0</v>
      </c>
      <c r="BD337" s="244">
        <v>0</v>
      </c>
      <c r="BE337" s="244">
        <v>0</v>
      </c>
      <c r="BF337" s="244">
        <v>0</v>
      </c>
      <c r="BG337" s="244">
        <v>0</v>
      </c>
      <c r="BH337" s="245">
        <v>0</v>
      </c>
      <c r="BK337">
        <v>279</v>
      </c>
      <c r="BL337" s="281"/>
      <c r="BM337" s="281"/>
      <c r="BN337" s="282"/>
      <c r="BO337" s="282"/>
      <c r="BP337" s="282"/>
      <c r="BQ337" s="283"/>
      <c r="BR337" s="284"/>
      <c r="BS337" s="147"/>
      <c r="BT337" s="285"/>
      <c r="BU337" s="288"/>
      <c r="BV337" s="287"/>
      <c r="BW337" s="288"/>
      <c r="BX337" s="286"/>
      <c r="BY337" s="287"/>
      <c r="BZ337" s="288"/>
      <c r="CA337" s="286"/>
      <c r="CB337" s="286"/>
      <c r="CC337" s="287"/>
      <c r="CD337" s="286"/>
      <c r="CE337" s="286"/>
      <c r="CF337" s="286"/>
      <c r="CG337" s="287"/>
      <c r="CH337" s="288"/>
      <c r="CI337" s="286"/>
      <c r="CJ337" s="286"/>
      <c r="CK337" s="287"/>
      <c r="CL337" s="288"/>
      <c r="CM337" s="286"/>
      <c r="CN337" s="294"/>
      <c r="CO337" s="289"/>
      <c r="CP337" s="290"/>
      <c r="CQ337" s="289"/>
      <c r="CR337" s="290"/>
      <c r="CS337" s="284"/>
      <c r="CT337" s="147"/>
      <c r="CU337" s="291"/>
      <c r="CV337" s="292"/>
    </row>
    <row r="338" spans="2:100">
      <c r="B338">
        <v>280</v>
      </c>
      <c r="C338" s="243" t="str">
        <v/>
      </c>
      <c r="D338" s="592" t="str">
        <v/>
      </c>
      <c r="E338" s="245" t="str">
        <v/>
      </c>
      <c r="F338" s="243" t="str">
        <v/>
      </c>
      <c r="G338" s="245" t="str">
        <v/>
      </c>
      <c r="H338" s="243" t="str">
        <v/>
      </c>
      <c r="I338" s="245" t="str">
        <v/>
      </c>
      <c r="J338" s="242" t="str">
        <v/>
      </c>
      <c r="K338" s="242" t="str">
        <v/>
      </c>
      <c r="L338" s="242" t="str">
        <v/>
      </c>
      <c r="M338" s="243" t="str">
        <v/>
      </c>
      <c r="N338" s="592" t="str">
        <v/>
      </c>
      <c r="O338" s="245" t="str">
        <v/>
      </c>
      <c r="P338" s="245" t="str">
        <v/>
      </c>
      <c r="Q338" s="254" t="str">
        <v/>
      </c>
      <c r="R338" s="255" t="str">
        <v/>
      </c>
      <c r="S338" s="256" t="str">
        <v/>
      </c>
      <c r="T338" s="257" t="str">
        <v/>
      </c>
      <c r="U338" s="255" t="str">
        <v/>
      </c>
      <c r="V338" s="256" t="str">
        <v/>
      </c>
      <c r="W338" s="257" t="str">
        <v/>
      </c>
      <c r="X338" s="255" t="str">
        <v/>
      </c>
      <c r="Y338" s="256" t="str">
        <v/>
      </c>
      <c r="Z338" s="257" t="str">
        <v/>
      </c>
      <c r="AA338" s="255" t="str">
        <v/>
      </c>
      <c r="AB338" s="256" t="str">
        <v/>
      </c>
      <c r="AC338" s="257" t="str">
        <v/>
      </c>
      <c r="AD338" s="255" t="str">
        <v/>
      </c>
      <c r="AE338" s="256" t="str">
        <v/>
      </c>
      <c r="AF338" s="257" t="str">
        <v/>
      </c>
      <c r="AG338" s="255" t="str">
        <v/>
      </c>
      <c r="AH338" s="256" t="str">
        <v/>
      </c>
      <c r="AI338" s="257" t="str">
        <v/>
      </c>
      <c r="AJ338" s="255" t="str">
        <v/>
      </c>
      <c r="AK338" s="256" t="str">
        <v/>
      </c>
      <c r="AL338" s="257" t="str">
        <v/>
      </c>
      <c r="AM338" s="255" t="str">
        <v/>
      </c>
      <c r="AN338" s="256" t="str">
        <v/>
      </c>
      <c r="AO338" s="257" t="str">
        <v/>
      </c>
      <c r="AP338" s="255" t="str">
        <v/>
      </c>
      <c r="AQ338" s="256" t="str">
        <v/>
      </c>
      <c r="AR338" s="257" t="str">
        <v/>
      </c>
      <c r="AS338" s="255" t="str">
        <v/>
      </c>
      <c r="AT338" s="256" t="str">
        <v/>
      </c>
      <c r="AU338" s="257" t="str">
        <v/>
      </c>
      <c r="AV338" s="255" t="str">
        <v/>
      </c>
      <c r="AW338" s="256" t="str">
        <v/>
      </c>
      <c r="AX338" s="257" t="str">
        <v/>
      </c>
      <c r="AY338" s="243">
        <v>0</v>
      </c>
      <c r="AZ338" s="244">
        <v>0</v>
      </c>
      <c r="BA338" s="244">
        <v>0</v>
      </c>
      <c r="BB338" s="244">
        <v>0</v>
      </c>
      <c r="BC338" s="244">
        <v>0</v>
      </c>
      <c r="BD338" s="244">
        <v>0</v>
      </c>
      <c r="BE338" s="244">
        <v>0</v>
      </c>
      <c r="BF338" s="244">
        <v>0</v>
      </c>
      <c r="BG338" s="244">
        <v>0</v>
      </c>
      <c r="BH338" s="245">
        <v>0</v>
      </c>
      <c r="BK338">
        <v>280</v>
      </c>
      <c r="BL338" s="281"/>
      <c r="BM338" s="281"/>
      <c r="BN338" s="282"/>
      <c r="BO338" s="282"/>
      <c r="BP338" s="282"/>
      <c r="BQ338" s="283"/>
      <c r="BR338" s="284"/>
      <c r="BS338" s="147"/>
      <c r="BT338" s="285"/>
      <c r="BU338" s="288"/>
      <c r="BV338" s="287"/>
      <c r="BW338" s="288"/>
      <c r="BX338" s="286"/>
      <c r="BY338" s="287"/>
      <c r="BZ338" s="288"/>
      <c r="CA338" s="286"/>
      <c r="CB338" s="286"/>
      <c r="CC338" s="287"/>
      <c r="CD338" s="286"/>
      <c r="CE338" s="286"/>
      <c r="CF338" s="286"/>
      <c r="CG338" s="287"/>
      <c r="CH338" s="288"/>
      <c r="CI338" s="286"/>
      <c r="CJ338" s="286"/>
      <c r="CK338" s="287"/>
      <c r="CL338" s="288"/>
      <c r="CM338" s="286"/>
      <c r="CN338" s="294"/>
      <c r="CO338" s="289"/>
      <c r="CP338" s="290"/>
      <c r="CQ338" s="289"/>
      <c r="CR338" s="290"/>
      <c r="CS338" s="284"/>
      <c r="CT338" s="147"/>
      <c r="CU338" s="291"/>
      <c r="CV338" s="292"/>
    </row>
    <row r="339" spans="2:100">
      <c r="B339">
        <v>281</v>
      </c>
      <c r="C339" s="243" t="str">
        <v/>
      </c>
      <c r="D339" s="592" t="str">
        <v/>
      </c>
      <c r="E339" s="245" t="str">
        <v/>
      </c>
      <c r="F339" s="243" t="str">
        <v/>
      </c>
      <c r="G339" s="245" t="str">
        <v/>
      </c>
      <c r="H339" s="243" t="str">
        <v/>
      </c>
      <c r="I339" s="245" t="str">
        <v/>
      </c>
      <c r="J339" s="242" t="str">
        <v/>
      </c>
      <c r="K339" s="242" t="str">
        <v/>
      </c>
      <c r="L339" s="242" t="str">
        <v/>
      </c>
      <c r="M339" s="243" t="str">
        <v/>
      </c>
      <c r="N339" s="592" t="str">
        <v/>
      </c>
      <c r="O339" s="245" t="str">
        <v/>
      </c>
      <c r="P339" s="245" t="str">
        <v/>
      </c>
      <c r="Q339" s="254" t="str">
        <v/>
      </c>
      <c r="R339" s="255" t="str">
        <v/>
      </c>
      <c r="S339" s="256" t="str">
        <v/>
      </c>
      <c r="T339" s="257" t="str">
        <v/>
      </c>
      <c r="U339" s="255" t="str">
        <v/>
      </c>
      <c r="V339" s="256" t="str">
        <v/>
      </c>
      <c r="W339" s="257" t="str">
        <v/>
      </c>
      <c r="X339" s="255" t="str">
        <v/>
      </c>
      <c r="Y339" s="256" t="str">
        <v/>
      </c>
      <c r="Z339" s="257" t="str">
        <v/>
      </c>
      <c r="AA339" s="255" t="str">
        <v/>
      </c>
      <c r="AB339" s="256" t="str">
        <v/>
      </c>
      <c r="AC339" s="257" t="str">
        <v/>
      </c>
      <c r="AD339" s="255" t="str">
        <v/>
      </c>
      <c r="AE339" s="256" t="str">
        <v/>
      </c>
      <c r="AF339" s="257" t="str">
        <v/>
      </c>
      <c r="AG339" s="255" t="str">
        <v/>
      </c>
      <c r="AH339" s="256" t="str">
        <v/>
      </c>
      <c r="AI339" s="257" t="str">
        <v/>
      </c>
      <c r="AJ339" s="255" t="str">
        <v/>
      </c>
      <c r="AK339" s="256" t="str">
        <v/>
      </c>
      <c r="AL339" s="257" t="str">
        <v/>
      </c>
      <c r="AM339" s="255" t="str">
        <v/>
      </c>
      <c r="AN339" s="256" t="str">
        <v/>
      </c>
      <c r="AO339" s="257" t="str">
        <v/>
      </c>
      <c r="AP339" s="255" t="str">
        <v/>
      </c>
      <c r="AQ339" s="256" t="str">
        <v/>
      </c>
      <c r="AR339" s="257" t="str">
        <v/>
      </c>
      <c r="AS339" s="255" t="str">
        <v/>
      </c>
      <c r="AT339" s="256" t="str">
        <v/>
      </c>
      <c r="AU339" s="257" t="str">
        <v/>
      </c>
      <c r="AV339" s="255" t="str">
        <v/>
      </c>
      <c r="AW339" s="256" t="str">
        <v/>
      </c>
      <c r="AX339" s="257" t="str">
        <v/>
      </c>
      <c r="AY339" s="243">
        <v>0</v>
      </c>
      <c r="AZ339" s="244">
        <v>0</v>
      </c>
      <c r="BA339" s="244">
        <v>0</v>
      </c>
      <c r="BB339" s="244">
        <v>0</v>
      </c>
      <c r="BC339" s="244">
        <v>0</v>
      </c>
      <c r="BD339" s="244">
        <v>0</v>
      </c>
      <c r="BE339" s="244">
        <v>0</v>
      </c>
      <c r="BF339" s="244">
        <v>0</v>
      </c>
      <c r="BG339" s="244">
        <v>0</v>
      </c>
      <c r="BH339" s="245">
        <v>0</v>
      </c>
      <c r="BK339">
        <v>281</v>
      </c>
      <c r="BL339" s="281"/>
      <c r="BM339" s="281"/>
      <c r="BN339" s="282"/>
      <c r="BO339" s="282"/>
      <c r="BP339" s="282"/>
      <c r="BQ339" s="283"/>
      <c r="BR339" s="284"/>
      <c r="BS339" s="147"/>
      <c r="BT339" s="285"/>
      <c r="BU339" s="288"/>
      <c r="BV339" s="287"/>
      <c r="BW339" s="288"/>
      <c r="BX339" s="286"/>
      <c r="BY339" s="287"/>
      <c r="BZ339" s="288"/>
      <c r="CA339" s="286"/>
      <c r="CB339" s="286"/>
      <c r="CC339" s="287"/>
      <c r="CD339" s="286"/>
      <c r="CE339" s="286"/>
      <c r="CF339" s="286"/>
      <c r="CG339" s="287"/>
      <c r="CH339" s="288"/>
      <c r="CI339" s="286"/>
      <c r="CJ339" s="286"/>
      <c r="CK339" s="287"/>
      <c r="CL339" s="288"/>
      <c r="CM339" s="286"/>
      <c r="CN339" s="294"/>
      <c r="CO339" s="289"/>
      <c r="CP339" s="290"/>
      <c r="CQ339" s="289"/>
      <c r="CR339" s="290"/>
      <c r="CS339" s="284"/>
      <c r="CT339" s="147"/>
      <c r="CU339" s="291"/>
      <c r="CV339" s="292"/>
    </row>
    <row r="340" spans="2:100">
      <c r="B340">
        <v>282</v>
      </c>
      <c r="C340" s="243" t="str">
        <v/>
      </c>
      <c r="D340" s="592" t="str">
        <v/>
      </c>
      <c r="E340" s="245" t="str">
        <v/>
      </c>
      <c r="F340" s="243" t="str">
        <v/>
      </c>
      <c r="G340" s="245" t="str">
        <v/>
      </c>
      <c r="H340" s="243" t="str">
        <v/>
      </c>
      <c r="I340" s="245" t="str">
        <v/>
      </c>
      <c r="J340" s="242" t="str">
        <v/>
      </c>
      <c r="K340" s="242" t="str">
        <v/>
      </c>
      <c r="L340" s="242" t="str">
        <v/>
      </c>
      <c r="M340" s="243" t="str">
        <v/>
      </c>
      <c r="N340" s="592" t="str">
        <v/>
      </c>
      <c r="O340" s="245" t="str">
        <v/>
      </c>
      <c r="P340" s="245" t="str">
        <v/>
      </c>
      <c r="Q340" s="254" t="str">
        <v/>
      </c>
      <c r="R340" s="255" t="str">
        <v/>
      </c>
      <c r="S340" s="256" t="str">
        <v/>
      </c>
      <c r="T340" s="257" t="str">
        <v/>
      </c>
      <c r="U340" s="255" t="str">
        <v/>
      </c>
      <c r="V340" s="256" t="str">
        <v/>
      </c>
      <c r="W340" s="257" t="str">
        <v/>
      </c>
      <c r="X340" s="255" t="str">
        <v/>
      </c>
      <c r="Y340" s="256" t="str">
        <v/>
      </c>
      <c r="Z340" s="257" t="str">
        <v/>
      </c>
      <c r="AA340" s="255" t="str">
        <v/>
      </c>
      <c r="AB340" s="256" t="str">
        <v/>
      </c>
      <c r="AC340" s="257" t="str">
        <v/>
      </c>
      <c r="AD340" s="255" t="str">
        <v/>
      </c>
      <c r="AE340" s="256" t="str">
        <v/>
      </c>
      <c r="AF340" s="257" t="str">
        <v/>
      </c>
      <c r="AG340" s="255" t="str">
        <v/>
      </c>
      <c r="AH340" s="256" t="str">
        <v/>
      </c>
      <c r="AI340" s="257" t="str">
        <v/>
      </c>
      <c r="AJ340" s="255" t="str">
        <v/>
      </c>
      <c r="AK340" s="256" t="str">
        <v/>
      </c>
      <c r="AL340" s="257" t="str">
        <v/>
      </c>
      <c r="AM340" s="255" t="str">
        <v/>
      </c>
      <c r="AN340" s="256" t="str">
        <v/>
      </c>
      <c r="AO340" s="257" t="str">
        <v/>
      </c>
      <c r="AP340" s="255" t="str">
        <v/>
      </c>
      <c r="AQ340" s="256" t="str">
        <v/>
      </c>
      <c r="AR340" s="257" t="str">
        <v/>
      </c>
      <c r="AS340" s="255" t="str">
        <v/>
      </c>
      <c r="AT340" s="256" t="str">
        <v/>
      </c>
      <c r="AU340" s="257" t="str">
        <v/>
      </c>
      <c r="AV340" s="255" t="str">
        <v/>
      </c>
      <c r="AW340" s="256" t="str">
        <v/>
      </c>
      <c r="AX340" s="257" t="str">
        <v/>
      </c>
      <c r="AY340" s="243">
        <v>0</v>
      </c>
      <c r="AZ340" s="244">
        <v>0</v>
      </c>
      <c r="BA340" s="244">
        <v>0</v>
      </c>
      <c r="BB340" s="244">
        <v>0</v>
      </c>
      <c r="BC340" s="244">
        <v>0</v>
      </c>
      <c r="BD340" s="244">
        <v>0</v>
      </c>
      <c r="BE340" s="244">
        <v>0</v>
      </c>
      <c r="BF340" s="244">
        <v>0</v>
      </c>
      <c r="BG340" s="244">
        <v>0</v>
      </c>
      <c r="BH340" s="245">
        <v>0</v>
      </c>
      <c r="BK340">
        <v>282</v>
      </c>
      <c r="BL340" s="281"/>
      <c r="BM340" s="281"/>
      <c r="BN340" s="282"/>
      <c r="BO340" s="282"/>
      <c r="BP340" s="282"/>
      <c r="BQ340" s="283"/>
      <c r="BR340" s="284"/>
      <c r="BS340" s="147"/>
      <c r="BT340" s="285"/>
      <c r="BU340" s="288"/>
      <c r="BV340" s="287"/>
      <c r="BW340" s="288"/>
      <c r="BX340" s="286"/>
      <c r="BY340" s="287"/>
      <c r="BZ340" s="288"/>
      <c r="CA340" s="286"/>
      <c r="CB340" s="286"/>
      <c r="CC340" s="287"/>
      <c r="CD340" s="286"/>
      <c r="CE340" s="286"/>
      <c r="CF340" s="286"/>
      <c r="CG340" s="287"/>
      <c r="CH340" s="288"/>
      <c r="CI340" s="286"/>
      <c r="CJ340" s="286"/>
      <c r="CK340" s="287"/>
      <c r="CL340" s="288"/>
      <c r="CM340" s="286"/>
      <c r="CN340" s="294"/>
      <c r="CO340" s="289"/>
      <c r="CP340" s="290"/>
      <c r="CQ340" s="289"/>
      <c r="CR340" s="290"/>
      <c r="CS340" s="284"/>
      <c r="CT340" s="147"/>
      <c r="CU340" s="291"/>
      <c r="CV340" s="292"/>
    </row>
    <row r="341" spans="2:100">
      <c r="B341">
        <v>283</v>
      </c>
      <c r="C341" s="243" t="str">
        <v/>
      </c>
      <c r="D341" s="592" t="str">
        <v/>
      </c>
      <c r="E341" s="245" t="str">
        <v/>
      </c>
      <c r="F341" s="243" t="str">
        <v/>
      </c>
      <c r="G341" s="245" t="str">
        <v/>
      </c>
      <c r="H341" s="243" t="str">
        <v/>
      </c>
      <c r="I341" s="245" t="str">
        <v/>
      </c>
      <c r="J341" s="242" t="str">
        <v/>
      </c>
      <c r="K341" s="242" t="str">
        <v/>
      </c>
      <c r="L341" s="242" t="str">
        <v/>
      </c>
      <c r="M341" s="243" t="str">
        <v/>
      </c>
      <c r="N341" s="592" t="str">
        <v/>
      </c>
      <c r="O341" s="245" t="str">
        <v/>
      </c>
      <c r="P341" s="245" t="str">
        <v/>
      </c>
      <c r="Q341" s="254" t="str">
        <v/>
      </c>
      <c r="R341" s="255" t="str">
        <v/>
      </c>
      <c r="S341" s="256" t="str">
        <v/>
      </c>
      <c r="T341" s="257" t="str">
        <v/>
      </c>
      <c r="U341" s="255" t="str">
        <v/>
      </c>
      <c r="V341" s="256" t="str">
        <v/>
      </c>
      <c r="W341" s="257" t="str">
        <v/>
      </c>
      <c r="X341" s="255" t="str">
        <v/>
      </c>
      <c r="Y341" s="256" t="str">
        <v/>
      </c>
      <c r="Z341" s="257" t="str">
        <v/>
      </c>
      <c r="AA341" s="255" t="str">
        <v/>
      </c>
      <c r="AB341" s="256" t="str">
        <v/>
      </c>
      <c r="AC341" s="257" t="str">
        <v/>
      </c>
      <c r="AD341" s="255" t="str">
        <v/>
      </c>
      <c r="AE341" s="256" t="str">
        <v/>
      </c>
      <c r="AF341" s="257" t="str">
        <v/>
      </c>
      <c r="AG341" s="255" t="str">
        <v/>
      </c>
      <c r="AH341" s="256" t="str">
        <v/>
      </c>
      <c r="AI341" s="257" t="str">
        <v/>
      </c>
      <c r="AJ341" s="255" t="str">
        <v/>
      </c>
      <c r="AK341" s="256" t="str">
        <v/>
      </c>
      <c r="AL341" s="257" t="str">
        <v/>
      </c>
      <c r="AM341" s="255" t="str">
        <v/>
      </c>
      <c r="AN341" s="256" t="str">
        <v/>
      </c>
      <c r="AO341" s="257" t="str">
        <v/>
      </c>
      <c r="AP341" s="255" t="str">
        <v/>
      </c>
      <c r="AQ341" s="256" t="str">
        <v/>
      </c>
      <c r="AR341" s="257" t="str">
        <v/>
      </c>
      <c r="AS341" s="255" t="str">
        <v/>
      </c>
      <c r="AT341" s="256" t="str">
        <v/>
      </c>
      <c r="AU341" s="257" t="str">
        <v/>
      </c>
      <c r="AV341" s="255" t="str">
        <v/>
      </c>
      <c r="AW341" s="256" t="str">
        <v/>
      </c>
      <c r="AX341" s="257" t="str">
        <v/>
      </c>
      <c r="AY341" s="243">
        <v>0</v>
      </c>
      <c r="AZ341" s="244">
        <v>0</v>
      </c>
      <c r="BA341" s="244">
        <v>0</v>
      </c>
      <c r="BB341" s="244">
        <v>0</v>
      </c>
      <c r="BC341" s="244">
        <v>0</v>
      </c>
      <c r="BD341" s="244">
        <v>0</v>
      </c>
      <c r="BE341" s="244">
        <v>0</v>
      </c>
      <c r="BF341" s="244">
        <v>0</v>
      </c>
      <c r="BG341" s="244">
        <v>0</v>
      </c>
      <c r="BH341" s="245">
        <v>0</v>
      </c>
      <c r="BK341">
        <v>283</v>
      </c>
      <c r="BL341" s="281"/>
      <c r="BM341" s="281"/>
      <c r="BN341" s="282"/>
      <c r="BO341" s="282"/>
      <c r="BP341" s="282"/>
      <c r="BQ341" s="283"/>
      <c r="BR341" s="284"/>
      <c r="BS341" s="147"/>
      <c r="BT341" s="285"/>
      <c r="BU341" s="288"/>
      <c r="BV341" s="287"/>
      <c r="BW341" s="288"/>
      <c r="BX341" s="286"/>
      <c r="BY341" s="287"/>
      <c r="BZ341" s="288"/>
      <c r="CA341" s="286"/>
      <c r="CB341" s="286"/>
      <c r="CC341" s="287"/>
      <c r="CD341" s="286"/>
      <c r="CE341" s="286"/>
      <c r="CF341" s="286"/>
      <c r="CG341" s="287"/>
      <c r="CH341" s="288"/>
      <c r="CI341" s="286"/>
      <c r="CJ341" s="286"/>
      <c r="CK341" s="287"/>
      <c r="CL341" s="288"/>
      <c r="CM341" s="286"/>
      <c r="CN341" s="294"/>
      <c r="CO341" s="289"/>
      <c r="CP341" s="290"/>
      <c r="CQ341" s="289"/>
      <c r="CR341" s="290"/>
      <c r="CS341" s="284"/>
      <c r="CT341" s="147"/>
      <c r="CU341" s="291"/>
      <c r="CV341" s="292"/>
    </row>
    <row r="342" spans="2:100">
      <c r="B342">
        <v>284</v>
      </c>
      <c r="C342" s="243" t="str">
        <v/>
      </c>
      <c r="D342" s="592" t="str">
        <v/>
      </c>
      <c r="E342" s="245" t="str">
        <v/>
      </c>
      <c r="F342" s="243" t="str">
        <v/>
      </c>
      <c r="G342" s="245" t="str">
        <v/>
      </c>
      <c r="H342" s="243" t="str">
        <v/>
      </c>
      <c r="I342" s="245" t="str">
        <v/>
      </c>
      <c r="J342" s="242" t="str">
        <v/>
      </c>
      <c r="K342" s="242" t="str">
        <v/>
      </c>
      <c r="L342" s="242" t="str">
        <v/>
      </c>
      <c r="M342" s="243" t="str">
        <v/>
      </c>
      <c r="N342" s="592" t="str">
        <v/>
      </c>
      <c r="O342" s="245" t="str">
        <v/>
      </c>
      <c r="P342" s="245" t="str">
        <v/>
      </c>
      <c r="Q342" s="254" t="str">
        <v/>
      </c>
      <c r="R342" s="255" t="str">
        <v/>
      </c>
      <c r="S342" s="256" t="str">
        <v/>
      </c>
      <c r="T342" s="257" t="str">
        <v/>
      </c>
      <c r="U342" s="255" t="str">
        <v/>
      </c>
      <c r="V342" s="256" t="str">
        <v/>
      </c>
      <c r="W342" s="257" t="str">
        <v/>
      </c>
      <c r="X342" s="255" t="str">
        <v/>
      </c>
      <c r="Y342" s="256" t="str">
        <v/>
      </c>
      <c r="Z342" s="257" t="str">
        <v/>
      </c>
      <c r="AA342" s="255" t="str">
        <v/>
      </c>
      <c r="AB342" s="256" t="str">
        <v/>
      </c>
      <c r="AC342" s="257" t="str">
        <v/>
      </c>
      <c r="AD342" s="255" t="str">
        <v/>
      </c>
      <c r="AE342" s="256" t="str">
        <v/>
      </c>
      <c r="AF342" s="257" t="str">
        <v/>
      </c>
      <c r="AG342" s="255" t="str">
        <v/>
      </c>
      <c r="AH342" s="256" t="str">
        <v/>
      </c>
      <c r="AI342" s="257" t="str">
        <v/>
      </c>
      <c r="AJ342" s="255" t="str">
        <v/>
      </c>
      <c r="AK342" s="256" t="str">
        <v/>
      </c>
      <c r="AL342" s="257" t="str">
        <v/>
      </c>
      <c r="AM342" s="255" t="str">
        <v/>
      </c>
      <c r="AN342" s="256" t="str">
        <v/>
      </c>
      <c r="AO342" s="257" t="str">
        <v/>
      </c>
      <c r="AP342" s="255" t="str">
        <v/>
      </c>
      <c r="AQ342" s="256" t="str">
        <v/>
      </c>
      <c r="AR342" s="257" t="str">
        <v/>
      </c>
      <c r="AS342" s="255" t="str">
        <v/>
      </c>
      <c r="AT342" s="256" t="str">
        <v/>
      </c>
      <c r="AU342" s="257" t="str">
        <v/>
      </c>
      <c r="AV342" s="255" t="str">
        <v/>
      </c>
      <c r="AW342" s="256" t="str">
        <v/>
      </c>
      <c r="AX342" s="257" t="str">
        <v/>
      </c>
      <c r="AY342" s="243">
        <v>0</v>
      </c>
      <c r="AZ342" s="244">
        <v>0</v>
      </c>
      <c r="BA342" s="244">
        <v>0</v>
      </c>
      <c r="BB342" s="244">
        <v>0</v>
      </c>
      <c r="BC342" s="244">
        <v>0</v>
      </c>
      <c r="BD342" s="244">
        <v>0</v>
      </c>
      <c r="BE342" s="244">
        <v>0</v>
      </c>
      <c r="BF342" s="244">
        <v>0</v>
      </c>
      <c r="BG342" s="244">
        <v>0</v>
      </c>
      <c r="BH342" s="245">
        <v>0</v>
      </c>
      <c r="BK342">
        <v>284</v>
      </c>
      <c r="BL342" s="281"/>
      <c r="BM342" s="281"/>
      <c r="BN342" s="282"/>
      <c r="BO342" s="282"/>
      <c r="BP342" s="282"/>
      <c r="BQ342" s="283"/>
      <c r="BR342" s="284"/>
      <c r="BS342" s="147"/>
      <c r="BT342" s="285"/>
      <c r="BU342" s="288"/>
      <c r="BV342" s="287"/>
      <c r="BW342" s="288"/>
      <c r="BX342" s="286"/>
      <c r="BY342" s="287"/>
      <c r="BZ342" s="288"/>
      <c r="CA342" s="286"/>
      <c r="CB342" s="286"/>
      <c r="CC342" s="287"/>
      <c r="CD342" s="286"/>
      <c r="CE342" s="286"/>
      <c r="CF342" s="286"/>
      <c r="CG342" s="287"/>
      <c r="CH342" s="288"/>
      <c r="CI342" s="286"/>
      <c r="CJ342" s="286"/>
      <c r="CK342" s="287"/>
      <c r="CL342" s="288"/>
      <c r="CM342" s="286"/>
      <c r="CN342" s="294"/>
      <c r="CO342" s="289"/>
      <c r="CP342" s="290"/>
      <c r="CQ342" s="289"/>
      <c r="CR342" s="290"/>
      <c r="CS342" s="284"/>
      <c r="CT342" s="147"/>
      <c r="CU342" s="291"/>
      <c r="CV342" s="292"/>
    </row>
    <row r="343" spans="2:100">
      <c r="B343">
        <v>285</v>
      </c>
      <c r="C343" s="243" t="str">
        <v/>
      </c>
      <c r="D343" s="592" t="str">
        <v/>
      </c>
      <c r="E343" s="245" t="str">
        <v/>
      </c>
      <c r="F343" s="243" t="str">
        <v/>
      </c>
      <c r="G343" s="245" t="str">
        <v/>
      </c>
      <c r="H343" s="243" t="str">
        <v/>
      </c>
      <c r="I343" s="245" t="str">
        <v/>
      </c>
      <c r="J343" s="242" t="str">
        <v/>
      </c>
      <c r="K343" s="242" t="str">
        <v/>
      </c>
      <c r="L343" s="242" t="str">
        <v/>
      </c>
      <c r="M343" s="243" t="str">
        <v/>
      </c>
      <c r="N343" s="592" t="str">
        <v/>
      </c>
      <c r="O343" s="245" t="str">
        <v/>
      </c>
      <c r="P343" s="245" t="str">
        <v/>
      </c>
      <c r="Q343" s="254" t="str">
        <v/>
      </c>
      <c r="R343" s="255" t="str">
        <v/>
      </c>
      <c r="S343" s="256" t="str">
        <v/>
      </c>
      <c r="T343" s="257" t="str">
        <v/>
      </c>
      <c r="U343" s="255" t="str">
        <v/>
      </c>
      <c r="V343" s="256" t="str">
        <v/>
      </c>
      <c r="W343" s="257" t="str">
        <v/>
      </c>
      <c r="X343" s="255" t="str">
        <v/>
      </c>
      <c r="Y343" s="256" t="str">
        <v/>
      </c>
      <c r="Z343" s="257" t="str">
        <v/>
      </c>
      <c r="AA343" s="255" t="str">
        <v/>
      </c>
      <c r="AB343" s="256" t="str">
        <v/>
      </c>
      <c r="AC343" s="257" t="str">
        <v/>
      </c>
      <c r="AD343" s="255" t="str">
        <v/>
      </c>
      <c r="AE343" s="256" t="str">
        <v/>
      </c>
      <c r="AF343" s="257" t="str">
        <v/>
      </c>
      <c r="AG343" s="255" t="str">
        <v/>
      </c>
      <c r="AH343" s="256" t="str">
        <v/>
      </c>
      <c r="AI343" s="257" t="str">
        <v/>
      </c>
      <c r="AJ343" s="255" t="str">
        <v/>
      </c>
      <c r="AK343" s="256" t="str">
        <v/>
      </c>
      <c r="AL343" s="257" t="str">
        <v/>
      </c>
      <c r="AM343" s="255" t="str">
        <v/>
      </c>
      <c r="AN343" s="256" t="str">
        <v/>
      </c>
      <c r="AO343" s="257" t="str">
        <v/>
      </c>
      <c r="AP343" s="255" t="str">
        <v/>
      </c>
      <c r="AQ343" s="256" t="str">
        <v/>
      </c>
      <c r="AR343" s="257" t="str">
        <v/>
      </c>
      <c r="AS343" s="255" t="str">
        <v/>
      </c>
      <c r="AT343" s="256" t="str">
        <v/>
      </c>
      <c r="AU343" s="257" t="str">
        <v/>
      </c>
      <c r="AV343" s="255" t="str">
        <v/>
      </c>
      <c r="AW343" s="256" t="str">
        <v/>
      </c>
      <c r="AX343" s="257" t="str">
        <v/>
      </c>
      <c r="AY343" s="243">
        <v>0</v>
      </c>
      <c r="AZ343" s="244">
        <v>0</v>
      </c>
      <c r="BA343" s="244">
        <v>0</v>
      </c>
      <c r="BB343" s="244">
        <v>0</v>
      </c>
      <c r="BC343" s="244">
        <v>0</v>
      </c>
      <c r="BD343" s="244">
        <v>0</v>
      </c>
      <c r="BE343" s="244">
        <v>0</v>
      </c>
      <c r="BF343" s="244">
        <v>0</v>
      </c>
      <c r="BG343" s="244">
        <v>0</v>
      </c>
      <c r="BH343" s="245">
        <v>0</v>
      </c>
      <c r="BK343">
        <v>285</v>
      </c>
      <c r="BL343" s="281"/>
      <c r="BM343" s="281"/>
      <c r="BN343" s="282"/>
      <c r="BO343" s="282"/>
      <c r="BP343" s="282"/>
      <c r="BQ343" s="283"/>
      <c r="BR343" s="284"/>
      <c r="BS343" s="147"/>
      <c r="BT343" s="285"/>
      <c r="BU343" s="288"/>
      <c r="BV343" s="287"/>
      <c r="BW343" s="288"/>
      <c r="BX343" s="286"/>
      <c r="BY343" s="287"/>
      <c r="BZ343" s="288"/>
      <c r="CA343" s="286"/>
      <c r="CB343" s="286"/>
      <c r="CC343" s="287"/>
      <c r="CD343" s="286"/>
      <c r="CE343" s="286"/>
      <c r="CF343" s="286"/>
      <c r="CG343" s="287"/>
      <c r="CH343" s="288"/>
      <c r="CI343" s="286"/>
      <c r="CJ343" s="286"/>
      <c r="CK343" s="287"/>
      <c r="CL343" s="288"/>
      <c r="CM343" s="286"/>
      <c r="CN343" s="294"/>
      <c r="CO343" s="289"/>
      <c r="CP343" s="290"/>
      <c r="CQ343" s="289"/>
      <c r="CR343" s="290"/>
      <c r="CS343" s="284"/>
      <c r="CT343" s="147"/>
      <c r="CU343" s="291"/>
      <c r="CV343" s="292"/>
    </row>
    <row r="344" spans="2:100">
      <c r="B344">
        <v>286</v>
      </c>
      <c r="C344" s="243" t="str">
        <v/>
      </c>
      <c r="D344" s="592" t="str">
        <v/>
      </c>
      <c r="E344" s="245" t="str">
        <v/>
      </c>
      <c r="F344" s="243" t="str">
        <v/>
      </c>
      <c r="G344" s="245" t="str">
        <v/>
      </c>
      <c r="H344" s="243" t="str">
        <v/>
      </c>
      <c r="I344" s="245" t="str">
        <v/>
      </c>
      <c r="J344" s="242" t="str">
        <v/>
      </c>
      <c r="K344" s="242" t="str">
        <v/>
      </c>
      <c r="L344" s="242" t="str">
        <v/>
      </c>
      <c r="M344" s="243" t="str">
        <v/>
      </c>
      <c r="N344" s="592" t="str">
        <v/>
      </c>
      <c r="O344" s="245" t="str">
        <v/>
      </c>
      <c r="P344" s="245" t="str">
        <v/>
      </c>
      <c r="Q344" s="254" t="str">
        <v/>
      </c>
      <c r="R344" s="255" t="str">
        <v/>
      </c>
      <c r="S344" s="256" t="str">
        <v/>
      </c>
      <c r="T344" s="257" t="str">
        <v/>
      </c>
      <c r="U344" s="255" t="str">
        <v/>
      </c>
      <c r="V344" s="256" t="str">
        <v/>
      </c>
      <c r="W344" s="257" t="str">
        <v/>
      </c>
      <c r="X344" s="255" t="str">
        <v/>
      </c>
      <c r="Y344" s="256" t="str">
        <v/>
      </c>
      <c r="Z344" s="257" t="str">
        <v/>
      </c>
      <c r="AA344" s="255" t="str">
        <v/>
      </c>
      <c r="AB344" s="256" t="str">
        <v/>
      </c>
      <c r="AC344" s="257" t="str">
        <v/>
      </c>
      <c r="AD344" s="255" t="str">
        <v/>
      </c>
      <c r="AE344" s="256" t="str">
        <v/>
      </c>
      <c r="AF344" s="257" t="str">
        <v/>
      </c>
      <c r="AG344" s="255" t="str">
        <v/>
      </c>
      <c r="AH344" s="256" t="str">
        <v/>
      </c>
      <c r="AI344" s="257" t="str">
        <v/>
      </c>
      <c r="AJ344" s="255" t="str">
        <v/>
      </c>
      <c r="AK344" s="256" t="str">
        <v/>
      </c>
      <c r="AL344" s="257" t="str">
        <v/>
      </c>
      <c r="AM344" s="255" t="str">
        <v/>
      </c>
      <c r="AN344" s="256" t="str">
        <v/>
      </c>
      <c r="AO344" s="257" t="str">
        <v/>
      </c>
      <c r="AP344" s="255" t="str">
        <v/>
      </c>
      <c r="AQ344" s="256" t="str">
        <v/>
      </c>
      <c r="AR344" s="257" t="str">
        <v/>
      </c>
      <c r="AS344" s="255" t="str">
        <v/>
      </c>
      <c r="AT344" s="256" t="str">
        <v/>
      </c>
      <c r="AU344" s="257" t="str">
        <v/>
      </c>
      <c r="AV344" s="255" t="str">
        <v/>
      </c>
      <c r="AW344" s="256" t="str">
        <v/>
      </c>
      <c r="AX344" s="257" t="str">
        <v/>
      </c>
      <c r="AY344" s="243">
        <v>0</v>
      </c>
      <c r="AZ344" s="244">
        <v>0</v>
      </c>
      <c r="BA344" s="244">
        <v>0</v>
      </c>
      <c r="BB344" s="244">
        <v>0</v>
      </c>
      <c r="BC344" s="244">
        <v>0</v>
      </c>
      <c r="BD344" s="244">
        <v>0</v>
      </c>
      <c r="BE344" s="244">
        <v>0</v>
      </c>
      <c r="BF344" s="244">
        <v>0</v>
      </c>
      <c r="BG344" s="244">
        <v>0</v>
      </c>
      <c r="BH344" s="245">
        <v>0</v>
      </c>
      <c r="BK344">
        <v>286</v>
      </c>
      <c r="BL344" s="281"/>
      <c r="BM344" s="281"/>
      <c r="BN344" s="282"/>
      <c r="BO344" s="282"/>
      <c r="BP344" s="282"/>
      <c r="BQ344" s="283"/>
      <c r="BR344" s="284"/>
      <c r="BS344" s="147"/>
      <c r="BT344" s="285"/>
      <c r="BU344" s="288"/>
      <c r="BV344" s="287"/>
      <c r="BW344" s="288"/>
      <c r="BX344" s="286"/>
      <c r="BY344" s="287"/>
      <c r="BZ344" s="288"/>
      <c r="CA344" s="286"/>
      <c r="CB344" s="286"/>
      <c r="CC344" s="287"/>
      <c r="CD344" s="286"/>
      <c r="CE344" s="286"/>
      <c r="CF344" s="286"/>
      <c r="CG344" s="287"/>
      <c r="CH344" s="288"/>
      <c r="CI344" s="286"/>
      <c r="CJ344" s="286"/>
      <c r="CK344" s="287"/>
      <c r="CL344" s="288"/>
      <c r="CM344" s="286"/>
      <c r="CN344" s="294"/>
      <c r="CO344" s="289"/>
      <c r="CP344" s="290"/>
      <c r="CQ344" s="289"/>
      <c r="CR344" s="290"/>
      <c r="CS344" s="284"/>
      <c r="CT344" s="147"/>
      <c r="CU344" s="291"/>
      <c r="CV344" s="292"/>
    </row>
    <row r="345" spans="2:100">
      <c r="B345">
        <v>287</v>
      </c>
      <c r="C345" s="243" t="str">
        <v/>
      </c>
      <c r="D345" s="592" t="str">
        <v/>
      </c>
      <c r="E345" s="245" t="str">
        <v/>
      </c>
      <c r="F345" s="243" t="str">
        <v/>
      </c>
      <c r="G345" s="245" t="str">
        <v/>
      </c>
      <c r="H345" s="243" t="str">
        <v/>
      </c>
      <c r="I345" s="245" t="str">
        <v/>
      </c>
      <c r="J345" s="242" t="str">
        <v/>
      </c>
      <c r="K345" s="242" t="str">
        <v/>
      </c>
      <c r="L345" s="242" t="str">
        <v/>
      </c>
      <c r="M345" s="243" t="str">
        <v/>
      </c>
      <c r="N345" s="592" t="str">
        <v/>
      </c>
      <c r="O345" s="245" t="str">
        <v/>
      </c>
      <c r="P345" s="245" t="str">
        <v/>
      </c>
      <c r="Q345" s="254" t="str">
        <v/>
      </c>
      <c r="R345" s="255" t="str">
        <v/>
      </c>
      <c r="S345" s="256" t="str">
        <v/>
      </c>
      <c r="T345" s="257" t="str">
        <v/>
      </c>
      <c r="U345" s="255" t="str">
        <v/>
      </c>
      <c r="V345" s="256" t="str">
        <v/>
      </c>
      <c r="W345" s="257" t="str">
        <v/>
      </c>
      <c r="X345" s="255" t="str">
        <v/>
      </c>
      <c r="Y345" s="256" t="str">
        <v/>
      </c>
      <c r="Z345" s="257" t="str">
        <v/>
      </c>
      <c r="AA345" s="255" t="str">
        <v/>
      </c>
      <c r="AB345" s="256" t="str">
        <v/>
      </c>
      <c r="AC345" s="257" t="str">
        <v/>
      </c>
      <c r="AD345" s="255" t="str">
        <v/>
      </c>
      <c r="AE345" s="256" t="str">
        <v/>
      </c>
      <c r="AF345" s="257" t="str">
        <v/>
      </c>
      <c r="AG345" s="255" t="str">
        <v/>
      </c>
      <c r="AH345" s="256" t="str">
        <v/>
      </c>
      <c r="AI345" s="257" t="str">
        <v/>
      </c>
      <c r="AJ345" s="255" t="str">
        <v/>
      </c>
      <c r="AK345" s="256" t="str">
        <v/>
      </c>
      <c r="AL345" s="257" t="str">
        <v/>
      </c>
      <c r="AM345" s="255" t="str">
        <v/>
      </c>
      <c r="AN345" s="256" t="str">
        <v/>
      </c>
      <c r="AO345" s="257" t="str">
        <v/>
      </c>
      <c r="AP345" s="255" t="str">
        <v/>
      </c>
      <c r="AQ345" s="256" t="str">
        <v/>
      </c>
      <c r="AR345" s="257" t="str">
        <v/>
      </c>
      <c r="AS345" s="255" t="str">
        <v/>
      </c>
      <c r="AT345" s="256" t="str">
        <v/>
      </c>
      <c r="AU345" s="257" t="str">
        <v/>
      </c>
      <c r="AV345" s="255" t="str">
        <v/>
      </c>
      <c r="AW345" s="256" t="str">
        <v/>
      </c>
      <c r="AX345" s="257" t="str">
        <v/>
      </c>
      <c r="AY345" s="243">
        <v>0</v>
      </c>
      <c r="AZ345" s="244">
        <v>0</v>
      </c>
      <c r="BA345" s="244">
        <v>0</v>
      </c>
      <c r="BB345" s="244">
        <v>0</v>
      </c>
      <c r="BC345" s="244">
        <v>0</v>
      </c>
      <c r="BD345" s="244">
        <v>0</v>
      </c>
      <c r="BE345" s="244">
        <v>0</v>
      </c>
      <c r="BF345" s="244">
        <v>0</v>
      </c>
      <c r="BG345" s="244">
        <v>0</v>
      </c>
      <c r="BH345" s="245">
        <v>0</v>
      </c>
      <c r="BK345">
        <v>287</v>
      </c>
      <c r="BL345" s="281"/>
      <c r="BM345" s="281"/>
      <c r="BN345" s="282"/>
      <c r="BO345" s="282"/>
      <c r="BP345" s="282"/>
      <c r="BQ345" s="283"/>
      <c r="BR345" s="284"/>
      <c r="BS345" s="147"/>
      <c r="BT345" s="285"/>
      <c r="BU345" s="288"/>
      <c r="BV345" s="287"/>
      <c r="BW345" s="288"/>
      <c r="BX345" s="286"/>
      <c r="BY345" s="287"/>
      <c r="BZ345" s="288"/>
      <c r="CA345" s="286"/>
      <c r="CB345" s="286"/>
      <c r="CC345" s="287"/>
      <c r="CD345" s="286"/>
      <c r="CE345" s="286"/>
      <c r="CF345" s="286"/>
      <c r="CG345" s="287"/>
      <c r="CH345" s="288"/>
      <c r="CI345" s="286"/>
      <c r="CJ345" s="286"/>
      <c r="CK345" s="287"/>
      <c r="CL345" s="288"/>
      <c r="CM345" s="286"/>
      <c r="CN345" s="294"/>
      <c r="CO345" s="289"/>
      <c r="CP345" s="290"/>
      <c r="CQ345" s="289"/>
      <c r="CR345" s="290"/>
      <c r="CS345" s="284"/>
      <c r="CT345" s="147"/>
      <c r="CU345" s="291"/>
      <c r="CV345" s="292"/>
    </row>
    <row r="346" spans="2:100">
      <c r="B346">
        <v>288</v>
      </c>
      <c r="C346" s="243" t="str">
        <v/>
      </c>
      <c r="D346" s="592" t="str">
        <v/>
      </c>
      <c r="E346" s="245" t="str">
        <v/>
      </c>
      <c r="F346" s="243" t="str">
        <v/>
      </c>
      <c r="G346" s="245" t="str">
        <v/>
      </c>
      <c r="H346" s="243" t="str">
        <v/>
      </c>
      <c r="I346" s="245" t="str">
        <v/>
      </c>
      <c r="J346" s="242" t="str">
        <v/>
      </c>
      <c r="K346" s="242" t="str">
        <v/>
      </c>
      <c r="L346" s="242" t="str">
        <v/>
      </c>
      <c r="M346" s="243" t="str">
        <v/>
      </c>
      <c r="N346" s="592" t="str">
        <v/>
      </c>
      <c r="O346" s="245" t="str">
        <v/>
      </c>
      <c r="P346" s="245" t="str">
        <v/>
      </c>
      <c r="Q346" s="254" t="str">
        <v/>
      </c>
      <c r="R346" s="255" t="str">
        <v/>
      </c>
      <c r="S346" s="256" t="str">
        <v/>
      </c>
      <c r="T346" s="257" t="str">
        <v/>
      </c>
      <c r="U346" s="255" t="str">
        <v/>
      </c>
      <c r="V346" s="256" t="str">
        <v/>
      </c>
      <c r="W346" s="257" t="str">
        <v/>
      </c>
      <c r="X346" s="255" t="str">
        <v/>
      </c>
      <c r="Y346" s="256" t="str">
        <v/>
      </c>
      <c r="Z346" s="257" t="str">
        <v/>
      </c>
      <c r="AA346" s="255" t="str">
        <v/>
      </c>
      <c r="AB346" s="256" t="str">
        <v/>
      </c>
      <c r="AC346" s="257" t="str">
        <v/>
      </c>
      <c r="AD346" s="255" t="str">
        <v/>
      </c>
      <c r="AE346" s="256" t="str">
        <v/>
      </c>
      <c r="AF346" s="257" t="str">
        <v/>
      </c>
      <c r="AG346" s="255" t="str">
        <v/>
      </c>
      <c r="AH346" s="256" t="str">
        <v/>
      </c>
      <c r="AI346" s="257" t="str">
        <v/>
      </c>
      <c r="AJ346" s="255" t="str">
        <v/>
      </c>
      <c r="AK346" s="256" t="str">
        <v/>
      </c>
      <c r="AL346" s="257" t="str">
        <v/>
      </c>
      <c r="AM346" s="255" t="str">
        <v/>
      </c>
      <c r="AN346" s="256" t="str">
        <v/>
      </c>
      <c r="AO346" s="257" t="str">
        <v/>
      </c>
      <c r="AP346" s="255" t="str">
        <v/>
      </c>
      <c r="AQ346" s="256" t="str">
        <v/>
      </c>
      <c r="AR346" s="257" t="str">
        <v/>
      </c>
      <c r="AS346" s="255" t="str">
        <v/>
      </c>
      <c r="AT346" s="256" t="str">
        <v/>
      </c>
      <c r="AU346" s="257" t="str">
        <v/>
      </c>
      <c r="AV346" s="255" t="str">
        <v/>
      </c>
      <c r="AW346" s="256" t="str">
        <v/>
      </c>
      <c r="AX346" s="257" t="str">
        <v/>
      </c>
      <c r="AY346" s="243">
        <v>0</v>
      </c>
      <c r="AZ346" s="244">
        <v>0</v>
      </c>
      <c r="BA346" s="244">
        <v>0</v>
      </c>
      <c r="BB346" s="244">
        <v>0</v>
      </c>
      <c r="BC346" s="244">
        <v>0</v>
      </c>
      <c r="BD346" s="244">
        <v>0</v>
      </c>
      <c r="BE346" s="244">
        <v>0</v>
      </c>
      <c r="BF346" s="244">
        <v>0</v>
      </c>
      <c r="BG346" s="244">
        <v>0</v>
      </c>
      <c r="BH346" s="245">
        <v>0</v>
      </c>
      <c r="BK346">
        <v>288</v>
      </c>
      <c r="BL346" s="281"/>
      <c r="BM346" s="281"/>
      <c r="BN346" s="282"/>
      <c r="BO346" s="282"/>
      <c r="BP346" s="282"/>
      <c r="BQ346" s="283"/>
      <c r="BR346" s="284"/>
      <c r="BS346" s="147"/>
      <c r="BT346" s="285"/>
      <c r="BU346" s="288"/>
      <c r="BV346" s="287"/>
      <c r="BW346" s="288"/>
      <c r="BX346" s="286"/>
      <c r="BY346" s="287"/>
      <c r="BZ346" s="288"/>
      <c r="CA346" s="286"/>
      <c r="CB346" s="286"/>
      <c r="CC346" s="287"/>
      <c r="CD346" s="286"/>
      <c r="CE346" s="286"/>
      <c r="CF346" s="286"/>
      <c r="CG346" s="287"/>
      <c r="CH346" s="288"/>
      <c r="CI346" s="286"/>
      <c r="CJ346" s="286"/>
      <c r="CK346" s="287"/>
      <c r="CL346" s="288"/>
      <c r="CM346" s="286"/>
      <c r="CN346" s="294"/>
      <c r="CO346" s="289"/>
      <c r="CP346" s="290"/>
      <c r="CQ346" s="289"/>
      <c r="CR346" s="290"/>
      <c r="CS346" s="284"/>
      <c r="CT346" s="147"/>
      <c r="CU346" s="291"/>
      <c r="CV346" s="292"/>
    </row>
    <row r="347" spans="2:100">
      <c r="B347">
        <v>289</v>
      </c>
      <c r="C347" s="243" t="str">
        <v/>
      </c>
      <c r="D347" s="592" t="str">
        <v/>
      </c>
      <c r="E347" s="245" t="str">
        <v/>
      </c>
      <c r="F347" s="243" t="str">
        <v/>
      </c>
      <c r="G347" s="245" t="str">
        <v/>
      </c>
      <c r="H347" s="243" t="str">
        <v/>
      </c>
      <c r="I347" s="245" t="str">
        <v/>
      </c>
      <c r="J347" s="242" t="str">
        <v/>
      </c>
      <c r="K347" s="242" t="str">
        <v/>
      </c>
      <c r="L347" s="242" t="str">
        <v/>
      </c>
      <c r="M347" s="243" t="str">
        <v/>
      </c>
      <c r="N347" s="592" t="str">
        <v/>
      </c>
      <c r="O347" s="245" t="str">
        <v/>
      </c>
      <c r="P347" s="245" t="str">
        <v/>
      </c>
      <c r="Q347" s="254" t="str">
        <v/>
      </c>
      <c r="R347" s="255" t="str">
        <v/>
      </c>
      <c r="S347" s="256" t="str">
        <v/>
      </c>
      <c r="T347" s="257" t="str">
        <v/>
      </c>
      <c r="U347" s="255" t="str">
        <v/>
      </c>
      <c r="V347" s="256" t="str">
        <v/>
      </c>
      <c r="W347" s="257" t="str">
        <v/>
      </c>
      <c r="X347" s="255" t="str">
        <v/>
      </c>
      <c r="Y347" s="256" t="str">
        <v/>
      </c>
      <c r="Z347" s="257" t="str">
        <v/>
      </c>
      <c r="AA347" s="255" t="str">
        <v/>
      </c>
      <c r="AB347" s="256" t="str">
        <v/>
      </c>
      <c r="AC347" s="257" t="str">
        <v/>
      </c>
      <c r="AD347" s="255" t="str">
        <v/>
      </c>
      <c r="AE347" s="256" t="str">
        <v/>
      </c>
      <c r="AF347" s="257" t="str">
        <v/>
      </c>
      <c r="AG347" s="255" t="str">
        <v/>
      </c>
      <c r="AH347" s="256" t="str">
        <v/>
      </c>
      <c r="AI347" s="257" t="str">
        <v/>
      </c>
      <c r="AJ347" s="255" t="str">
        <v/>
      </c>
      <c r="AK347" s="256" t="str">
        <v/>
      </c>
      <c r="AL347" s="257" t="str">
        <v/>
      </c>
      <c r="AM347" s="255" t="str">
        <v/>
      </c>
      <c r="AN347" s="256" t="str">
        <v/>
      </c>
      <c r="AO347" s="257" t="str">
        <v/>
      </c>
      <c r="AP347" s="255" t="str">
        <v/>
      </c>
      <c r="AQ347" s="256" t="str">
        <v/>
      </c>
      <c r="AR347" s="257" t="str">
        <v/>
      </c>
      <c r="AS347" s="255" t="str">
        <v/>
      </c>
      <c r="AT347" s="256" t="str">
        <v/>
      </c>
      <c r="AU347" s="257" t="str">
        <v/>
      </c>
      <c r="AV347" s="255" t="str">
        <v/>
      </c>
      <c r="AW347" s="256" t="str">
        <v/>
      </c>
      <c r="AX347" s="257" t="str">
        <v/>
      </c>
      <c r="AY347" s="243">
        <v>0</v>
      </c>
      <c r="AZ347" s="244">
        <v>0</v>
      </c>
      <c r="BA347" s="244">
        <v>0</v>
      </c>
      <c r="BB347" s="244">
        <v>0</v>
      </c>
      <c r="BC347" s="244">
        <v>0</v>
      </c>
      <c r="BD347" s="244">
        <v>0</v>
      </c>
      <c r="BE347" s="244">
        <v>0</v>
      </c>
      <c r="BF347" s="244">
        <v>0</v>
      </c>
      <c r="BG347" s="244">
        <v>0</v>
      </c>
      <c r="BH347" s="245">
        <v>0</v>
      </c>
      <c r="BK347">
        <v>289</v>
      </c>
      <c r="BL347" s="281"/>
      <c r="BM347" s="281"/>
      <c r="BN347" s="282"/>
      <c r="BO347" s="282"/>
      <c r="BP347" s="282"/>
      <c r="BQ347" s="283"/>
      <c r="BR347" s="284"/>
      <c r="BS347" s="147"/>
      <c r="BT347" s="285"/>
      <c r="BU347" s="288"/>
      <c r="BV347" s="287"/>
      <c r="BW347" s="288"/>
      <c r="BX347" s="286"/>
      <c r="BY347" s="287"/>
      <c r="BZ347" s="288"/>
      <c r="CA347" s="286"/>
      <c r="CB347" s="286"/>
      <c r="CC347" s="287"/>
      <c r="CD347" s="286"/>
      <c r="CE347" s="286"/>
      <c r="CF347" s="286"/>
      <c r="CG347" s="287"/>
      <c r="CH347" s="288"/>
      <c r="CI347" s="286"/>
      <c r="CJ347" s="286"/>
      <c r="CK347" s="287"/>
      <c r="CL347" s="288"/>
      <c r="CM347" s="286"/>
      <c r="CN347" s="294"/>
      <c r="CO347" s="289"/>
      <c r="CP347" s="290"/>
      <c r="CQ347" s="289"/>
      <c r="CR347" s="290"/>
      <c r="CS347" s="284"/>
      <c r="CT347" s="147"/>
      <c r="CU347" s="291"/>
      <c r="CV347" s="292"/>
    </row>
    <row r="348" spans="2:100">
      <c r="B348">
        <v>290</v>
      </c>
      <c r="C348" s="243" t="str">
        <v/>
      </c>
      <c r="D348" s="592" t="str">
        <v/>
      </c>
      <c r="E348" s="245" t="str">
        <v/>
      </c>
      <c r="F348" s="243" t="str">
        <v/>
      </c>
      <c r="G348" s="245" t="str">
        <v/>
      </c>
      <c r="H348" s="243" t="str">
        <v/>
      </c>
      <c r="I348" s="245" t="str">
        <v/>
      </c>
      <c r="J348" s="242" t="str">
        <v/>
      </c>
      <c r="K348" s="242" t="str">
        <v/>
      </c>
      <c r="L348" s="242" t="str">
        <v/>
      </c>
      <c r="M348" s="243" t="str">
        <v/>
      </c>
      <c r="N348" s="592" t="str">
        <v/>
      </c>
      <c r="O348" s="245" t="str">
        <v/>
      </c>
      <c r="P348" s="245" t="str">
        <v/>
      </c>
      <c r="Q348" s="254" t="str">
        <v/>
      </c>
      <c r="R348" s="255" t="str">
        <v/>
      </c>
      <c r="S348" s="256" t="str">
        <v/>
      </c>
      <c r="T348" s="257" t="str">
        <v/>
      </c>
      <c r="U348" s="255" t="str">
        <v/>
      </c>
      <c r="V348" s="256" t="str">
        <v/>
      </c>
      <c r="W348" s="257" t="str">
        <v/>
      </c>
      <c r="X348" s="255" t="str">
        <v/>
      </c>
      <c r="Y348" s="256" t="str">
        <v/>
      </c>
      <c r="Z348" s="257" t="str">
        <v/>
      </c>
      <c r="AA348" s="255" t="str">
        <v/>
      </c>
      <c r="AB348" s="256" t="str">
        <v/>
      </c>
      <c r="AC348" s="257" t="str">
        <v/>
      </c>
      <c r="AD348" s="255" t="str">
        <v/>
      </c>
      <c r="AE348" s="256" t="str">
        <v/>
      </c>
      <c r="AF348" s="257" t="str">
        <v/>
      </c>
      <c r="AG348" s="255" t="str">
        <v/>
      </c>
      <c r="AH348" s="256" t="str">
        <v/>
      </c>
      <c r="AI348" s="257" t="str">
        <v/>
      </c>
      <c r="AJ348" s="255" t="str">
        <v/>
      </c>
      <c r="AK348" s="256" t="str">
        <v/>
      </c>
      <c r="AL348" s="257" t="str">
        <v/>
      </c>
      <c r="AM348" s="255" t="str">
        <v/>
      </c>
      <c r="AN348" s="256" t="str">
        <v/>
      </c>
      <c r="AO348" s="257" t="str">
        <v/>
      </c>
      <c r="AP348" s="255" t="str">
        <v/>
      </c>
      <c r="AQ348" s="256" t="str">
        <v/>
      </c>
      <c r="AR348" s="257" t="str">
        <v/>
      </c>
      <c r="AS348" s="255" t="str">
        <v/>
      </c>
      <c r="AT348" s="256" t="str">
        <v/>
      </c>
      <c r="AU348" s="257" t="str">
        <v/>
      </c>
      <c r="AV348" s="255" t="str">
        <v/>
      </c>
      <c r="AW348" s="256" t="str">
        <v/>
      </c>
      <c r="AX348" s="257" t="str">
        <v/>
      </c>
      <c r="AY348" s="243">
        <v>0</v>
      </c>
      <c r="AZ348" s="244">
        <v>0</v>
      </c>
      <c r="BA348" s="244">
        <v>0</v>
      </c>
      <c r="BB348" s="244">
        <v>0</v>
      </c>
      <c r="BC348" s="244">
        <v>0</v>
      </c>
      <c r="BD348" s="244">
        <v>0</v>
      </c>
      <c r="BE348" s="244">
        <v>0</v>
      </c>
      <c r="BF348" s="244">
        <v>0</v>
      </c>
      <c r="BG348" s="244">
        <v>0</v>
      </c>
      <c r="BH348" s="245">
        <v>0</v>
      </c>
      <c r="BK348">
        <v>290</v>
      </c>
      <c r="BL348" s="281"/>
      <c r="BM348" s="281"/>
      <c r="BN348" s="282"/>
      <c r="BO348" s="282"/>
      <c r="BP348" s="282"/>
      <c r="BQ348" s="283"/>
      <c r="BR348" s="284"/>
      <c r="BS348" s="147"/>
      <c r="BT348" s="285"/>
      <c r="BU348" s="288"/>
      <c r="BV348" s="287"/>
      <c r="BW348" s="288"/>
      <c r="BX348" s="286"/>
      <c r="BY348" s="287"/>
      <c r="BZ348" s="288"/>
      <c r="CA348" s="286"/>
      <c r="CB348" s="286"/>
      <c r="CC348" s="287"/>
      <c r="CD348" s="286"/>
      <c r="CE348" s="286"/>
      <c r="CF348" s="286"/>
      <c r="CG348" s="287"/>
      <c r="CH348" s="288"/>
      <c r="CI348" s="286"/>
      <c r="CJ348" s="286"/>
      <c r="CK348" s="287"/>
      <c r="CL348" s="288"/>
      <c r="CM348" s="286"/>
      <c r="CN348" s="294"/>
      <c r="CO348" s="289"/>
      <c r="CP348" s="290"/>
      <c r="CQ348" s="289"/>
      <c r="CR348" s="290"/>
      <c r="CS348" s="284"/>
      <c r="CT348" s="147"/>
      <c r="CU348" s="291"/>
      <c r="CV348" s="292"/>
    </row>
    <row r="349" spans="2:100">
      <c r="B349">
        <v>291</v>
      </c>
      <c r="C349" s="243" t="str">
        <v/>
      </c>
      <c r="D349" s="592" t="str">
        <v/>
      </c>
      <c r="E349" s="245" t="str">
        <v/>
      </c>
      <c r="F349" s="243" t="str">
        <v/>
      </c>
      <c r="G349" s="245" t="str">
        <v/>
      </c>
      <c r="H349" s="243" t="str">
        <v/>
      </c>
      <c r="I349" s="245" t="str">
        <v/>
      </c>
      <c r="J349" s="242" t="str">
        <v/>
      </c>
      <c r="K349" s="242" t="str">
        <v/>
      </c>
      <c r="L349" s="242" t="str">
        <v/>
      </c>
      <c r="M349" s="243" t="str">
        <v/>
      </c>
      <c r="N349" s="592" t="str">
        <v/>
      </c>
      <c r="O349" s="245" t="str">
        <v/>
      </c>
      <c r="P349" s="245" t="str">
        <v/>
      </c>
      <c r="Q349" s="254" t="str">
        <v/>
      </c>
      <c r="R349" s="255" t="str">
        <v/>
      </c>
      <c r="S349" s="256" t="str">
        <v/>
      </c>
      <c r="T349" s="257" t="str">
        <v/>
      </c>
      <c r="U349" s="255" t="str">
        <v/>
      </c>
      <c r="V349" s="256" t="str">
        <v/>
      </c>
      <c r="W349" s="257" t="str">
        <v/>
      </c>
      <c r="X349" s="255" t="str">
        <v/>
      </c>
      <c r="Y349" s="256" t="str">
        <v/>
      </c>
      <c r="Z349" s="257" t="str">
        <v/>
      </c>
      <c r="AA349" s="255" t="str">
        <v/>
      </c>
      <c r="AB349" s="256" t="str">
        <v/>
      </c>
      <c r="AC349" s="257" t="str">
        <v/>
      </c>
      <c r="AD349" s="255" t="str">
        <v/>
      </c>
      <c r="AE349" s="256" t="str">
        <v/>
      </c>
      <c r="AF349" s="257" t="str">
        <v/>
      </c>
      <c r="AG349" s="255" t="str">
        <v/>
      </c>
      <c r="AH349" s="256" t="str">
        <v/>
      </c>
      <c r="AI349" s="257" t="str">
        <v/>
      </c>
      <c r="AJ349" s="255" t="str">
        <v/>
      </c>
      <c r="AK349" s="256" t="str">
        <v/>
      </c>
      <c r="AL349" s="257" t="str">
        <v/>
      </c>
      <c r="AM349" s="255" t="str">
        <v/>
      </c>
      <c r="AN349" s="256" t="str">
        <v/>
      </c>
      <c r="AO349" s="257" t="str">
        <v/>
      </c>
      <c r="AP349" s="255" t="str">
        <v/>
      </c>
      <c r="AQ349" s="256" t="str">
        <v/>
      </c>
      <c r="AR349" s="257" t="str">
        <v/>
      </c>
      <c r="AS349" s="255" t="str">
        <v/>
      </c>
      <c r="AT349" s="256" t="str">
        <v/>
      </c>
      <c r="AU349" s="257" t="str">
        <v/>
      </c>
      <c r="AV349" s="255" t="str">
        <v/>
      </c>
      <c r="AW349" s="256" t="str">
        <v/>
      </c>
      <c r="AX349" s="257" t="str">
        <v/>
      </c>
      <c r="AY349" s="243">
        <v>0</v>
      </c>
      <c r="AZ349" s="244">
        <v>0</v>
      </c>
      <c r="BA349" s="244">
        <v>0</v>
      </c>
      <c r="BB349" s="244">
        <v>0</v>
      </c>
      <c r="BC349" s="244">
        <v>0</v>
      </c>
      <c r="BD349" s="244">
        <v>0</v>
      </c>
      <c r="BE349" s="244">
        <v>0</v>
      </c>
      <c r="BF349" s="244">
        <v>0</v>
      </c>
      <c r="BG349" s="244">
        <v>0</v>
      </c>
      <c r="BH349" s="245">
        <v>0</v>
      </c>
      <c r="BK349">
        <v>291</v>
      </c>
      <c r="BL349" s="281"/>
      <c r="BM349" s="281"/>
      <c r="BN349" s="282"/>
      <c r="BO349" s="282"/>
      <c r="BP349" s="282"/>
      <c r="BQ349" s="283"/>
      <c r="BR349" s="284"/>
      <c r="BS349" s="147"/>
      <c r="BT349" s="285"/>
      <c r="BU349" s="288"/>
      <c r="BV349" s="287"/>
      <c r="BW349" s="288"/>
      <c r="BX349" s="286"/>
      <c r="BY349" s="287"/>
      <c r="BZ349" s="288"/>
      <c r="CA349" s="286"/>
      <c r="CB349" s="286"/>
      <c r="CC349" s="287"/>
      <c r="CD349" s="286"/>
      <c r="CE349" s="286"/>
      <c r="CF349" s="286"/>
      <c r="CG349" s="287"/>
      <c r="CH349" s="288"/>
      <c r="CI349" s="286"/>
      <c r="CJ349" s="286"/>
      <c r="CK349" s="287"/>
      <c r="CL349" s="288"/>
      <c r="CM349" s="286"/>
      <c r="CN349" s="294"/>
      <c r="CO349" s="289"/>
      <c r="CP349" s="290"/>
      <c r="CQ349" s="289"/>
      <c r="CR349" s="290"/>
      <c r="CS349" s="284"/>
      <c r="CT349" s="147"/>
      <c r="CU349" s="291"/>
      <c r="CV349" s="292"/>
    </row>
    <row r="350" spans="2:100">
      <c r="B350">
        <v>292</v>
      </c>
      <c r="C350" s="243" t="str">
        <v/>
      </c>
      <c r="D350" s="592" t="str">
        <v/>
      </c>
      <c r="E350" s="245" t="str">
        <v/>
      </c>
      <c r="F350" s="243" t="str">
        <v/>
      </c>
      <c r="G350" s="245" t="str">
        <v/>
      </c>
      <c r="H350" s="243" t="str">
        <v/>
      </c>
      <c r="I350" s="245" t="str">
        <v/>
      </c>
      <c r="J350" s="242" t="str">
        <v/>
      </c>
      <c r="K350" s="242" t="str">
        <v/>
      </c>
      <c r="L350" s="242" t="str">
        <v/>
      </c>
      <c r="M350" s="243" t="str">
        <v/>
      </c>
      <c r="N350" s="592" t="str">
        <v/>
      </c>
      <c r="O350" s="245" t="str">
        <v/>
      </c>
      <c r="P350" s="245" t="str">
        <v/>
      </c>
      <c r="Q350" s="254" t="str">
        <v/>
      </c>
      <c r="R350" s="255" t="str">
        <v/>
      </c>
      <c r="S350" s="256" t="str">
        <v/>
      </c>
      <c r="T350" s="257" t="str">
        <v/>
      </c>
      <c r="U350" s="255" t="str">
        <v/>
      </c>
      <c r="V350" s="256" t="str">
        <v/>
      </c>
      <c r="W350" s="257" t="str">
        <v/>
      </c>
      <c r="X350" s="255" t="str">
        <v/>
      </c>
      <c r="Y350" s="256" t="str">
        <v/>
      </c>
      <c r="Z350" s="257" t="str">
        <v/>
      </c>
      <c r="AA350" s="255" t="str">
        <v/>
      </c>
      <c r="AB350" s="256" t="str">
        <v/>
      </c>
      <c r="AC350" s="257" t="str">
        <v/>
      </c>
      <c r="AD350" s="255" t="str">
        <v/>
      </c>
      <c r="AE350" s="256" t="str">
        <v/>
      </c>
      <c r="AF350" s="257" t="str">
        <v/>
      </c>
      <c r="AG350" s="255" t="str">
        <v/>
      </c>
      <c r="AH350" s="256" t="str">
        <v/>
      </c>
      <c r="AI350" s="257" t="str">
        <v/>
      </c>
      <c r="AJ350" s="255" t="str">
        <v/>
      </c>
      <c r="AK350" s="256" t="str">
        <v/>
      </c>
      <c r="AL350" s="257" t="str">
        <v/>
      </c>
      <c r="AM350" s="255" t="str">
        <v/>
      </c>
      <c r="AN350" s="256" t="str">
        <v/>
      </c>
      <c r="AO350" s="257" t="str">
        <v/>
      </c>
      <c r="AP350" s="255" t="str">
        <v/>
      </c>
      <c r="AQ350" s="256" t="str">
        <v/>
      </c>
      <c r="AR350" s="257" t="str">
        <v/>
      </c>
      <c r="AS350" s="255" t="str">
        <v/>
      </c>
      <c r="AT350" s="256" t="str">
        <v/>
      </c>
      <c r="AU350" s="257" t="str">
        <v/>
      </c>
      <c r="AV350" s="255" t="str">
        <v/>
      </c>
      <c r="AW350" s="256" t="str">
        <v/>
      </c>
      <c r="AX350" s="257" t="str">
        <v/>
      </c>
      <c r="AY350" s="243">
        <v>0</v>
      </c>
      <c r="AZ350" s="244">
        <v>0</v>
      </c>
      <c r="BA350" s="244">
        <v>0</v>
      </c>
      <c r="BB350" s="244">
        <v>0</v>
      </c>
      <c r="BC350" s="244">
        <v>0</v>
      </c>
      <c r="BD350" s="244">
        <v>0</v>
      </c>
      <c r="BE350" s="244">
        <v>0</v>
      </c>
      <c r="BF350" s="244">
        <v>0</v>
      </c>
      <c r="BG350" s="244">
        <v>0</v>
      </c>
      <c r="BH350" s="245">
        <v>0</v>
      </c>
      <c r="BK350">
        <v>292</v>
      </c>
      <c r="BL350" s="281"/>
      <c r="BM350" s="281"/>
      <c r="BN350" s="282"/>
      <c r="BO350" s="282"/>
      <c r="BP350" s="282"/>
      <c r="BQ350" s="283"/>
      <c r="BR350" s="284"/>
      <c r="BS350" s="147"/>
      <c r="BT350" s="285"/>
      <c r="BU350" s="288"/>
      <c r="BV350" s="287"/>
      <c r="BW350" s="288"/>
      <c r="BX350" s="286"/>
      <c r="BY350" s="287"/>
      <c r="BZ350" s="288"/>
      <c r="CA350" s="286"/>
      <c r="CB350" s="286"/>
      <c r="CC350" s="287"/>
      <c r="CD350" s="286"/>
      <c r="CE350" s="286"/>
      <c r="CF350" s="286"/>
      <c r="CG350" s="287"/>
      <c r="CH350" s="288"/>
      <c r="CI350" s="286"/>
      <c r="CJ350" s="286"/>
      <c r="CK350" s="287"/>
      <c r="CL350" s="288"/>
      <c r="CM350" s="286"/>
      <c r="CN350" s="294"/>
      <c r="CO350" s="289"/>
      <c r="CP350" s="290"/>
      <c r="CQ350" s="289"/>
      <c r="CR350" s="290"/>
      <c r="CS350" s="284"/>
      <c r="CT350" s="147"/>
      <c r="CU350" s="291"/>
      <c r="CV350" s="292"/>
    </row>
    <row r="351" spans="2:100">
      <c r="B351">
        <v>293</v>
      </c>
      <c r="C351" s="243" t="str">
        <v/>
      </c>
      <c r="D351" s="592" t="str">
        <v/>
      </c>
      <c r="E351" s="245" t="str">
        <v/>
      </c>
      <c r="F351" s="243" t="str">
        <v/>
      </c>
      <c r="G351" s="245" t="str">
        <v/>
      </c>
      <c r="H351" s="243" t="str">
        <v/>
      </c>
      <c r="I351" s="245" t="str">
        <v/>
      </c>
      <c r="J351" s="242" t="str">
        <v/>
      </c>
      <c r="K351" s="242" t="str">
        <v/>
      </c>
      <c r="L351" s="242" t="str">
        <v/>
      </c>
      <c r="M351" s="243" t="str">
        <v/>
      </c>
      <c r="N351" s="592" t="str">
        <v/>
      </c>
      <c r="O351" s="245" t="str">
        <v/>
      </c>
      <c r="P351" s="245" t="str">
        <v/>
      </c>
      <c r="Q351" s="254" t="str">
        <v/>
      </c>
      <c r="R351" s="255" t="str">
        <v/>
      </c>
      <c r="S351" s="256" t="str">
        <v/>
      </c>
      <c r="T351" s="257" t="str">
        <v/>
      </c>
      <c r="U351" s="255" t="str">
        <v/>
      </c>
      <c r="V351" s="256" t="str">
        <v/>
      </c>
      <c r="W351" s="257" t="str">
        <v/>
      </c>
      <c r="X351" s="255" t="str">
        <v/>
      </c>
      <c r="Y351" s="256" t="str">
        <v/>
      </c>
      <c r="Z351" s="257" t="str">
        <v/>
      </c>
      <c r="AA351" s="255" t="str">
        <v/>
      </c>
      <c r="AB351" s="256" t="str">
        <v/>
      </c>
      <c r="AC351" s="257" t="str">
        <v/>
      </c>
      <c r="AD351" s="255" t="str">
        <v/>
      </c>
      <c r="AE351" s="256" t="str">
        <v/>
      </c>
      <c r="AF351" s="257" t="str">
        <v/>
      </c>
      <c r="AG351" s="255" t="str">
        <v/>
      </c>
      <c r="AH351" s="256" t="str">
        <v/>
      </c>
      <c r="AI351" s="257" t="str">
        <v/>
      </c>
      <c r="AJ351" s="255" t="str">
        <v/>
      </c>
      <c r="AK351" s="256" t="str">
        <v/>
      </c>
      <c r="AL351" s="257" t="str">
        <v/>
      </c>
      <c r="AM351" s="255" t="str">
        <v/>
      </c>
      <c r="AN351" s="256" t="str">
        <v/>
      </c>
      <c r="AO351" s="257" t="str">
        <v/>
      </c>
      <c r="AP351" s="255" t="str">
        <v/>
      </c>
      <c r="AQ351" s="256" t="str">
        <v/>
      </c>
      <c r="AR351" s="257" t="str">
        <v/>
      </c>
      <c r="AS351" s="255" t="str">
        <v/>
      </c>
      <c r="AT351" s="256" t="str">
        <v/>
      </c>
      <c r="AU351" s="257" t="str">
        <v/>
      </c>
      <c r="AV351" s="255" t="str">
        <v/>
      </c>
      <c r="AW351" s="256" t="str">
        <v/>
      </c>
      <c r="AX351" s="257" t="str">
        <v/>
      </c>
      <c r="AY351" s="243">
        <v>0</v>
      </c>
      <c r="AZ351" s="244">
        <v>0</v>
      </c>
      <c r="BA351" s="244">
        <v>0</v>
      </c>
      <c r="BB351" s="244">
        <v>0</v>
      </c>
      <c r="BC351" s="244">
        <v>0</v>
      </c>
      <c r="BD351" s="244">
        <v>0</v>
      </c>
      <c r="BE351" s="244">
        <v>0</v>
      </c>
      <c r="BF351" s="244">
        <v>0</v>
      </c>
      <c r="BG351" s="244">
        <v>0</v>
      </c>
      <c r="BH351" s="245">
        <v>0</v>
      </c>
      <c r="BK351">
        <v>293</v>
      </c>
      <c r="BL351" s="281"/>
      <c r="BM351" s="281"/>
      <c r="BN351" s="282"/>
      <c r="BO351" s="282"/>
      <c r="BP351" s="282"/>
      <c r="BQ351" s="283"/>
      <c r="BR351" s="284"/>
      <c r="BS351" s="147"/>
      <c r="BT351" s="285"/>
      <c r="BU351" s="288"/>
      <c r="BV351" s="287"/>
      <c r="BW351" s="288"/>
      <c r="BX351" s="286"/>
      <c r="BY351" s="287"/>
      <c r="BZ351" s="288"/>
      <c r="CA351" s="286"/>
      <c r="CB351" s="286"/>
      <c r="CC351" s="287"/>
      <c r="CD351" s="286"/>
      <c r="CE351" s="286"/>
      <c r="CF351" s="286"/>
      <c r="CG351" s="287"/>
      <c r="CH351" s="288"/>
      <c r="CI351" s="286"/>
      <c r="CJ351" s="286"/>
      <c r="CK351" s="287"/>
      <c r="CL351" s="288"/>
      <c r="CM351" s="286"/>
      <c r="CN351" s="294"/>
      <c r="CO351" s="289"/>
      <c r="CP351" s="290"/>
      <c r="CQ351" s="289"/>
      <c r="CR351" s="290"/>
      <c r="CS351" s="284"/>
      <c r="CT351" s="147"/>
      <c r="CU351" s="291"/>
      <c r="CV351" s="292"/>
    </row>
    <row r="352" spans="2:100">
      <c r="B352">
        <v>294</v>
      </c>
      <c r="C352" s="243" t="str">
        <v/>
      </c>
      <c r="D352" s="592" t="str">
        <v/>
      </c>
      <c r="E352" s="245" t="str">
        <v/>
      </c>
      <c r="F352" s="243" t="str">
        <v/>
      </c>
      <c r="G352" s="245" t="str">
        <v/>
      </c>
      <c r="H352" s="243" t="str">
        <v/>
      </c>
      <c r="I352" s="245" t="str">
        <v/>
      </c>
      <c r="J352" s="242" t="str">
        <v/>
      </c>
      <c r="K352" s="242" t="str">
        <v/>
      </c>
      <c r="L352" s="242" t="str">
        <v/>
      </c>
      <c r="M352" s="243" t="str">
        <v/>
      </c>
      <c r="N352" s="592" t="str">
        <v/>
      </c>
      <c r="O352" s="245" t="str">
        <v/>
      </c>
      <c r="P352" s="245" t="str">
        <v/>
      </c>
      <c r="Q352" s="254" t="str">
        <v/>
      </c>
      <c r="R352" s="255" t="str">
        <v/>
      </c>
      <c r="S352" s="256" t="str">
        <v/>
      </c>
      <c r="T352" s="257" t="str">
        <v/>
      </c>
      <c r="U352" s="255" t="str">
        <v/>
      </c>
      <c r="V352" s="256" t="str">
        <v/>
      </c>
      <c r="W352" s="257" t="str">
        <v/>
      </c>
      <c r="X352" s="255" t="str">
        <v/>
      </c>
      <c r="Y352" s="256" t="str">
        <v/>
      </c>
      <c r="Z352" s="257" t="str">
        <v/>
      </c>
      <c r="AA352" s="255" t="str">
        <v/>
      </c>
      <c r="AB352" s="256" t="str">
        <v/>
      </c>
      <c r="AC352" s="257" t="str">
        <v/>
      </c>
      <c r="AD352" s="255" t="str">
        <v/>
      </c>
      <c r="AE352" s="256" t="str">
        <v/>
      </c>
      <c r="AF352" s="257" t="str">
        <v/>
      </c>
      <c r="AG352" s="255" t="str">
        <v/>
      </c>
      <c r="AH352" s="256" t="str">
        <v/>
      </c>
      <c r="AI352" s="257" t="str">
        <v/>
      </c>
      <c r="AJ352" s="255" t="str">
        <v/>
      </c>
      <c r="AK352" s="256" t="str">
        <v/>
      </c>
      <c r="AL352" s="257" t="str">
        <v/>
      </c>
      <c r="AM352" s="255" t="str">
        <v/>
      </c>
      <c r="AN352" s="256" t="str">
        <v/>
      </c>
      <c r="AO352" s="257" t="str">
        <v/>
      </c>
      <c r="AP352" s="255" t="str">
        <v/>
      </c>
      <c r="AQ352" s="256" t="str">
        <v/>
      </c>
      <c r="AR352" s="257" t="str">
        <v/>
      </c>
      <c r="AS352" s="255" t="str">
        <v/>
      </c>
      <c r="AT352" s="256" t="str">
        <v/>
      </c>
      <c r="AU352" s="257" t="str">
        <v/>
      </c>
      <c r="AV352" s="255" t="str">
        <v/>
      </c>
      <c r="AW352" s="256" t="str">
        <v/>
      </c>
      <c r="AX352" s="257" t="str">
        <v/>
      </c>
      <c r="AY352" s="243">
        <v>0</v>
      </c>
      <c r="AZ352" s="244">
        <v>0</v>
      </c>
      <c r="BA352" s="244">
        <v>0</v>
      </c>
      <c r="BB352" s="244">
        <v>0</v>
      </c>
      <c r="BC352" s="244">
        <v>0</v>
      </c>
      <c r="BD352" s="244">
        <v>0</v>
      </c>
      <c r="BE352" s="244">
        <v>0</v>
      </c>
      <c r="BF352" s="244">
        <v>0</v>
      </c>
      <c r="BG352" s="244">
        <v>0</v>
      </c>
      <c r="BH352" s="245">
        <v>0</v>
      </c>
      <c r="BK352">
        <v>294</v>
      </c>
      <c r="BL352" s="281"/>
      <c r="BM352" s="281"/>
      <c r="BN352" s="282"/>
      <c r="BO352" s="282"/>
      <c r="BP352" s="282"/>
      <c r="BQ352" s="283"/>
      <c r="BR352" s="284"/>
      <c r="BS352" s="147"/>
      <c r="BT352" s="285"/>
      <c r="BU352" s="288"/>
      <c r="BV352" s="287"/>
      <c r="BW352" s="288"/>
      <c r="BX352" s="286"/>
      <c r="BY352" s="287"/>
      <c r="BZ352" s="288"/>
      <c r="CA352" s="286"/>
      <c r="CB352" s="286"/>
      <c r="CC352" s="287"/>
      <c r="CD352" s="286"/>
      <c r="CE352" s="286"/>
      <c r="CF352" s="286"/>
      <c r="CG352" s="287"/>
      <c r="CH352" s="288"/>
      <c r="CI352" s="286"/>
      <c r="CJ352" s="286"/>
      <c r="CK352" s="287"/>
      <c r="CL352" s="288"/>
      <c r="CM352" s="286"/>
      <c r="CN352" s="294"/>
      <c r="CO352" s="289"/>
      <c r="CP352" s="290"/>
      <c r="CQ352" s="289"/>
      <c r="CR352" s="290"/>
      <c r="CS352" s="284"/>
      <c r="CT352" s="147"/>
      <c r="CU352" s="291"/>
      <c r="CV352" s="292"/>
    </row>
    <row r="353" spans="2:100">
      <c r="B353">
        <v>295</v>
      </c>
      <c r="C353" s="243" t="str">
        <v/>
      </c>
      <c r="D353" s="592" t="str">
        <v/>
      </c>
      <c r="E353" s="245" t="str">
        <v/>
      </c>
      <c r="F353" s="243" t="str">
        <v/>
      </c>
      <c r="G353" s="245" t="str">
        <v/>
      </c>
      <c r="H353" s="243" t="str">
        <v/>
      </c>
      <c r="I353" s="245" t="str">
        <v/>
      </c>
      <c r="J353" s="242" t="str">
        <v/>
      </c>
      <c r="K353" s="242" t="str">
        <v/>
      </c>
      <c r="L353" s="242" t="str">
        <v/>
      </c>
      <c r="M353" s="243" t="str">
        <v/>
      </c>
      <c r="N353" s="592" t="str">
        <v/>
      </c>
      <c r="O353" s="245" t="str">
        <v/>
      </c>
      <c r="P353" s="245" t="str">
        <v/>
      </c>
      <c r="Q353" s="254" t="str">
        <v/>
      </c>
      <c r="R353" s="255" t="str">
        <v/>
      </c>
      <c r="S353" s="256" t="str">
        <v/>
      </c>
      <c r="T353" s="257" t="str">
        <v/>
      </c>
      <c r="U353" s="255" t="str">
        <v/>
      </c>
      <c r="V353" s="256" t="str">
        <v/>
      </c>
      <c r="W353" s="257" t="str">
        <v/>
      </c>
      <c r="X353" s="255" t="str">
        <v/>
      </c>
      <c r="Y353" s="256" t="str">
        <v/>
      </c>
      <c r="Z353" s="257" t="str">
        <v/>
      </c>
      <c r="AA353" s="255" t="str">
        <v/>
      </c>
      <c r="AB353" s="256" t="str">
        <v/>
      </c>
      <c r="AC353" s="257" t="str">
        <v/>
      </c>
      <c r="AD353" s="255" t="str">
        <v/>
      </c>
      <c r="AE353" s="256" t="str">
        <v/>
      </c>
      <c r="AF353" s="257" t="str">
        <v/>
      </c>
      <c r="AG353" s="255" t="str">
        <v/>
      </c>
      <c r="AH353" s="256" t="str">
        <v/>
      </c>
      <c r="AI353" s="257" t="str">
        <v/>
      </c>
      <c r="AJ353" s="255" t="str">
        <v/>
      </c>
      <c r="AK353" s="256" t="str">
        <v/>
      </c>
      <c r="AL353" s="257" t="str">
        <v/>
      </c>
      <c r="AM353" s="255" t="str">
        <v/>
      </c>
      <c r="AN353" s="256" t="str">
        <v/>
      </c>
      <c r="AO353" s="257" t="str">
        <v/>
      </c>
      <c r="AP353" s="255" t="str">
        <v/>
      </c>
      <c r="AQ353" s="256" t="str">
        <v/>
      </c>
      <c r="AR353" s="257" t="str">
        <v/>
      </c>
      <c r="AS353" s="255" t="str">
        <v/>
      </c>
      <c r="AT353" s="256" t="str">
        <v/>
      </c>
      <c r="AU353" s="257" t="str">
        <v/>
      </c>
      <c r="AV353" s="255" t="str">
        <v/>
      </c>
      <c r="AW353" s="256" t="str">
        <v/>
      </c>
      <c r="AX353" s="257" t="str">
        <v/>
      </c>
      <c r="AY353" s="243">
        <v>0</v>
      </c>
      <c r="AZ353" s="244">
        <v>0</v>
      </c>
      <c r="BA353" s="244">
        <v>0</v>
      </c>
      <c r="BB353" s="244">
        <v>0</v>
      </c>
      <c r="BC353" s="244">
        <v>0</v>
      </c>
      <c r="BD353" s="244">
        <v>0</v>
      </c>
      <c r="BE353" s="244">
        <v>0</v>
      </c>
      <c r="BF353" s="244">
        <v>0</v>
      </c>
      <c r="BG353" s="244">
        <v>0</v>
      </c>
      <c r="BH353" s="245">
        <v>0</v>
      </c>
      <c r="BK353">
        <v>295</v>
      </c>
      <c r="BL353" s="281"/>
      <c r="BM353" s="281"/>
      <c r="BN353" s="282"/>
      <c r="BO353" s="282"/>
      <c r="BP353" s="282"/>
      <c r="BQ353" s="283"/>
      <c r="BR353" s="284"/>
      <c r="BS353" s="147"/>
      <c r="BT353" s="285"/>
      <c r="BU353" s="288"/>
      <c r="BV353" s="287"/>
      <c r="BW353" s="288"/>
      <c r="BX353" s="286"/>
      <c r="BY353" s="287"/>
      <c r="BZ353" s="288"/>
      <c r="CA353" s="286"/>
      <c r="CB353" s="286"/>
      <c r="CC353" s="287"/>
      <c r="CD353" s="286"/>
      <c r="CE353" s="286"/>
      <c r="CF353" s="286"/>
      <c r="CG353" s="287"/>
      <c r="CH353" s="288"/>
      <c r="CI353" s="286"/>
      <c r="CJ353" s="286"/>
      <c r="CK353" s="287"/>
      <c r="CL353" s="288"/>
      <c r="CM353" s="286"/>
      <c r="CN353" s="294"/>
      <c r="CO353" s="289"/>
      <c r="CP353" s="290"/>
      <c r="CQ353" s="289"/>
      <c r="CR353" s="290"/>
      <c r="CS353" s="284"/>
      <c r="CT353" s="147"/>
      <c r="CU353" s="291"/>
      <c r="CV353" s="292"/>
    </row>
    <row r="354" spans="2:100">
      <c r="B354">
        <v>296</v>
      </c>
      <c r="C354" s="243" t="str">
        <v/>
      </c>
      <c r="D354" s="592" t="str">
        <v/>
      </c>
      <c r="E354" s="245" t="str">
        <v/>
      </c>
      <c r="F354" s="243" t="str">
        <v/>
      </c>
      <c r="G354" s="245" t="str">
        <v/>
      </c>
      <c r="H354" s="243" t="str">
        <v/>
      </c>
      <c r="I354" s="245" t="str">
        <v/>
      </c>
      <c r="J354" s="242" t="str">
        <v/>
      </c>
      <c r="K354" s="242" t="str">
        <v/>
      </c>
      <c r="L354" s="242" t="str">
        <v/>
      </c>
      <c r="M354" s="243" t="str">
        <v/>
      </c>
      <c r="N354" s="592" t="str">
        <v/>
      </c>
      <c r="O354" s="245" t="str">
        <v/>
      </c>
      <c r="P354" s="245" t="str">
        <v/>
      </c>
      <c r="Q354" s="254" t="str">
        <v/>
      </c>
      <c r="R354" s="255" t="str">
        <v/>
      </c>
      <c r="S354" s="256" t="str">
        <v/>
      </c>
      <c r="T354" s="257" t="str">
        <v/>
      </c>
      <c r="U354" s="255" t="str">
        <v/>
      </c>
      <c r="V354" s="256" t="str">
        <v/>
      </c>
      <c r="W354" s="257" t="str">
        <v/>
      </c>
      <c r="X354" s="255" t="str">
        <v/>
      </c>
      <c r="Y354" s="256" t="str">
        <v/>
      </c>
      <c r="Z354" s="257" t="str">
        <v/>
      </c>
      <c r="AA354" s="255" t="str">
        <v/>
      </c>
      <c r="AB354" s="256" t="str">
        <v/>
      </c>
      <c r="AC354" s="257" t="str">
        <v/>
      </c>
      <c r="AD354" s="255" t="str">
        <v/>
      </c>
      <c r="AE354" s="256" t="str">
        <v/>
      </c>
      <c r="AF354" s="257" t="str">
        <v/>
      </c>
      <c r="AG354" s="255" t="str">
        <v/>
      </c>
      <c r="AH354" s="256" t="str">
        <v/>
      </c>
      <c r="AI354" s="257" t="str">
        <v/>
      </c>
      <c r="AJ354" s="255" t="str">
        <v/>
      </c>
      <c r="AK354" s="256" t="str">
        <v/>
      </c>
      <c r="AL354" s="257" t="str">
        <v/>
      </c>
      <c r="AM354" s="255" t="str">
        <v/>
      </c>
      <c r="AN354" s="256" t="str">
        <v/>
      </c>
      <c r="AO354" s="257" t="str">
        <v/>
      </c>
      <c r="AP354" s="255" t="str">
        <v/>
      </c>
      <c r="AQ354" s="256" t="str">
        <v/>
      </c>
      <c r="AR354" s="257" t="str">
        <v/>
      </c>
      <c r="AS354" s="255" t="str">
        <v/>
      </c>
      <c r="AT354" s="256" t="str">
        <v/>
      </c>
      <c r="AU354" s="257" t="str">
        <v/>
      </c>
      <c r="AV354" s="255" t="str">
        <v/>
      </c>
      <c r="AW354" s="256" t="str">
        <v/>
      </c>
      <c r="AX354" s="257" t="str">
        <v/>
      </c>
      <c r="AY354" s="243">
        <v>0</v>
      </c>
      <c r="AZ354" s="244">
        <v>0</v>
      </c>
      <c r="BA354" s="244">
        <v>0</v>
      </c>
      <c r="BB354" s="244">
        <v>0</v>
      </c>
      <c r="BC354" s="244">
        <v>0</v>
      </c>
      <c r="BD354" s="244">
        <v>0</v>
      </c>
      <c r="BE354" s="244">
        <v>0</v>
      </c>
      <c r="BF354" s="244">
        <v>0</v>
      </c>
      <c r="BG354" s="244">
        <v>0</v>
      </c>
      <c r="BH354" s="245">
        <v>0</v>
      </c>
      <c r="BK354">
        <v>296</v>
      </c>
      <c r="BL354" s="281"/>
      <c r="BM354" s="281"/>
      <c r="BN354" s="282"/>
      <c r="BO354" s="282"/>
      <c r="BP354" s="282"/>
      <c r="BQ354" s="283"/>
      <c r="BR354" s="284"/>
      <c r="BS354" s="147"/>
      <c r="BT354" s="285"/>
      <c r="BU354" s="288"/>
      <c r="BV354" s="287"/>
      <c r="BW354" s="288"/>
      <c r="BX354" s="286"/>
      <c r="BY354" s="287"/>
      <c r="BZ354" s="288"/>
      <c r="CA354" s="286"/>
      <c r="CB354" s="286"/>
      <c r="CC354" s="287"/>
      <c r="CD354" s="286"/>
      <c r="CE354" s="286"/>
      <c r="CF354" s="286"/>
      <c r="CG354" s="287"/>
      <c r="CH354" s="288"/>
      <c r="CI354" s="286"/>
      <c r="CJ354" s="286"/>
      <c r="CK354" s="287"/>
      <c r="CL354" s="288"/>
      <c r="CM354" s="286"/>
      <c r="CN354" s="294"/>
      <c r="CO354" s="289"/>
      <c r="CP354" s="290"/>
      <c r="CQ354" s="289"/>
      <c r="CR354" s="290"/>
      <c r="CS354" s="284"/>
      <c r="CT354" s="147"/>
      <c r="CU354" s="291"/>
      <c r="CV354" s="292"/>
    </row>
    <row r="355" spans="2:100">
      <c r="B355">
        <v>297</v>
      </c>
      <c r="C355" s="243" t="str">
        <v/>
      </c>
      <c r="D355" s="592" t="str">
        <v/>
      </c>
      <c r="E355" s="245" t="str">
        <v/>
      </c>
      <c r="F355" s="243" t="str">
        <v/>
      </c>
      <c r="G355" s="245" t="str">
        <v/>
      </c>
      <c r="H355" s="243" t="str">
        <v/>
      </c>
      <c r="I355" s="245" t="str">
        <v/>
      </c>
      <c r="J355" s="242" t="str">
        <v/>
      </c>
      <c r="K355" s="242" t="str">
        <v/>
      </c>
      <c r="L355" s="242" t="str">
        <v/>
      </c>
      <c r="M355" s="243" t="str">
        <v/>
      </c>
      <c r="N355" s="592" t="str">
        <v/>
      </c>
      <c r="O355" s="245" t="str">
        <v/>
      </c>
      <c r="P355" s="245" t="str">
        <v/>
      </c>
      <c r="Q355" s="254" t="str">
        <v/>
      </c>
      <c r="R355" s="255" t="str">
        <v/>
      </c>
      <c r="S355" s="256" t="str">
        <v/>
      </c>
      <c r="T355" s="257" t="str">
        <v/>
      </c>
      <c r="U355" s="255" t="str">
        <v/>
      </c>
      <c r="V355" s="256" t="str">
        <v/>
      </c>
      <c r="W355" s="257" t="str">
        <v/>
      </c>
      <c r="X355" s="255" t="str">
        <v/>
      </c>
      <c r="Y355" s="256" t="str">
        <v/>
      </c>
      <c r="Z355" s="257" t="str">
        <v/>
      </c>
      <c r="AA355" s="255" t="str">
        <v/>
      </c>
      <c r="AB355" s="256" t="str">
        <v/>
      </c>
      <c r="AC355" s="257" t="str">
        <v/>
      </c>
      <c r="AD355" s="255" t="str">
        <v/>
      </c>
      <c r="AE355" s="256" t="str">
        <v/>
      </c>
      <c r="AF355" s="257" t="str">
        <v/>
      </c>
      <c r="AG355" s="255" t="str">
        <v/>
      </c>
      <c r="AH355" s="256" t="str">
        <v/>
      </c>
      <c r="AI355" s="257" t="str">
        <v/>
      </c>
      <c r="AJ355" s="255" t="str">
        <v/>
      </c>
      <c r="AK355" s="256" t="str">
        <v/>
      </c>
      <c r="AL355" s="257" t="str">
        <v/>
      </c>
      <c r="AM355" s="255" t="str">
        <v/>
      </c>
      <c r="AN355" s="256" t="str">
        <v/>
      </c>
      <c r="AO355" s="257" t="str">
        <v/>
      </c>
      <c r="AP355" s="255" t="str">
        <v/>
      </c>
      <c r="AQ355" s="256" t="str">
        <v/>
      </c>
      <c r="AR355" s="257" t="str">
        <v/>
      </c>
      <c r="AS355" s="255" t="str">
        <v/>
      </c>
      <c r="AT355" s="256" t="str">
        <v/>
      </c>
      <c r="AU355" s="257" t="str">
        <v/>
      </c>
      <c r="AV355" s="255" t="str">
        <v/>
      </c>
      <c r="AW355" s="256" t="str">
        <v/>
      </c>
      <c r="AX355" s="257" t="str">
        <v/>
      </c>
      <c r="AY355" s="243">
        <v>0</v>
      </c>
      <c r="AZ355" s="244">
        <v>0</v>
      </c>
      <c r="BA355" s="244">
        <v>0</v>
      </c>
      <c r="BB355" s="244">
        <v>0</v>
      </c>
      <c r="BC355" s="244">
        <v>0</v>
      </c>
      <c r="BD355" s="244">
        <v>0</v>
      </c>
      <c r="BE355" s="244">
        <v>0</v>
      </c>
      <c r="BF355" s="244">
        <v>0</v>
      </c>
      <c r="BG355" s="244">
        <v>0</v>
      </c>
      <c r="BH355" s="245">
        <v>0</v>
      </c>
      <c r="BK355">
        <v>297</v>
      </c>
      <c r="BL355" s="281"/>
      <c r="BM355" s="281"/>
      <c r="BN355" s="282"/>
      <c r="BO355" s="282"/>
      <c r="BP355" s="282"/>
      <c r="BQ355" s="283"/>
      <c r="BR355" s="284"/>
      <c r="BS355" s="147"/>
      <c r="BT355" s="285"/>
      <c r="BU355" s="288"/>
      <c r="BV355" s="287"/>
      <c r="BW355" s="288"/>
      <c r="BX355" s="286"/>
      <c r="BY355" s="287"/>
      <c r="BZ355" s="288"/>
      <c r="CA355" s="286"/>
      <c r="CB355" s="286"/>
      <c r="CC355" s="287"/>
      <c r="CD355" s="286"/>
      <c r="CE355" s="286"/>
      <c r="CF355" s="286"/>
      <c r="CG355" s="287"/>
      <c r="CH355" s="288"/>
      <c r="CI355" s="286"/>
      <c r="CJ355" s="286"/>
      <c r="CK355" s="287"/>
      <c r="CL355" s="288"/>
      <c r="CM355" s="286"/>
      <c r="CN355" s="294"/>
      <c r="CO355" s="289"/>
      <c r="CP355" s="290"/>
      <c r="CQ355" s="289"/>
      <c r="CR355" s="290"/>
      <c r="CS355" s="284"/>
      <c r="CT355" s="147"/>
      <c r="CU355" s="291"/>
      <c r="CV355" s="292"/>
    </row>
    <row r="356" spans="2:100">
      <c r="B356">
        <v>298</v>
      </c>
      <c r="C356" s="243" t="str">
        <v/>
      </c>
      <c r="D356" s="592" t="str">
        <v/>
      </c>
      <c r="E356" s="245" t="str">
        <v/>
      </c>
      <c r="F356" s="243" t="str">
        <v/>
      </c>
      <c r="G356" s="245" t="str">
        <v/>
      </c>
      <c r="H356" s="243" t="str">
        <v/>
      </c>
      <c r="I356" s="245" t="str">
        <v/>
      </c>
      <c r="J356" s="242" t="str">
        <v/>
      </c>
      <c r="K356" s="242" t="str">
        <v/>
      </c>
      <c r="L356" s="242" t="str">
        <v/>
      </c>
      <c r="M356" s="243" t="str">
        <v/>
      </c>
      <c r="N356" s="592" t="str">
        <v/>
      </c>
      <c r="O356" s="245" t="str">
        <v/>
      </c>
      <c r="P356" s="245" t="str">
        <v/>
      </c>
      <c r="Q356" s="254" t="str">
        <v/>
      </c>
      <c r="R356" s="255" t="str">
        <v/>
      </c>
      <c r="S356" s="256" t="str">
        <v/>
      </c>
      <c r="T356" s="257" t="str">
        <v/>
      </c>
      <c r="U356" s="255" t="str">
        <v/>
      </c>
      <c r="V356" s="256" t="str">
        <v/>
      </c>
      <c r="W356" s="257" t="str">
        <v/>
      </c>
      <c r="X356" s="255" t="str">
        <v/>
      </c>
      <c r="Y356" s="256" t="str">
        <v/>
      </c>
      <c r="Z356" s="257" t="str">
        <v/>
      </c>
      <c r="AA356" s="255" t="str">
        <v/>
      </c>
      <c r="AB356" s="256" t="str">
        <v/>
      </c>
      <c r="AC356" s="257" t="str">
        <v/>
      </c>
      <c r="AD356" s="255" t="str">
        <v/>
      </c>
      <c r="AE356" s="256" t="str">
        <v/>
      </c>
      <c r="AF356" s="257" t="str">
        <v/>
      </c>
      <c r="AG356" s="255" t="str">
        <v/>
      </c>
      <c r="AH356" s="256" t="str">
        <v/>
      </c>
      <c r="AI356" s="257" t="str">
        <v/>
      </c>
      <c r="AJ356" s="255" t="str">
        <v/>
      </c>
      <c r="AK356" s="256" t="str">
        <v/>
      </c>
      <c r="AL356" s="257" t="str">
        <v/>
      </c>
      <c r="AM356" s="255" t="str">
        <v/>
      </c>
      <c r="AN356" s="256" t="str">
        <v/>
      </c>
      <c r="AO356" s="257" t="str">
        <v/>
      </c>
      <c r="AP356" s="255" t="str">
        <v/>
      </c>
      <c r="AQ356" s="256" t="str">
        <v/>
      </c>
      <c r="AR356" s="257" t="str">
        <v/>
      </c>
      <c r="AS356" s="255" t="str">
        <v/>
      </c>
      <c r="AT356" s="256" t="str">
        <v/>
      </c>
      <c r="AU356" s="257" t="str">
        <v/>
      </c>
      <c r="AV356" s="255" t="str">
        <v/>
      </c>
      <c r="AW356" s="256" t="str">
        <v/>
      </c>
      <c r="AX356" s="257" t="str">
        <v/>
      </c>
      <c r="AY356" s="243">
        <v>0</v>
      </c>
      <c r="AZ356" s="244">
        <v>0</v>
      </c>
      <c r="BA356" s="244">
        <v>0</v>
      </c>
      <c r="BB356" s="244">
        <v>0</v>
      </c>
      <c r="BC356" s="244">
        <v>0</v>
      </c>
      <c r="BD356" s="244">
        <v>0</v>
      </c>
      <c r="BE356" s="244">
        <v>0</v>
      </c>
      <c r="BF356" s="244">
        <v>0</v>
      </c>
      <c r="BG356" s="244">
        <v>0</v>
      </c>
      <c r="BH356" s="245">
        <v>0</v>
      </c>
      <c r="BK356">
        <v>298</v>
      </c>
      <c r="BL356" s="281"/>
      <c r="BM356" s="281"/>
      <c r="BN356" s="282"/>
      <c r="BO356" s="282"/>
      <c r="BP356" s="282"/>
      <c r="BQ356" s="283"/>
      <c r="BR356" s="284"/>
      <c r="BS356" s="147"/>
      <c r="BT356" s="285"/>
      <c r="BU356" s="288"/>
      <c r="BV356" s="287"/>
      <c r="BW356" s="288"/>
      <c r="BX356" s="286"/>
      <c r="BY356" s="287"/>
      <c r="BZ356" s="288"/>
      <c r="CA356" s="286"/>
      <c r="CB356" s="286"/>
      <c r="CC356" s="287"/>
      <c r="CD356" s="286"/>
      <c r="CE356" s="286"/>
      <c r="CF356" s="286"/>
      <c r="CG356" s="287"/>
      <c r="CH356" s="288"/>
      <c r="CI356" s="286"/>
      <c r="CJ356" s="286"/>
      <c r="CK356" s="287"/>
      <c r="CL356" s="288"/>
      <c r="CM356" s="286"/>
      <c r="CN356" s="294"/>
      <c r="CO356" s="289"/>
      <c r="CP356" s="290"/>
      <c r="CQ356" s="289"/>
      <c r="CR356" s="290"/>
      <c r="CS356" s="284"/>
      <c r="CT356" s="147"/>
      <c r="CU356" s="291"/>
      <c r="CV356" s="292"/>
    </row>
    <row r="357" spans="2:100">
      <c r="B357">
        <v>299</v>
      </c>
      <c r="C357" s="243" t="str">
        <v/>
      </c>
      <c r="D357" s="592" t="str">
        <v/>
      </c>
      <c r="E357" s="245" t="str">
        <v/>
      </c>
      <c r="F357" s="243" t="str">
        <v/>
      </c>
      <c r="G357" s="245" t="str">
        <v/>
      </c>
      <c r="H357" s="243" t="str">
        <v/>
      </c>
      <c r="I357" s="245" t="str">
        <v/>
      </c>
      <c r="J357" s="242" t="str">
        <v/>
      </c>
      <c r="K357" s="242" t="str">
        <v/>
      </c>
      <c r="L357" s="242" t="str">
        <v/>
      </c>
      <c r="M357" s="243" t="str">
        <v/>
      </c>
      <c r="N357" s="592" t="str">
        <v/>
      </c>
      <c r="O357" s="245" t="str">
        <v/>
      </c>
      <c r="P357" s="245" t="str">
        <v/>
      </c>
      <c r="Q357" s="254" t="str">
        <v/>
      </c>
      <c r="R357" s="255" t="str">
        <v/>
      </c>
      <c r="S357" s="256" t="str">
        <v/>
      </c>
      <c r="T357" s="257" t="str">
        <v/>
      </c>
      <c r="U357" s="255" t="str">
        <v/>
      </c>
      <c r="V357" s="256" t="str">
        <v/>
      </c>
      <c r="W357" s="257" t="str">
        <v/>
      </c>
      <c r="X357" s="255" t="str">
        <v/>
      </c>
      <c r="Y357" s="256" t="str">
        <v/>
      </c>
      <c r="Z357" s="257" t="str">
        <v/>
      </c>
      <c r="AA357" s="255" t="str">
        <v/>
      </c>
      <c r="AB357" s="256" t="str">
        <v/>
      </c>
      <c r="AC357" s="257" t="str">
        <v/>
      </c>
      <c r="AD357" s="255" t="str">
        <v/>
      </c>
      <c r="AE357" s="256" t="str">
        <v/>
      </c>
      <c r="AF357" s="257" t="str">
        <v/>
      </c>
      <c r="AG357" s="255" t="str">
        <v/>
      </c>
      <c r="AH357" s="256" t="str">
        <v/>
      </c>
      <c r="AI357" s="257" t="str">
        <v/>
      </c>
      <c r="AJ357" s="255" t="str">
        <v/>
      </c>
      <c r="AK357" s="256" t="str">
        <v/>
      </c>
      <c r="AL357" s="257" t="str">
        <v/>
      </c>
      <c r="AM357" s="255" t="str">
        <v/>
      </c>
      <c r="AN357" s="256" t="str">
        <v/>
      </c>
      <c r="AO357" s="257" t="str">
        <v/>
      </c>
      <c r="AP357" s="255" t="str">
        <v/>
      </c>
      <c r="AQ357" s="256" t="str">
        <v/>
      </c>
      <c r="AR357" s="257" t="str">
        <v/>
      </c>
      <c r="AS357" s="255" t="str">
        <v/>
      </c>
      <c r="AT357" s="256" t="str">
        <v/>
      </c>
      <c r="AU357" s="257" t="str">
        <v/>
      </c>
      <c r="AV357" s="255" t="str">
        <v/>
      </c>
      <c r="AW357" s="256" t="str">
        <v/>
      </c>
      <c r="AX357" s="257" t="str">
        <v/>
      </c>
      <c r="AY357" s="243">
        <v>0</v>
      </c>
      <c r="AZ357" s="244">
        <v>0</v>
      </c>
      <c r="BA357" s="244">
        <v>0</v>
      </c>
      <c r="BB357" s="244">
        <v>0</v>
      </c>
      <c r="BC357" s="244">
        <v>0</v>
      </c>
      <c r="BD357" s="244">
        <v>0</v>
      </c>
      <c r="BE357" s="244">
        <v>0</v>
      </c>
      <c r="BF357" s="244">
        <v>0</v>
      </c>
      <c r="BG357" s="244">
        <v>0</v>
      </c>
      <c r="BH357" s="245">
        <v>0</v>
      </c>
      <c r="BK357">
        <v>299</v>
      </c>
      <c r="BL357" s="281"/>
      <c r="BM357" s="281"/>
      <c r="BN357" s="282"/>
      <c r="BO357" s="282"/>
      <c r="BP357" s="282"/>
      <c r="BQ357" s="283"/>
      <c r="BR357" s="284"/>
      <c r="BS357" s="147"/>
      <c r="BT357" s="285"/>
      <c r="BU357" s="288"/>
      <c r="BV357" s="287"/>
      <c r="BW357" s="288"/>
      <c r="BX357" s="286"/>
      <c r="BY357" s="287"/>
      <c r="BZ357" s="288"/>
      <c r="CA357" s="286"/>
      <c r="CB357" s="286"/>
      <c r="CC357" s="287"/>
      <c r="CD357" s="286"/>
      <c r="CE357" s="286"/>
      <c r="CF357" s="286"/>
      <c r="CG357" s="287"/>
      <c r="CH357" s="288"/>
      <c r="CI357" s="286"/>
      <c r="CJ357" s="286"/>
      <c r="CK357" s="287"/>
      <c r="CL357" s="288"/>
      <c r="CM357" s="286"/>
      <c r="CN357" s="294"/>
      <c r="CO357" s="289"/>
      <c r="CP357" s="290"/>
      <c r="CQ357" s="289"/>
      <c r="CR357" s="290"/>
      <c r="CS357" s="284"/>
      <c r="CT357" s="147"/>
      <c r="CU357" s="291"/>
      <c r="CV357" s="292"/>
    </row>
    <row r="358" spans="2:100">
      <c r="B358">
        <v>300</v>
      </c>
      <c r="C358" s="243" t="str">
        <v/>
      </c>
      <c r="D358" s="592" t="str">
        <v/>
      </c>
      <c r="E358" s="245" t="str">
        <v/>
      </c>
      <c r="F358" s="243" t="str">
        <v/>
      </c>
      <c r="G358" s="245" t="str">
        <v/>
      </c>
      <c r="H358" s="243" t="str">
        <v/>
      </c>
      <c r="I358" s="245" t="str">
        <v/>
      </c>
      <c r="J358" s="242" t="str">
        <v/>
      </c>
      <c r="K358" s="242" t="str">
        <v/>
      </c>
      <c r="L358" s="242" t="str">
        <v/>
      </c>
      <c r="M358" s="243" t="str">
        <v/>
      </c>
      <c r="N358" s="592" t="str">
        <v/>
      </c>
      <c r="O358" s="245" t="str">
        <v/>
      </c>
      <c r="P358" s="245" t="str">
        <v/>
      </c>
      <c r="Q358" s="254" t="str">
        <v/>
      </c>
      <c r="R358" s="255" t="str">
        <v/>
      </c>
      <c r="S358" s="256" t="str">
        <v/>
      </c>
      <c r="T358" s="257" t="str">
        <v/>
      </c>
      <c r="U358" s="255" t="str">
        <v/>
      </c>
      <c r="V358" s="256" t="str">
        <v/>
      </c>
      <c r="W358" s="257" t="str">
        <v/>
      </c>
      <c r="X358" s="255" t="str">
        <v/>
      </c>
      <c r="Y358" s="256" t="str">
        <v/>
      </c>
      <c r="Z358" s="257" t="str">
        <v/>
      </c>
      <c r="AA358" s="255" t="str">
        <v/>
      </c>
      <c r="AB358" s="256" t="str">
        <v/>
      </c>
      <c r="AC358" s="257" t="str">
        <v/>
      </c>
      <c r="AD358" s="255" t="str">
        <v/>
      </c>
      <c r="AE358" s="256" t="str">
        <v/>
      </c>
      <c r="AF358" s="257" t="str">
        <v/>
      </c>
      <c r="AG358" s="255" t="str">
        <v/>
      </c>
      <c r="AH358" s="256" t="str">
        <v/>
      </c>
      <c r="AI358" s="257" t="str">
        <v/>
      </c>
      <c r="AJ358" s="255" t="str">
        <v/>
      </c>
      <c r="AK358" s="256" t="str">
        <v/>
      </c>
      <c r="AL358" s="257" t="str">
        <v/>
      </c>
      <c r="AM358" s="255" t="str">
        <v/>
      </c>
      <c r="AN358" s="256" t="str">
        <v/>
      </c>
      <c r="AO358" s="257" t="str">
        <v/>
      </c>
      <c r="AP358" s="255" t="str">
        <v/>
      </c>
      <c r="AQ358" s="256" t="str">
        <v/>
      </c>
      <c r="AR358" s="257" t="str">
        <v/>
      </c>
      <c r="AS358" s="255" t="str">
        <v/>
      </c>
      <c r="AT358" s="256" t="str">
        <v/>
      </c>
      <c r="AU358" s="257" t="str">
        <v/>
      </c>
      <c r="AV358" s="255" t="str">
        <v/>
      </c>
      <c r="AW358" s="256" t="str">
        <v/>
      </c>
      <c r="AX358" s="257" t="str">
        <v/>
      </c>
      <c r="AY358" s="243">
        <v>0</v>
      </c>
      <c r="AZ358" s="244">
        <v>0</v>
      </c>
      <c r="BA358" s="244">
        <v>0</v>
      </c>
      <c r="BB358" s="244">
        <v>0</v>
      </c>
      <c r="BC358" s="244">
        <v>0</v>
      </c>
      <c r="BD358" s="244">
        <v>0</v>
      </c>
      <c r="BE358" s="244">
        <v>0</v>
      </c>
      <c r="BF358" s="244">
        <v>0</v>
      </c>
      <c r="BG358" s="244">
        <v>0</v>
      </c>
      <c r="BH358" s="245">
        <v>0</v>
      </c>
      <c r="BK358">
        <v>300</v>
      </c>
      <c r="BL358" s="281"/>
      <c r="BM358" s="281"/>
      <c r="BN358" s="282"/>
      <c r="BO358" s="282"/>
      <c r="BP358" s="282"/>
      <c r="BQ358" s="283"/>
      <c r="BR358" s="284"/>
      <c r="BS358" s="147"/>
      <c r="BT358" s="285"/>
      <c r="BU358" s="288"/>
      <c r="BV358" s="287"/>
      <c r="BW358" s="288"/>
      <c r="BX358" s="286"/>
      <c r="BY358" s="287"/>
      <c r="BZ358" s="288"/>
      <c r="CA358" s="286"/>
      <c r="CB358" s="286"/>
      <c r="CC358" s="287"/>
      <c r="CD358" s="286"/>
      <c r="CE358" s="286"/>
      <c r="CF358" s="286"/>
      <c r="CG358" s="287"/>
      <c r="CH358" s="288"/>
      <c r="CI358" s="286"/>
      <c r="CJ358" s="286"/>
      <c r="CK358" s="287"/>
      <c r="CL358" s="288"/>
      <c r="CM358" s="286"/>
      <c r="CN358" s="294"/>
      <c r="CO358" s="289"/>
      <c r="CP358" s="290"/>
      <c r="CQ358" s="289"/>
      <c r="CR358" s="290"/>
      <c r="CS358" s="284"/>
      <c r="CT358" s="147"/>
      <c r="CU358" s="291"/>
      <c r="CV358" s="292"/>
    </row>
    <row r="359" spans="2:100">
      <c r="B359">
        <v>301</v>
      </c>
      <c r="C359" s="243" t="str">
        <v/>
      </c>
      <c r="D359" s="592" t="str">
        <v/>
      </c>
      <c r="E359" s="245" t="str">
        <v/>
      </c>
      <c r="F359" s="243" t="str">
        <v/>
      </c>
      <c r="G359" s="245" t="str">
        <v/>
      </c>
      <c r="H359" s="243" t="str">
        <v/>
      </c>
      <c r="I359" s="245" t="str">
        <v/>
      </c>
      <c r="J359" s="242" t="str">
        <v/>
      </c>
      <c r="K359" s="242" t="str">
        <v/>
      </c>
      <c r="L359" s="242" t="str">
        <v/>
      </c>
      <c r="M359" s="243" t="str">
        <v/>
      </c>
      <c r="N359" s="592" t="str">
        <v/>
      </c>
      <c r="O359" s="245" t="str">
        <v/>
      </c>
      <c r="P359" s="245" t="str">
        <v/>
      </c>
      <c r="Q359" s="254" t="str">
        <v/>
      </c>
      <c r="R359" s="255" t="str">
        <v/>
      </c>
      <c r="S359" s="256" t="str">
        <v/>
      </c>
      <c r="T359" s="257" t="str">
        <v/>
      </c>
      <c r="U359" s="255" t="str">
        <v/>
      </c>
      <c r="V359" s="256" t="str">
        <v/>
      </c>
      <c r="W359" s="257" t="str">
        <v/>
      </c>
      <c r="X359" s="255" t="str">
        <v/>
      </c>
      <c r="Y359" s="256" t="str">
        <v/>
      </c>
      <c r="Z359" s="257" t="str">
        <v/>
      </c>
      <c r="AA359" s="255" t="str">
        <v/>
      </c>
      <c r="AB359" s="256" t="str">
        <v/>
      </c>
      <c r="AC359" s="257" t="str">
        <v/>
      </c>
      <c r="AD359" s="255" t="str">
        <v/>
      </c>
      <c r="AE359" s="256" t="str">
        <v/>
      </c>
      <c r="AF359" s="257" t="str">
        <v/>
      </c>
      <c r="AG359" s="255" t="str">
        <v/>
      </c>
      <c r="AH359" s="256" t="str">
        <v/>
      </c>
      <c r="AI359" s="257" t="str">
        <v/>
      </c>
      <c r="AJ359" s="255" t="str">
        <v/>
      </c>
      <c r="AK359" s="256" t="str">
        <v/>
      </c>
      <c r="AL359" s="257" t="str">
        <v/>
      </c>
      <c r="AM359" s="255" t="str">
        <v/>
      </c>
      <c r="AN359" s="256" t="str">
        <v/>
      </c>
      <c r="AO359" s="257" t="str">
        <v/>
      </c>
      <c r="AP359" s="255" t="str">
        <v/>
      </c>
      <c r="AQ359" s="256" t="str">
        <v/>
      </c>
      <c r="AR359" s="257" t="str">
        <v/>
      </c>
      <c r="AS359" s="255" t="str">
        <v/>
      </c>
      <c r="AT359" s="256" t="str">
        <v/>
      </c>
      <c r="AU359" s="257" t="str">
        <v/>
      </c>
      <c r="AV359" s="255" t="str">
        <v/>
      </c>
      <c r="AW359" s="256" t="str">
        <v/>
      </c>
      <c r="AX359" s="257" t="str">
        <v/>
      </c>
      <c r="AY359" s="243">
        <v>0</v>
      </c>
      <c r="AZ359" s="244">
        <v>0</v>
      </c>
      <c r="BA359" s="244">
        <v>0</v>
      </c>
      <c r="BB359" s="244">
        <v>0</v>
      </c>
      <c r="BC359" s="244">
        <v>0</v>
      </c>
      <c r="BD359" s="244">
        <v>0</v>
      </c>
      <c r="BE359" s="244">
        <v>0</v>
      </c>
      <c r="BF359" s="244">
        <v>0</v>
      </c>
      <c r="BG359" s="244">
        <v>0</v>
      </c>
      <c r="BH359" s="245">
        <v>0</v>
      </c>
      <c r="BK359">
        <v>301</v>
      </c>
      <c r="BL359" s="281"/>
      <c r="BM359" s="281"/>
      <c r="BN359" s="282"/>
      <c r="BO359" s="282"/>
      <c r="BP359" s="282"/>
      <c r="BQ359" s="283"/>
      <c r="BR359" s="284"/>
      <c r="BS359" s="147"/>
      <c r="BT359" s="285"/>
      <c r="BU359" s="288"/>
      <c r="BV359" s="287"/>
      <c r="BW359" s="288"/>
      <c r="BX359" s="286"/>
      <c r="BY359" s="287"/>
      <c r="BZ359" s="288"/>
      <c r="CA359" s="286"/>
      <c r="CB359" s="286"/>
      <c r="CC359" s="287"/>
      <c r="CD359" s="286"/>
      <c r="CE359" s="286"/>
      <c r="CF359" s="286"/>
      <c r="CG359" s="287"/>
      <c r="CH359" s="288"/>
      <c r="CI359" s="286"/>
      <c r="CJ359" s="286"/>
      <c r="CK359" s="287"/>
      <c r="CL359" s="288"/>
      <c r="CM359" s="286"/>
      <c r="CN359" s="294"/>
      <c r="CO359" s="289"/>
      <c r="CP359" s="290"/>
      <c r="CQ359" s="289"/>
      <c r="CR359" s="290"/>
      <c r="CS359" s="284"/>
      <c r="CT359" s="147"/>
      <c r="CU359" s="291"/>
      <c r="CV359" s="292"/>
    </row>
    <row r="360" spans="2:100">
      <c r="B360">
        <v>302</v>
      </c>
      <c r="C360" s="243" t="str">
        <v/>
      </c>
      <c r="D360" s="592" t="str">
        <v/>
      </c>
      <c r="E360" s="245" t="str">
        <v/>
      </c>
      <c r="F360" s="243" t="str">
        <v/>
      </c>
      <c r="G360" s="245" t="str">
        <v/>
      </c>
      <c r="H360" s="243" t="str">
        <v/>
      </c>
      <c r="I360" s="245" t="str">
        <v/>
      </c>
      <c r="J360" s="242" t="str">
        <v/>
      </c>
      <c r="K360" s="242" t="str">
        <v/>
      </c>
      <c r="L360" s="242" t="str">
        <v/>
      </c>
      <c r="M360" s="243" t="str">
        <v/>
      </c>
      <c r="N360" s="592" t="str">
        <v/>
      </c>
      <c r="O360" s="245" t="str">
        <v/>
      </c>
      <c r="P360" s="245" t="str">
        <v/>
      </c>
      <c r="Q360" s="254" t="str">
        <v/>
      </c>
      <c r="R360" s="255" t="str">
        <v/>
      </c>
      <c r="S360" s="256" t="str">
        <v/>
      </c>
      <c r="T360" s="257" t="str">
        <v/>
      </c>
      <c r="U360" s="255" t="str">
        <v/>
      </c>
      <c r="V360" s="256" t="str">
        <v/>
      </c>
      <c r="W360" s="257" t="str">
        <v/>
      </c>
      <c r="X360" s="255" t="str">
        <v/>
      </c>
      <c r="Y360" s="256" t="str">
        <v/>
      </c>
      <c r="Z360" s="257" t="str">
        <v/>
      </c>
      <c r="AA360" s="255" t="str">
        <v/>
      </c>
      <c r="AB360" s="256" t="str">
        <v/>
      </c>
      <c r="AC360" s="257" t="str">
        <v/>
      </c>
      <c r="AD360" s="255" t="str">
        <v/>
      </c>
      <c r="AE360" s="256" t="str">
        <v/>
      </c>
      <c r="AF360" s="257" t="str">
        <v/>
      </c>
      <c r="AG360" s="255" t="str">
        <v/>
      </c>
      <c r="AH360" s="256" t="str">
        <v/>
      </c>
      <c r="AI360" s="257" t="str">
        <v/>
      </c>
      <c r="AJ360" s="255" t="str">
        <v/>
      </c>
      <c r="AK360" s="256" t="str">
        <v/>
      </c>
      <c r="AL360" s="257" t="str">
        <v/>
      </c>
      <c r="AM360" s="255" t="str">
        <v/>
      </c>
      <c r="AN360" s="256" t="str">
        <v/>
      </c>
      <c r="AO360" s="257" t="str">
        <v/>
      </c>
      <c r="AP360" s="255" t="str">
        <v/>
      </c>
      <c r="AQ360" s="256" t="str">
        <v/>
      </c>
      <c r="AR360" s="257" t="str">
        <v/>
      </c>
      <c r="AS360" s="255" t="str">
        <v/>
      </c>
      <c r="AT360" s="256" t="str">
        <v/>
      </c>
      <c r="AU360" s="257" t="str">
        <v/>
      </c>
      <c r="AV360" s="255" t="str">
        <v/>
      </c>
      <c r="AW360" s="256" t="str">
        <v/>
      </c>
      <c r="AX360" s="257" t="str">
        <v/>
      </c>
      <c r="AY360" s="243">
        <v>0</v>
      </c>
      <c r="AZ360" s="244">
        <v>0</v>
      </c>
      <c r="BA360" s="244">
        <v>0</v>
      </c>
      <c r="BB360" s="244">
        <v>0</v>
      </c>
      <c r="BC360" s="244">
        <v>0</v>
      </c>
      <c r="BD360" s="244">
        <v>0</v>
      </c>
      <c r="BE360" s="244">
        <v>0</v>
      </c>
      <c r="BF360" s="244">
        <v>0</v>
      </c>
      <c r="BG360" s="244">
        <v>0</v>
      </c>
      <c r="BH360" s="245">
        <v>0</v>
      </c>
      <c r="BK360">
        <v>302</v>
      </c>
      <c r="BL360" s="281"/>
      <c r="BM360" s="281"/>
      <c r="BN360" s="282"/>
      <c r="BO360" s="282"/>
      <c r="BP360" s="282"/>
      <c r="BQ360" s="283"/>
      <c r="BR360" s="284"/>
      <c r="BS360" s="147"/>
      <c r="BT360" s="285"/>
      <c r="BU360" s="288"/>
      <c r="BV360" s="287"/>
      <c r="BW360" s="288"/>
      <c r="BX360" s="286"/>
      <c r="BY360" s="287"/>
      <c r="BZ360" s="288"/>
      <c r="CA360" s="286"/>
      <c r="CB360" s="286"/>
      <c r="CC360" s="287"/>
      <c r="CD360" s="286"/>
      <c r="CE360" s="286"/>
      <c r="CF360" s="286"/>
      <c r="CG360" s="287"/>
      <c r="CH360" s="288"/>
      <c r="CI360" s="286"/>
      <c r="CJ360" s="286"/>
      <c r="CK360" s="287"/>
      <c r="CL360" s="288"/>
      <c r="CM360" s="286"/>
      <c r="CN360" s="294"/>
      <c r="CO360" s="289"/>
      <c r="CP360" s="290"/>
      <c r="CQ360" s="289"/>
      <c r="CR360" s="290"/>
      <c r="CS360" s="284"/>
      <c r="CT360" s="147"/>
      <c r="CU360" s="291"/>
      <c r="CV360" s="292"/>
    </row>
    <row r="361" spans="2:100">
      <c r="B361">
        <v>303</v>
      </c>
      <c r="C361" s="243" t="str">
        <v/>
      </c>
      <c r="D361" s="592" t="str">
        <v/>
      </c>
      <c r="E361" s="245" t="str">
        <v/>
      </c>
      <c r="F361" s="243" t="str">
        <v/>
      </c>
      <c r="G361" s="245" t="str">
        <v/>
      </c>
      <c r="H361" s="243" t="str">
        <v/>
      </c>
      <c r="I361" s="245" t="str">
        <v/>
      </c>
      <c r="J361" s="242" t="str">
        <v/>
      </c>
      <c r="K361" s="242" t="str">
        <v/>
      </c>
      <c r="L361" s="242" t="str">
        <v/>
      </c>
      <c r="M361" s="243" t="str">
        <v/>
      </c>
      <c r="N361" s="592" t="str">
        <v/>
      </c>
      <c r="O361" s="245" t="str">
        <v/>
      </c>
      <c r="P361" s="245" t="str">
        <v/>
      </c>
      <c r="Q361" s="254" t="str">
        <v/>
      </c>
      <c r="R361" s="255" t="str">
        <v/>
      </c>
      <c r="S361" s="256" t="str">
        <v/>
      </c>
      <c r="T361" s="257" t="str">
        <v/>
      </c>
      <c r="U361" s="255" t="str">
        <v/>
      </c>
      <c r="V361" s="256" t="str">
        <v/>
      </c>
      <c r="W361" s="257" t="str">
        <v/>
      </c>
      <c r="X361" s="255" t="str">
        <v/>
      </c>
      <c r="Y361" s="256" t="str">
        <v/>
      </c>
      <c r="Z361" s="257" t="str">
        <v/>
      </c>
      <c r="AA361" s="255" t="str">
        <v/>
      </c>
      <c r="AB361" s="256" t="str">
        <v/>
      </c>
      <c r="AC361" s="257" t="str">
        <v/>
      </c>
      <c r="AD361" s="255" t="str">
        <v/>
      </c>
      <c r="AE361" s="256" t="str">
        <v/>
      </c>
      <c r="AF361" s="257" t="str">
        <v/>
      </c>
      <c r="AG361" s="255" t="str">
        <v/>
      </c>
      <c r="AH361" s="256" t="str">
        <v/>
      </c>
      <c r="AI361" s="257" t="str">
        <v/>
      </c>
      <c r="AJ361" s="255" t="str">
        <v/>
      </c>
      <c r="AK361" s="256" t="str">
        <v/>
      </c>
      <c r="AL361" s="257" t="str">
        <v/>
      </c>
      <c r="AM361" s="255" t="str">
        <v/>
      </c>
      <c r="AN361" s="256" t="str">
        <v/>
      </c>
      <c r="AO361" s="257" t="str">
        <v/>
      </c>
      <c r="AP361" s="255" t="str">
        <v/>
      </c>
      <c r="AQ361" s="256" t="str">
        <v/>
      </c>
      <c r="AR361" s="257" t="str">
        <v/>
      </c>
      <c r="AS361" s="255" t="str">
        <v/>
      </c>
      <c r="AT361" s="256" t="str">
        <v/>
      </c>
      <c r="AU361" s="257" t="str">
        <v/>
      </c>
      <c r="AV361" s="255" t="str">
        <v/>
      </c>
      <c r="AW361" s="256" t="str">
        <v/>
      </c>
      <c r="AX361" s="257" t="str">
        <v/>
      </c>
      <c r="AY361" s="243">
        <v>0</v>
      </c>
      <c r="AZ361" s="244">
        <v>0</v>
      </c>
      <c r="BA361" s="244">
        <v>0</v>
      </c>
      <c r="BB361" s="244">
        <v>0</v>
      </c>
      <c r="BC361" s="244">
        <v>0</v>
      </c>
      <c r="BD361" s="244">
        <v>0</v>
      </c>
      <c r="BE361" s="244">
        <v>0</v>
      </c>
      <c r="BF361" s="244">
        <v>0</v>
      </c>
      <c r="BG361" s="244">
        <v>0</v>
      </c>
      <c r="BH361" s="245">
        <v>0</v>
      </c>
      <c r="BK361">
        <v>303</v>
      </c>
      <c r="BL361" s="281"/>
      <c r="BM361" s="281"/>
      <c r="BN361" s="282"/>
      <c r="BO361" s="282"/>
      <c r="BP361" s="282"/>
      <c r="BQ361" s="283"/>
      <c r="BR361" s="284"/>
      <c r="BS361" s="147"/>
      <c r="BT361" s="285"/>
      <c r="BU361" s="288"/>
      <c r="BV361" s="287"/>
      <c r="BW361" s="288"/>
      <c r="BX361" s="286"/>
      <c r="BY361" s="287"/>
      <c r="BZ361" s="288"/>
      <c r="CA361" s="286"/>
      <c r="CB361" s="286"/>
      <c r="CC361" s="287"/>
      <c r="CD361" s="286"/>
      <c r="CE361" s="286"/>
      <c r="CF361" s="286"/>
      <c r="CG361" s="287"/>
      <c r="CH361" s="288"/>
      <c r="CI361" s="286"/>
      <c r="CJ361" s="286"/>
      <c r="CK361" s="287"/>
      <c r="CL361" s="288"/>
      <c r="CM361" s="286"/>
      <c r="CN361" s="294"/>
      <c r="CO361" s="289"/>
      <c r="CP361" s="290"/>
      <c r="CQ361" s="289"/>
      <c r="CR361" s="290"/>
      <c r="CS361" s="284"/>
      <c r="CT361" s="147"/>
      <c r="CU361" s="291"/>
      <c r="CV361" s="292"/>
    </row>
    <row r="362" spans="2:100">
      <c r="B362">
        <v>304</v>
      </c>
      <c r="C362" s="243" t="str">
        <v/>
      </c>
      <c r="D362" s="592" t="str">
        <v/>
      </c>
      <c r="E362" s="245" t="str">
        <v/>
      </c>
      <c r="F362" s="243" t="str">
        <v/>
      </c>
      <c r="G362" s="245" t="str">
        <v/>
      </c>
      <c r="H362" s="243" t="str">
        <v/>
      </c>
      <c r="I362" s="245" t="str">
        <v/>
      </c>
      <c r="J362" s="242" t="str">
        <v/>
      </c>
      <c r="K362" s="242" t="str">
        <v/>
      </c>
      <c r="L362" s="242" t="str">
        <v/>
      </c>
      <c r="M362" s="243" t="str">
        <v/>
      </c>
      <c r="N362" s="592" t="str">
        <v/>
      </c>
      <c r="O362" s="245" t="str">
        <v/>
      </c>
      <c r="P362" s="245" t="str">
        <v/>
      </c>
      <c r="Q362" s="254" t="str">
        <v/>
      </c>
      <c r="R362" s="255" t="str">
        <v/>
      </c>
      <c r="S362" s="256" t="str">
        <v/>
      </c>
      <c r="T362" s="257" t="str">
        <v/>
      </c>
      <c r="U362" s="255" t="str">
        <v/>
      </c>
      <c r="V362" s="256" t="str">
        <v/>
      </c>
      <c r="W362" s="257" t="str">
        <v/>
      </c>
      <c r="X362" s="255" t="str">
        <v/>
      </c>
      <c r="Y362" s="256" t="str">
        <v/>
      </c>
      <c r="Z362" s="257" t="str">
        <v/>
      </c>
      <c r="AA362" s="255" t="str">
        <v/>
      </c>
      <c r="AB362" s="256" t="str">
        <v/>
      </c>
      <c r="AC362" s="257" t="str">
        <v/>
      </c>
      <c r="AD362" s="255" t="str">
        <v/>
      </c>
      <c r="AE362" s="256" t="str">
        <v/>
      </c>
      <c r="AF362" s="257" t="str">
        <v/>
      </c>
      <c r="AG362" s="255" t="str">
        <v/>
      </c>
      <c r="AH362" s="256" t="str">
        <v/>
      </c>
      <c r="AI362" s="257" t="str">
        <v/>
      </c>
      <c r="AJ362" s="255" t="str">
        <v/>
      </c>
      <c r="AK362" s="256" t="str">
        <v/>
      </c>
      <c r="AL362" s="257" t="str">
        <v/>
      </c>
      <c r="AM362" s="255" t="str">
        <v/>
      </c>
      <c r="AN362" s="256" t="str">
        <v/>
      </c>
      <c r="AO362" s="257" t="str">
        <v/>
      </c>
      <c r="AP362" s="255" t="str">
        <v/>
      </c>
      <c r="AQ362" s="256" t="str">
        <v/>
      </c>
      <c r="AR362" s="257" t="str">
        <v/>
      </c>
      <c r="AS362" s="255" t="str">
        <v/>
      </c>
      <c r="AT362" s="256" t="str">
        <v/>
      </c>
      <c r="AU362" s="257" t="str">
        <v/>
      </c>
      <c r="AV362" s="255" t="str">
        <v/>
      </c>
      <c r="AW362" s="256" t="str">
        <v/>
      </c>
      <c r="AX362" s="257" t="str">
        <v/>
      </c>
      <c r="AY362" s="243">
        <v>0</v>
      </c>
      <c r="AZ362" s="244">
        <v>0</v>
      </c>
      <c r="BA362" s="244">
        <v>0</v>
      </c>
      <c r="BB362" s="244">
        <v>0</v>
      </c>
      <c r="BC362" s="244">
        <v>0</v>
      </c>
      <c r="BD362" s="244">
        <v>0</v>
      </c>
      <c r="BE362" s="244">
        <v>0</v>
      </c>
      <c r="BF362" s="244">
        <v>0</v>
      </c>
      <c r="BG362" s="244">
        <v>0</v>
      </c>
      <c r="BH362" s="245">
        <v>0</v>
      </c>
      <c r="BK362">
        <v>304</v>
      </c>
      <c r="BL362" s="281"/>
      <c r="BM362" s="281"/>
      <c r="BN362" s="282"/>
      <c r="BO362" s="282"/>
      <c r="BP362" s="282"/>
      <c r="BQ362" s="283"/>
      <c r="BR362" s="284"/>
      <c r="BS362" s="147"/>
      <c r="BT362" s="285"/>
      <c r="BU362" s="288"/>
      <c r="BV362" s="287"/>
      <c r="BW362" s="288"/>
      <c r="BX362" s="286"/>
      <c r="BY362" s="287"/>
      <c r="BZ362" s="288"/>
      <c r="CA362" s="286"/>
      <c r="CB362" s="286"/>
      <c r="CC362" s="287"/>
      <c r="CD362" s="286"/>
      <c r="CE362" s="286"/>
      <c r="CF362" s="286"/>
      <c r="CG362" s="287"/>
      <c r="CH362" s="288"/>
      <c r="CI362" s="286"/>
      <c r="CJ362" s="286"/>
      <c r="CK362" s="287"/>
      <c r="CL362" s="288"/>
      <c r="CM362" s="286"/>
      <c r="CN362" s="294"/>
      <c r="CO362" s="289"/>
      <c r="CP362" s="290"/>
      <c r="CQ362" s="289"/>
      <c r="CR362" s="290"/>
      <c r="CS362" s="284"/>
      <c r="CT362" s="147"/>
      <c r="CU362" s="291"/>
      <c r="CV362" s="292"/>
    </row>
    <row r="363" spans="2:100">
      <c r="B363">
        <v>305</v>
      </c>
      <c r="C363" s="243" t="str">
        <v/>
      </c>
      <c r="D363" s="592" t="str">
        <v/>
      </c>
      <c r="E363" s="245" t="str">
        <v/>
      </c>
      <c r="F363" s="243" t="str">
        <v/>
      </c>
      <c r="G363" s="245" t="str">
        <v/>
      </c>
      <c r="H363" s="243" t="str">
        <v/>
      </c>
      <c r="I363" s="245" t="str">
        <v/>
      </c>
      <c r="J363" s="242" t="str">
        <v/>
      </c>
      <c r="K363" s="242" t="str">
        <v/>
      </c>
      <c r="L363" s="242" t="str">
        <v/>
      </c>
      <c r="M363" s="243" t="str">
        <v/>
      </c>
      <c r="N363" s="592" t="str">
        <v/>
      </c>
      <c r="O363" s="245" t="str">
        <v/>
      </c>
      <c r="P363" s="245" t="str">
        <v/>
      </c>
      <c r="Q363" s="254" t="str">
        <v/>
      </c>
      <c r="R363" s="255" t="str">
        <v/>
      </c>
      <c r="S363" s="256" t="str">
        <v/>
      </c>
      <c r="T363" s="257" t="str">
        <v/>
      </c>
      <c r="U363" s="255" t="str">
        <v/>
      </c>
      <c r="V363" s="256" t="str">
        <v/>
      </c>
      <c r="W363" s="257" t="str">
        <v/>
      </c>
      <c r="X363" s="255" t="str">
        <v/>
      </c>
      <c r="Y363" s="256" t="str">
        <v/>
      </c>
      <c r="Z363" s="257" t="str">
        <v/>
      </c>
      <c r="AA363" s="255" t="str">
        <v/>
      </c>
      <c r="AB363" s="256" t="str">
        <v/>
      </c>
      <c r="AC363" s="257" t="str">
        <v/>
      </c>
      <c r="AD363" s="255" t="str">
        <v/>
      </c>
      <c r="AE363" s="256" t="str">
        <v/>
      </c>
      <c r="AF363" s="257" t="str">
        <v/>
      </c>
      <c r="AG363" s="255" t="str">
        <v/>
      </c>
      <c r="AH363" s="256" t="str">
        <v/>
      </c>
      <c r="AI363" s="257" t="str">
        <v/>
      </c>
      <c r="AJ363" s="255" t="str">
        <v/>
      </c>
      <c r="AK363" s="256" t="str">
        <v/>
      </c>
      <c r="AL363" s="257" t="str">
        <v/>
      </c>
      <c r="AM363" s="255" t="str">
        <v/>
      </c>
      <c r="AN363" s="256" t="str">
        <v/>
      </c>
      <c r="AO363" s="257" t="str">
        <v/>
      </c>
      <c r="AP363" s="255" t="str">
        <v/>
      </c>
      <c r="AQ363" s="256" t="str">
        <v/>
      </c>
      <c r="AR363" s="257" t="str">
        <v/>
      </c>
      <c r="AS363" s="255" t="str">
        <v/>
      </c>
      <c r="AT363" s="256" t="str">
        <v/>
      </c>
      <c r="AU363" s="257" t="str">
        <v/>
      </c>
      <c r="AV363" s="255" t="str">
        <v/>
      </c>
      <c r="AW363" s="256" t="str">
        <v/>
      </c>
      <c r="AX363" s="257" t="str">
        <v/>
      </c>
      <c r="AY363" s="243">
        <v>0</v>
      </c>
      <c r="AZ363" s="244">
        <v>0</v>
      </c>
      <c r="BA363" s="244">
        <v>0</v>
      </c>
      <c r="BB363" s="244">
        <v>0</v>
      </c>
      <c r="BC363" s="244">
        <v>0</v>
      </c>
      <c r="BD363" s="244">
        <v>0</v>
      </c>
      <c r="BE363" s="244">
        <v>0</v>
      </c>
      <c r="BF363" s="244">
        <v>0</v>
      </c>
      <c r="BG363" s="244">
        <v>0</v>
      </c>
      <c r="BH363" s="245">
        <v>0</v>
      </c>
      <c r="BK363">
        <v>305</v>
      </c>
      <c r="BL363" s="281"/>
      <c r="BM363" s="281"/>
      <c r="BN363" s="282"/>
      <c r="BO363" s="282"/>
      <c r="BP363" s="282"/>
      <c r="BQ363" s="283"/>
      <c r="BR363" s="284"/>
      <c r="BS363" s="147"/>
      <c r="BT363" s="285"/>
      <c r="BU363" s="288"/>
      <c r="BV363" s="287"/>
      <c r="BW363" s="288"/>
      <c r="BX363" s="286"/>
      <c r="BY363" s="287"/>
      <c r="BZ363" s="288"/>
      <c r="CA363" s="286"/>
      <c r="CB363" s="286"/>
      <c r="CC363" s="287"/>
      <c r="CD363" s="286"/>
      <c r="CE363" s="286"/>
      <c r="CF363" s="286"/>
      <c r="CG363" s="287"/>
      <c r="CH363" s="288"/>
      <c r="CI363" s="286"/>
      <c r="CJ363" s="286"/>
      <c r="CK363" s="287"/>
      <c r="CL363" s="288"/>
      <c r="CM363" s="286"/>
      <c r="CN363" s="294"/>
      <c r="CO363" s="289"/>
      <c r="CP363" s="290"/>
      <c r="CQ363" s="289"/>
      <c r="CR363" s="290"/>
      <c r="CS363" s="284"/>
      <c r="CT363" s="147"/>
      <c r="CU363" s="291"/>
      <c r="CV363" s="292"/>
    </row>
    <row r="364" spans="2:100">
      <c r="B364">
        <v>306</v>
      </c>
      <c r="C364" s="243" t="str">
        <v/>
      </c>
      <c r="D364" s="592" t="str">
        <v/>
      </c>
      <c r="E364" s="245" t="str">
        <v/>
      </c>
      <c r="F364" s="243" t="str">
        <v/>
      </c>
      <c r="G364" s="245" t="str">
        <v/>
      </c>
      <c r="H364" s="243" t="str">
        <v/>
      </c>
      <c r="I364" s="245" t="str">
        <v/>
      </c>
      <c r="J364" s="242" t="str">
        <v/>
      </c>
      <c r="K364" s="242" t="str">
        <v/>
      </c>
      <c r="L364" s="242" t="str">
        <v/>
      </c>
      <c r="M364" s="243" t="str">
        <v/>
      </c>
      <c r="N364" s="592" t="str">
        <v/>
      </c>
      <c r="O364" s="245" t="str">
        <v/>
      </c>
      <c r="P364" s="245" t="str">
        <v/>
      </c>
      <c r="Q364" s="254" t="str">
        <v/>
      </c>
      <c r="R364" s="255" t="str">
        <v/>
      </c>
      <c r="S364" s="256" t="str">
        <v/>
      </c>
      <c r="T364" s="257" t="str">
        <v/>
      </c>
      <c r="U364" s="255" t="str">
        <v/>
      </c>
      <c r="V364" s="256" t="str">
        <v/>
      </c>
      <c r="W364" s="257" t="str">
        <v/>
      </c>
      <c r="X364" s="255" t="str">
        <v/>
      </c>
      <c r="Y364" s="256" t="str">
        <v/>
      </c>
      <c r="Z364" s="257" t="str">
        <v/>
      </c>
      <c r="AA364" s="255" t="str">
        <v/>
      </c>
      <c r="AB364" s="256" t="str">
        <v/>
      </c>
      <c r="AC364" s="257" t="str">
        <v/>
      </c>
      <c r="AD364" s="255" t="str">
        <v/>
      </c>
      <c r="AE364" s="256" t="str">
        <v/>
      </c>
      <c r="AF364" s="257" t="str">
        <v/>
      </c>
      <c r="AG364" s="255" t="str">
        <v/>
      </c>
      <c r="AH364" s="256" t="str">
        <v/>
      </c>
      <c r="AI364" s="257" t="str">
        <v/>
      </c>
      <c r="AJ364" s="255" t="str">
        <v/>
      </c>
      <c r="AK364" s="256" t="str">
        <v/>
      </c>
      <c r="AL364" s="257" t="str">
        <v/>
      </c>
      <c r="AM364" s="255" t="str">
        <v/>
      </c>
      <c r="AN364" s="256" t="str">
        <v/>
      </c>
      <c r="AO364" s="257" t="str">
        <v/>
      </c>
      <c r="AP364" s="255" t="str">
        <v/>
      </c>
      <c r="AQ364" s="256" t="str">
        <v/>
      </c>
      <c r="AR364" s="257" t="str">
        <v/>
      </c>
      <c r="AS364" s="255" t="str">
        <v/>
      </c>
      <c r="AT364" s="256" t="str">
        <v/>
      </c>
      <c r="AU364" s="257" t="str">
        <v/>
      </c>
      <c r="AV364" s="255" t="str">
        <v/>
      </c>
      <c r="AW364" s="256" t="str">
        <v/>
      </c>
      <c r="AX364" s="257" t="str">
        <v/>
      </c>
      <c r="AY364" s="243">
        <v>0</v>
      </c>
      <c r="AZ364" s="244">
        <v>0</v>
      </c>
      <c r="BA364" s="244">
        <v>0</v>
      </c>
      <c r="BB364" s="244">
        <v>0</v>
      </c>
      <c r="BC364" s="244">
        <v>0</v>
      </c>
      <c r="BD364" s="244">
        <v>0</v>
      </c>
      <c r="BE364" s="244">
        <v>0</v>
      </c>
      <c r="BF364" s="244">
        <v>0</v>
      </c>
      <c r="BG364" s="244">
        <v>0</v>
      </c>
      <c r="BH364" s="245">
        <v>0</v>
      </c>
      <c r="BK364">
        <v>306</v>
      </c>
      <c r="BL364" s="281"/>
      <c r="BM364" s="281"/>
      <c r="BN364" s="282"/>
      <c r="BO364" s="282"/>
      <c r="BP364" s="282"/>
      <c r="BQ364" s="283"/>
      <c r="BR364" s="284"/>
      <c r="BS364" s="147"/>
      <c r="BT364" s="285"/>
      <c r="BU364" s="288"/>
      <c r="BV364" s="287"/>
      <c r="BW364" s="288"/>
      <c r="BX364" s="286"/>
      <c r="BY364" s="287"/>
      <c r="BZ364" s="288"/>
      <c r="CA364" s="286"/>
      <c r="CB364" s="286"/>
      <c r="CC364" s="287"/>
      <c r="CD364" s="286"/>
      <c r="CE364" s="286"/>
      <c r="CF364" s="286"/>
      <c r="CG364" s="287"/>
      <c r="CH364" s="288"/>
      <c r="CI364" s="286"/>
      <c r="CJ364" s="286"/>
      <c r="CK364" s="287"/>
      <c r="CL364" s="288"/>
      <c r="CM364" s="286"/>
      <c r="CN364" s="294"/>
      <c r="CO364" s="289"/>
      <c r="CP364" s="290"/>
      <c r="CQ364" s="289"/>
      <c r="CR364" s="290"/>
      <c r="CS364" s="284"/>
      <c r="CT364" s="147"/>
      <c r="CU364" s="291"/>
      <c r="CV364" s="292"/>
    </row>
    <row r="365" spans="2:100">
      <c r="B365">
        <v>307</v>
      </c>
      <c r="C365" s="243" t="str">
        <v/>
      </c>
      <c r="D365" s="592" t="str">
        <v/>
      </c>
      <c r="E365" s="245" t="str">
        <v/>
      </c>
      <c r="F365" s="243" t="str">
        <v/>
      </c>
      <c r="G365" s="245" t="str">
        <v/>
      </c>
      <c r="H365" s="243" t="str">
        <v/>
      </c>
      <c r="I365" s="245" t="str">
        <v/>
      </c>
      <c r="J365" s="242" t="str">
        <v/>
      </c>
      <c r="K365" s="242" t="str">
        <v/>
      </c>
      <c r="L365" s="242" t="str">
        <v/>
      </c>
      <c r="M365" s="243" t="str">
        <v/>
      </c>
      <c r="N365" s="592" t="str">
        <v/>
      </c>
      <c r="O365" s="245" t="str">
        <v/>
      </c>
      <c r="P365" s="245" t="str">
        <v/>
      </c>
      <c r="Q365" s="254" t="str">
        <v/>
      </c>
      <c r="R365" s="255" t="str">
        <v/>
      </c>
      <c r="S365" s="256" t="str">
        <v/>
      </c>
      <c r="T365" s="257" t="str">
        <v/>
      </c>
      <c r="U365" s="255" t="str">
        <v/>
      </c>
      <c r="V365" s="256" t="str">
        <v/>
      </c>
      <c r="W365" s="257" t="str">
        <v/>
      </c>
      <c r="X365" s="255" t="str">
        <v/>
      </c>
      <c r="Y365" s="256" t="str">
        <v/>
      </c>
      <c r="Z365" s="257" t="str">
        <v/>
      </c>
      <c r="AA365" s="255" t="str">
        <v/>
      </c>
      <c r="AB365" s="256" t="str">
        <v/>
      </c>
      <c r="AC365" s="257" t="str">
        <v/>
      </c>
      <c r="AD365" s="255" t="str">
        <v/>
      </c>
      <c r="AE365" s="256" t="str">
        <v/>
      </c>
      <c r="AF365" s="257" t="str">
        <v/>
      </c>
      <c r="AG365" s="255" t="str">
        <v/>
      </c>
      <c r="AH365" s="256" t="str">
        <v/>
      </c>
      <c r="AI365" s="257" t="str">
        <v/>
      </c>
      <c r="AJ365" s="255" t="str">
        <v/>
      </c>
      <c r="AK365" s="256" t="str">
        <v/>
      </c>
      <c r="AL365" s="257" t="str">
        <v/>
      </c>
      <c r="AM365" s="255" t="str">
        <v/>
      </c>
      <c r="AN365" s="256" t="str">
        <v/>
      </c>
      <c r="AO365" s="257" t="str">
        <v/>
      </c>
      <c r="AP365" s="255" t="str">
        <v/>
      </c>
      <c r="AQ365" s="256" t="str">
        <v/>
      </c>
      <c r="AR365" s="257" t="str">
        <v/>
      </c>
      <c r="AS365" s="255" t="str">
        <v/>
      </c>
      <c r="AT365" s="256" t="str">
        <v/>
      </c>
      <c r="AU365" s="257" t="str">
        <v/>
      </c>
      <c r="AV365" s="255" t="str">
        <v/>
      </c>
      <c r="AW365" s="256" t="str">
        <v/>
      </c>
      <c r="AX365" s="257" t="str">
        <v/>
      </c>
      <c r="AY365" s="243">
        <v>0</v>
      </c>
      <c r="AZ365" s="244">
        <v>0</v>
      </c>
      <c r="BA365" s="244">
        <v>0</v>
      </c>
      <c r="BB365" s="244">
        <v>0</v>
      </c>
      <c r="BC365" s="244">
        <v>0</v>
      </c>
      <c r="BD365" s="244">
        <v>0</v>
      </c>
      <c r="BE365" s="244">
        <v>0</v>
      </c>
      <c r="BF365" s="244">
        <v>0</v>
      </c>
      <c r="BG365" s="244">
        <v>0</v>
      </c>
      <c r="BH365" s="245">
        <v>0</v>
      </c>
      <c r="BK365">
        <v>307</v>
      </c>
      <c r="BL365" s="281"/>
      <c r="BM365" s="281"/>
      <c r="BN365" s="282"/>
      <c r="BO365" s="282"/>
      <c r="BP365" s="282"/>
      <c r="BQ365" s="283"/>
      <c r="BR365" s="284"/>
      <c r="BS365" s="147"/>
      <c r="BT365" s="285"/>
      <c r="BU365" s="288"/>
      <c r="BV365" s="287"/>
      <c r="BW365" s="288"/>
      <c r="BX365" s="286"/>
      <c r="BY365" s="287"/>
      <c r="BZ365" s="288"/>
      <c r="CA365" s="286"/>
      <c r="CB365" s="286"/>
      <c r="CC365" s="287"/>
      <c r="CD365" s="286"/>
      <c r="CE365" s="286"/>
      <c r="CF365" s="286"/>
      <c r="CG365" s="287"/>
      <c r="CH365" s="288"/>
      <c r="CI365" s="286"/>
      <c r="CJ365" s="286"/>
      <c r="CK365" s="287"/>
      <c r="CL365" s="288"/>
      <c r="CM365" s="286"/>
      <c r="CN365" s="294"/>
      <c r="CO365" s="289"/>
      <c r="CP365" s="290"/>
      <c r="CQ365" s="289"/>
      <c r="CR365" s="290"/>
      <c r="CS365" s="284"/>
      <c r="CT365" s="147"/>
      <c r="CU365" s="291"/>
      <c r="CV365" s="292"/>
    </row>
    <row r="366" spans="2:100">
      <c r="B366">
        <v>308</v>
      </c>
      <c r="C366" s="243" t="str">
        <v/>
      </c>
      <c r="D366" s="592" t="str">
        <v/>
      </c>
      <c r="E366" s="245" t="str">
        <v/>
      </c>
      <c r="F366" s="243" t="str">
        <v/>
      </c>
      <c r="G366" s="245" t="str">
        <v/>
      </c>
      <c r="H366" s="243" t="str">
        <v/>
      </c>
      <c r="I366" s="245" t="str">
        <v/>
      </c>
      <c r="J366" s="242" t="str">
        <v/>
      </c>
      <c r="K366" s="242" t="str">
        <v/>
      </c>
      <c r="L366" s="242" t="str">
        <v/>
      </c>
      <c r="M366" s="243" t="str">
        <v/>
      </c>
      <c r="N366" s="592" t="str">
        <v/>
      </c>
      <c r="O366" s="245" t="str">
        <v/>
      </c>
      <c r="P366" s="245" t="str">
        <v/>
      </c>
      <c r="Q366" s="254" t="str">
        <v/>
      </c>
      <c r="R366" s="255" t="str">
        <v/>
      </c>
      <c r="S366" s="256" t="str">
        <v/>
      </c>
      <c r="T366" s="257" t="str">
        <v/>
      </c>
      <c r="U366" s="255" t="str">
        <v/>
      </c>
      <c r="V366" s="256" t="str">
        <v/>
      </c>
      <c r="W366" s="257" t="str">
        <v/>
      </c>
      <c r="X366" s="255" t="str">
        <v/>
      </c>
      <c r="Y366" s="256" t="str">
        <v/>
      </c>
      <c r="Z366" s="257" t="str">
        <v/>
      </c>
      <c r="AA366" s="255" t="str">
        <v/>
      </c>
      <c r="AB366" s="256" t="str">
        <v/>
      </c>
      <c r="AC366" s="257" t="str">
        <v/>
      </c>
      <c r="AD366" s="255" t="str">
        <v/>
      </c>
      <c r="AE366" s="256" t="str">
        <v/>
      </c>
      <c r="AF366" s="257" t="str">
        <v/>
      </c>
      <c r="AG366" s="255" t="str">
        <v/>
      </c>
      <c r="AH366" s="256" t="str">
        <v/>
      </c>
      <c r="AI366" s="257" t="str">
        <v/>
      </c>
      <c r="AJ366" s="255" t="str">
        <v/>
      </c>
      <c r="AK366" s="256" t="str">
        <v/>
      </c>
      <c r="AL366" s="257" t="str">
        <v/>
      </c>
      <c r="AM366" s="255" t="str">
        <v/>
      </c>
      <c r="AN366" s="256" t="str">
        <v/>
      </c>
      <c r="AO366" s="257" t="str">
        <v/>
      </c>
      <c r="AP366" s="255" t="str">
        <v/>
      </c>
      <c r="AQ366" s="256" t="str">
        <v/>
      </c>
      <c r="AR366" s="257" t="str">
        <v/>
      </c>
      <c r="AS366" s="255" t="str">
        <v/>
      </c>
      <c r="AT366" s="256" t="str">
        <v/>
      </c>
      <c r="AU366" s="257" t="str">
        <v/>
      </c>
      <c r="AV366" s="255" t="str">
        <v/>
      </c>
      <c r="AW366" s="256" t="str">
        <v/>
      </c>
      <c r="AX366" s="257" t="str">
        <v/>
      </c>
      <c r="AY366" s="243">
        <v>0</v>
      </c>
      <c r="AZ366" s="244">
        <v>0</v>
      </c>
      <c r="BA366" s="244">
        <v>0</v>
      </c>
      <c r="BB366" s="244">
        <v>0</v>
      </c>
      <c r="BC366" s="244">
        <v>0</v>
      </c>
      <c r="BD366" s="244">
        <v>0</v>
      </c>
      <c r="BE366" s="244">
        <v>0</v>
      </c>
      <c r="BF366" s="244">
        <v>0</v>
      </c>
      <c r="BG366" s="244">
        <v>0</v>
      </c>
      <c r="BH366" s="245">
        <v>0</v>
      </c>
      <c r="BK366">
        <v>308</v>
      </c>
      <c r="BL366" s="281"/>
      <c r="BM366" s="281"/>
      <c r="BN366" s="282"/>
      <c r="BO366" s="282"/>
      <c r="BP366" s="282"/>
      <c r="BQ366" s="283"/>
      <c r="BR366" s="284"/>
      <c r="BS366" s="147"/>
      <c r="BT366" s="285"/>
      <c r="BU366" s="288"/>
      <c r="BV366" s="287"/>
      <c r="BW366" s="288"/>
      <c r="BX366" s="286"/>
      <c r="BY366" s="287"/>
      <c r="BZ366" s="288"/>
      <c r="CA366" s="286"/>
      <c r="CB366" s="286"/>
      <c r="CC366" s="287"/>
      <c r="CD366" s="286"/>
      <c r="CE366" s="286"/>
      <c r="CF366" s="286"/>
      <c r="CG366" s="287"/>
      <c r="CH366" s="288"/>
      <c r="CI366" s="286"/>
      <c r="CJ366" s="286"/>
      <c r="CK366" s="287"/>
      <c r="CL366" s="288"/>
      <c r="CM366" s="286"/>
      <c r="CN366" s="294"/>
      <c r="CO366" s="289"/>
      <c r="CP366" s="290"/>
      <c r="CQ366" s="289"/>
      <c r="CR366" s="290"/>
      <c r="CS366" s="284"/>
      <c r="CT366" s="147"/>
      <c r="CU366" s="291"/>
      <c r="CV366" s="292"/>
    </row>
    <row r="367" spans="2:100">
      <c r="B367">
        <v>309</v>
      </c>
      <c r="C367" s="243" t="str">
        <v/>
      </c>
      <c r="D367" s="592" t="str">
        <v/>
      </c>
      <c r="E367" s="245" t="str">
        <v/>
      </c>
      <c r="F367" s="243" t="str">
        <v/>
      </c>
      <c r="G367" s="245" t="str">
        <v/>
      </c>
      <c r="H367" s="243" t="str">
        <v/>
      </c>
      <c r="I367" s="245" t="str">
        <v/>
      </c>
      <c r="J367" s="242" t="str">
        <v/>
      </c>
      <c r="K367" s="242" t="str">
        <v/>
      </c>
      <c r="L367" s="242" t="str">
        <v/>
      </c>
      <c r="M367" s="243" t="str">
        <v/>
      </c>
      <c r="N367" s="592" t="str">
        <v/>
      </c>
      <c r="O367" s="245" t="str">
        <v/>
      </c>
      <c r="P367" s="245" t="str">
        <v/>
      </c>
      <c r="Q367" s="254" t="str">
        <v/>
      </c>
      <c r="R367" s="255" t="str">
        <v/>
      </c>
      <c r="S367" s="256" t="str">
        <v/>
      </c>
      <c r="T367" s="257" t="str">
        <v/>
      </c>
      <c r="U367" s="255" t="str">
        <v/>
      </c>
      <c r="V367" s="256" t="str">
        <v/>
      </c>
      <c r="W367" s="257" t="str">
        <v/>
      </c>
      <c r="X367" s="255" t="str">
        <v/>
      </c>
      <c r="Y367" s="256" t="str">
        <v/>
      </c>
      <c r="Z367" s="257" t="str">
        <v/>
      </c>
      <c r="AA367" s="255" t="str">
        <v/>
      </c>
      <c r="AB367" s="256" t="str">
        <v/>
      </c>
      <c r="AC367" s="257" t="str">
        <v/>
      </c>
      <c r="AD367" s="255" t="str">
        <v/>
      </c>
      <c r="AE367" s="256" t="str">
        <v/>
      </c>
      <c r="AF367" s="257" t="str">
        <v/>
      </c>
      <c r="AG367" s="255" t="str">
        <v/>
      </c>
      <c r="AH367" s="256" t="str">
        <v/>
      </c>
      <c r="AI367" s="257" t="str">
        <v/>
      </c>
      <c r="AJ367" s="255" t="str">
        <v/>
      </c>
      <c r="AK367" s="256" t="str">
        <v/>
      </c>
      <c r="AL367" s="257" t="str">
        <v/>
      </c>
      <c r="AM367" s="255" t="str">
        <v/>
      </c>
      <c r="AN367" s="256" t="str">
        <v/>
      </c>
      <c r="AO367" s="257" t="str">
        <v/>
      </c>
      <c r="AP367" s="255" t="str">
        <v/>
      </c>
      <c r="AQ367" s="256" t="str">
        <v/>
      </c>
      <c r="AR367" s="257" t="str">
        <v/>
      </c>
      <c r="AS367" s="255" t="str">
        <v/>
      </c>
      <c r="AT367" s="256" t="str">
        <v/>
      </c>
      <c r="AU367" s="257" t="str">
        <v/>
      </c>
      <c r="AV367" s="255" t="str">
        <v/>
      </c>
      <c r="AW367" s="256" t="str">
        <v/>
      </c>
      <c r="AX367" s="257" t="str">
        <v/>
      </c>
      <c r="AY367" s="243">
        <v>0</v>
      </c>
      <c r="AZ367" s="244">
        <v>0</v>
      </c>
      <c r="BA367" s="244">
        <v>0</v>
      </c>
      <c r="BB367" s="244">
        <v>0</v>
      </c>
      <c r="BC367" s="244">
        <v>0</v>
      </c>
      <c r="BD367" s="244">
        <v>0</v>
      </c>
      <c r="BE367" s="244">
        <v>0</v>
      </c>
      <c r="BF367" s="244">
        <v>0</v>
      </c>
      <c r="BG367" s="244">
        <v>0</v>
      </c>
      <c r="BH367" s="245">
        <v>0</v>
      </c>
      <c r="BK367">
        <v>309</v>
      </c>
      <c r="BL367" s="281"/>
      <c r="BM367" s="281"/>
      <c r="BN367" s="282"/>
      <c r="BO367" s="282"/>
      <c r="BP367" s="282"/>
      <c r="BQ367" s="283"/>
      <c r="BR367" s="284"/>
      <c r="BS367" s="147"/>
      <c r="BT367" s="285"/>
      <c r="BU367" s="288"/>
      <c r="BV367" s="287"/>
      <c r="BW367" s="288"/>
      <c r="BX367" s="286"/>
      <c r="BY367" s="287"/>
      <c r="BZ367" s="288"/>
      <c r="CA367" s="286"/>
      <c r="CB367" s="286"/>
      <c r="CC367" s="287"/>
      <c r="CD367" s="286"/>
      <c r="CE367" s="286"/>
      <c r="CF367" s="286"/>
      <c r="CG367" s="287"/>
      <c r="CH367" s="288"/>
      <c r="CI367" s="286"/>
      <c r="CJ367" s="286"/>
      <c r="CK367" s="287"/>
      <c r="CL367" s="288"/>
      <c r="CM367" s="286"/>
      <c r="CN367" s="294"/>
      <c r="CO367" s="289"/>
      <c r="CP367" s="290"/>
      <c r="CQ367" s="289"/>
      <c r="CR367" s="290"/>
      <c r="CS367" s="284"/>
      <c r="CT367" s="147"/>
      <c r="CU367" s="291"/>
      <c r="CV367" s="292"/>
    </row>
    <row r="368" spans="2:100">
      <c r="B368">
        <v>310</v>
      </c>
      <c r="C368" s="243" t="str">
        <v/>
      </c>
      <c r="D368" s="592" t="str">
        <v/>
      </c>
      <c r="E368" s="245" t="str">
        <v/>
      </c>
      <c r="F368" s="243" t="str">
        <v/>
      </c>
      <c r="G368" s="245" t="str">
        <v/>
      </c>
      <c r="H368" s="243" t="str">
        <v/>
      </c>
      <c r="I368" s="245" t="str">
        <v/>
      </c>
      <c r="J368" s="242" t="str">
        <v/>
      </c>
      <c r="K368" s="242" t="str">
        <v/>
      </c>
      <c r="L368" s="242" t="str">
        <v/>
      </c>
      <c r="M368" s="243" t="str">
        <v/>
      </c>
      <c r="N368" s="592" t="str">
        <v/>
      </c>
      <c r="O368" s="245" t="str">
        <v/>
      </c>
      <c r="P368" s="245" t="str">
        <v/>
      </c>
      <c r="Q368" s="254" t="str">
        <v/>
      </c>
      <c r="R368" s="255" t="str">
        <v/>
      </c>
      <c r="S368" s="256" t="str">
        <v/>
      </c>
      <c r="T368" s="257" t="str">
        <v/>
      </c>
      <c r="U368" s="255" t="str">
        <v/>
      </c>
      <c r="V368" s="256" t="str">
        <v/>
      </c>
      <c r="W368" s="257" t="str">
        <v/>
      </c>
      <c r="X368" s="255" t="str">
        <v/>
      </c>
      <c r="Y368" s="256" t="str">
        <v/>
      </c>
      <c r="Z368" s="257" t="str">
        <v/>
      </c>
      <c r="AA368" s="255" t="str">
        <v/>
      </c>
      <c r="AB368" s="256" t="str">
        <v/>
      </c>
      <c r="AC368" s="257" t="str">
        <v/>
      </c>
      <c r="AD368" s="255" t="str">
        <v/>
      </c>
      <c r="AE368" s="256" t="str">
        <v/>
      </c>
      <c r="AF368" s="257" t="str">
        <v/>
      </c>
      <c r="AG368" s="255" t="str">
        <v/>
      </c>
      <c r="AH368" s="256" t="str">
        <v/>
      </c>
      <c r="AI368" s="257" t="str">
        <v/>
      </c>
      <c r="AJ368" s="255" t="str">
        <v/>
      </c>
      <c r="AK368" s="256" t="str">
        <v/>
      </c>
      <c r="AL368" s="257" t="str">
        <v/>
      </c>
      <c r="AM368" s="255" t="str">
        <v/>
      </c>
      <c r="AN368" s="256" t="str">
        <v/>
      </c>
      <c r="AO368" s="257" t="str">
        <v/>
      </c>
      <c r="AP368" s="255" t="str">
        <v/>
      </c>
      <c r="AQ368" s="256" t="str">
        <v/>
      </c>
      <c r="AR368" s="257" t="str">
        <v/>
      </c>
      <c r="AS368" s="255" t="str">
        <v/>
      </c>
      <c r="AT368" s="256" t="str">
        <v/>
      </c>
      <c r="AU368" s="257" t="str">
        <v/>
      </c>
      <c r="AV368" s="255" t="str">
        <v/>
      </c>
      <c r="AW368" s="256" t="str">
        <v/>
      </c>
      <c r="AX368" s="257" t="str">
        <v/>
      </c>
      <c r="AY368" s="243">
        <v>0</v>
      </c>
      <c r="AZ368" s="244">
        <v>0</v>
      </c>
      <c r="BA368" s="244">
        <v>0</v>
      </c>
      <c r="BB368" s="244">
        <v>0</v>
      </c>
      <c r="BC368" s="244">
        <v>0</v>
      </c>
      <c r="BD368" s="244">
        <v>0</v>
      </c>
      <c r="BE368" s="244">
        <v>0</v>
      </c>
      <c r="BF368" s="244">
        <v>0</v>
      </c>
      <c r="BG368" s="244">
        <v>0</v>
      </c>
      <c r="BH368" s="245">
        <v>0</v>
      </c>
      <c r="BK368">
        <v>310</v>
      </c>
      <c r="BL368" s="281"/>
      <c r="BM368" s="281"/>
      <c r="BN368" s="282"/>
      <c r="BO368" s="282"/>
      <c r="BP368" s="282"/>
      <c r="BQ368" s="283"/>
      <c r="BR368" s="284"/>
      <c r="BS368" s="147"/>
      <c r="BT368" s="285"/>
      <c r="BU368" s="288"/>
      <c r="BV368" s="287"/>
      <c r="BW368" s="288"/>
      <c r="BX368" s="286"/>
      <c r="BY368" s="287"/>
      <c r="BZ368" s="288"/>
      <c r="CA368" s="286"/>
      <c r="CB368" s="286"/>
      <c r="CC368" s="287"/>
      <c r="CD368" s="286"/>
      <c r="CE368" s="286"/>
      <c r="CF368" s="286"/>
      <c r="CG368" s="287"/>
      <c r="CH368" s="288"/>
      <c r="CI368" s="286"/>
      <c r="CJ368" s="286"/>
      <c r="CK368" s="287"/>
      <c r="CL368" s="288"/>
      <c r="CM368" s="286"/>
      <c r="CN368" s="294"/>
      <c r="CO368" s="289"/>
      <c r="CP368" s="290"/>
      <c r="CQ368" s="289"/>
      <c r="CR368" s="290"/>
      <c r="CS368" s="284"/>
      <c r="CT368" s="147"/>
      <c r="CU368" s="291"/>
      <c r="CV368" s="292"/>
    </row>
    <row r="369" spans="2:100">
      <c r="B369">
        <v>311</v>
      </c>
      <c r="C369" s="243" t="str">
        <v/>
      </c>
      <c r="D369" s="592" t="str">
        <v/>
      </c>
      <c r="E369" s="245" t="str">
        <v/>
      </c>
      <c r="F369" s="243" t="str">
        <v/>
      </c>
      <c r="G369" s="245" t="str">
        <v/>
      </c>
      <c r="H369" s="243" t="str">
        <v/>
      </c>
      <c r="I369" s="245" t="str">
        <v/>
      </c>
      <c r="J369" s="242" t="str">
        <v/>
      </c>
      <c r="K369" s="242" t="str">
        <v/>
      </c>
      <c r="L369" s="242" t="str">
        <v/>
      </c>
      <c r="M369" s="243" t="str">
        <v/>
      </c>
      <c r="N369" s="592" t="str">
        <v/>
      </c>
      <c r="O369" s="245" t="str">
        <v/>
      </c>
      <c r="P369" s="245" t="str">
        <v/>
      </c>
      <c r="Q369" s="254" t="str">
        <v/>
      </c>
      <c r="R369" s="255" t="str">
        <v/>
      </c>
      <c r="S369" s="256" t="str">
        <v/>
      </c>
      <c r="T369" s="257" t="str">
        <v/>
      </c>
      <c r="U369" s="255" t="str">
        <v/>
      </c>
      <c r="V369" s="256" t="str">
        <v/>
      </c>
      <c r="W369" s="257" t="str">
        <v/>
      </c>
      <c r="X369" s="255" t="str">
        <v/>
      </c>
      <c r="Y369" s="256" t="str">
        <v/>
      </c>
      <c r="Z369" s="257" t="str">
        <v/>
      </c>
      <c r="AA369" s="255" t="str">
        <v/>
      </c>
      <c r="AB369" s="256" t="str">
        <v/>
      </c>
      <c r="AC369" s="257" t="str">
        <v/>
      </c>
      <c r="AD369" s="255" t="str">
        <v/>
      </c>
      <c r="AE369" s="256" t="str">
        <v/>
      </c>
      <c r="AF369" s="257" t="str">
        <v/>
      </c>
      <c r="AG369" s="255" t="str">
        <v/>
      </c>
      <c r="AH369" s="256" t="str">
        <v/>
      </c>
      <c r="AI369" s="257" t="str">
        <v/>
      </c>
      <c r="AJ369" s="255" t="str">
        <v/>
      </c>
      <c r="AK369" s="256" t="str">
        <v/>
      </c>
      <c r="AL369" s="257" t="str">
        <v/>
      </c>
      <c r="AM369" s="255" t="str">
        <v/>
      </c>
      <c r="AN369" s="256" t="str">
        <v/>
      </c>
      <c r="AO369" s="257" t="str">
        <v/>
      </c>
      <c r="AP369" s="255" t="str">
        <v/>
      </c>
      <c r="AQ369" s="256" t="str">
        <v/>
      </c>
      <c r="AR369" s="257" t="str">
        <v/>
      </c>
      <c r="AS369" s="255" t="str">
        <v/>
      </c>
      <c r="AT369" s="256" t="str">
        <v/>
      </c>
      <c r="AU369" s="257" t="str">
        <v/>
      </c>
      <c r="AV369" s="255" t="str">
        <v/>
      </c>
      <c r="AW369" s="256" t="str">
        <v/>
      </c>
      <c r="AX369" s="257" t="str">
        <v/>
      </c>
      <c r="AY369" s="243">
        <v>0</v>
      </c>
      <c r="AZ369" s="244">
        <v>0</v>
      </c>
      <c r="BA369" s="244">
        <v>0</v>
      </c>
      <c r="BB369" s="244">
        <v>0</v>
      </c>
      <c r="BC369" s="244">
        <v>0</v>
      </c>
      <c r="BD369" s="244">
        <v>0</v>
      </c>
      <c r="BE369" s="244">
        <v>0</v>
      </c>
      <c r="BF369" s="244">
        <v>0</v>
      </c>
      <c r="BG369" s="244">
        <v>0</v>
      </c>
      <c r="BH369" s="245">
        <v>0</v>
      </c>
      <c r="BK369">
        <v>311</v>
      </c>
      <c r="BL369" s="281"/>
      <c r="BM369" s="281"/>
      <c r="BN369" s="282"/>
      <c r="BO369" s="282"/>
      <c r="BP369" s="282"/>
      <c r="BQ369" s="283"/>
      <c r="BR369" s="284"/>
      <c r="BS369" s="147"/>
      <c r="BT369" s="285"/>
      <c r="BU369" s="288"/>
      <c r="BV369" s="287"/>
      <c r="BW369" s="288"/>
      <c r="BX369" s="286"/>
      <c r="BY369" s="287"/>
      <c r="BZ369" s="288"/>
      <c r="CA369" s="286"/>
      <c r="CB369" s="286"/>
      <c r="CC369" s="287"/>
      <c r="CD369" s="286"/>
      <c r="CE369" s="286"/>
      <c r="CF369" s="286"/>
      <c r="CG369" s="287"/>
      <c r="CH369" s="288"/>
      <c r="CI369" s="286"/>
      <c r="CJ369" s="286"/>
      <c r="CK369" s="287"/>
      <c r="CL369" s="288"/>
      <c r="CM369" s="286"/>
      <c r="CN369" s="294"/>
      <c r="CO369" s="289"/>
      <c r="CP369" s="290"/>
      <c r="CQ369" s="289"/>
      <c r="CR369" s="290"/>
      <c r="CS369" s="284"/>
      <c r="CT369" s="147"/>
      <c r="CU369" s="291"/>
      <c r="CV369" s="292"/>
    </row>
    <row r="370" spans="2:100">
      <c r="B370">
        <v>312</v>
      </c>
      <c r="C370" s="243" t="str">
        <v/>
      </c>
      <c r="D370" s="592" t="str">
        <v/>
      </c>
      <c r="E370" s="245" t="str">
        <v/>
      </c>
      <c r="F370" s="243" t="str">
        <v/>
      </c>
      <c r="G370" s="245" t="str">
        <v/>
      </c>
      <c r="H370" s="243" t="str">
        <v/>
      </c>
      <c r="I370" s="245" t="str">
        <v/>
      </c>
      <c r="J370" s="242" t="str">
        <v/>
      </c>
      <c r="K370" s="242" t="str">
        <v/>
      </c>
      <c r="L370" s="242" t="str">
        <v/>
      </c>
      <c r="M370" s="243" t="str">
        <v/>
      </c>
      <c r="N370" s="592" t="str">
        <v/>
      </c>
      <c r="O370" s="245" t="str">
        <v/>
      </c>
      <c r="P370" s="245" t="str">
        <v/>
      </c>
      <c r="Q370" s="254" t="str">
        <v/>
      </c>
      <c r="R370" s="255" t="str">
        <v/>
      </c>
      <c r="S370" s="256" t="str">
        <v/>
      </c>
      <c r="T370" s="257" t="str">
        <v/>
      </c>
      <c r="U370" s="255" t="str">
        <v/>
      </c>
      <c r="V370" s="256" t="str">
        <v/>
      </c>
      <c r="W370" s="257" t="str">
        <v/>
      </c>
      <c r="X370" s="255" t="str">
        <v/>
      </c>
      <c r="Y370" s="256" t="str">
        <v/>
      </c>
      <c r="Z370" s="257" t="str">
        <v/>
      </c>
      <c r="AA370" s="255" t="str">
        <v/>
      </c>
      <c r="AB370" s="256" t="str">
        <v/>
      </c>
      <c r="AC370" s="257" t="str">
        <v/>
      </c>
      <c r="AD370" s="255" t="str">
        <v/>
      </c>
      <c r="AE370" s="256" t="str">
        <v/>
      </c>
      <c r="AF370" s="257" t="str">
        <v/>
      </c>
      <c r="AG370" s="255" t="str">
        <v/>
      </c>
      <c r="AH370" s="256" t="str">
        <v/>
      </c>
      <c r="AI370" s="257" t="str">
        <v/>
      </c>
      <c r="AJ370" s="255" t="str">
        <v/>
      </c>
      <c r="AK370" s="256" t="str">
        <v/>
      </c>
      <c r="AL370" s="257" t="str">
        <v/>
      </c>
      <c r="AM370" s="255" t="str">
        <v/>
      </c>
      <c r="AN370" s="256" t="str">
        <v/>
      </c>
      <c r="AO370" s="257" t="str">
        <v/>
      </c>
      <c r="AP370" s="255" t="str">
        <v/>
      </c>
      <c r="AQ370" s="256" t="str">
        <v/>
      </c>
      <c r="AR370" s="257" t="str">
        <v/>
      </c>
      <c r="AS370" s="255" t="str">
        <v/>
      </c>
      <c r="AT370" s="256" t="str">
        <v/>
      </c>
      <c r="AU370" s="257" t="str">
        <v/>
      </c>
      <c r="AV370" s="255" t="str">
        <v/>
      </c>
      <c r="AW370" s="256" t="str">
        <v/>
      </c>
      <c r="AX370" s="257" t="str">
        <v/>
      </c>
      <c r="AY370" s="243">
        <v>0</v>
      </c>
      <c r="AZ370" s="244">
        <v>0</v>
      </c>
      <c r="BA370" s="244">
        <v>0</v>
      </c>
      <c r="BB370" s="244">
        <v>0</v>
      </c>
      <c r="BC370" s="244">
        <v>0</v>
      </c>
      <c r="BD370" s="244">
        <v>0</v>
      </c>
      <c r="BE370" s="244">
        <v>0</v>
      </c>
      <c r="BF370" s="244">
        <v>0</v>
      </c>
      <c r="BG370" s="244">
        <v>0</v>
      </c>
      <c r="BH370" s="245">
        <v>0</v>
      </c>
      <c r="BK370">
        <v>312</v>
      </c>
      <c r="BL370" s="281"/>
      <c r="BM370" s="281"/>
      <c r="BN370" s="282"/>
      <c r="BO370" s="282"/>
      <c r="BP370" s="282"/>
      <c r="BQ370" s="283"/>
      <c r="BR370" s="284"/>
      <c r="BS370" s="147"/>
      <c r="BT370" s="285"/>
      <c r="BU370" s="288"/>
      <c r="BV370" s="287"/>
      <c r="BW370" s="288"/>
      <c r="BX370" s="286"/>
      <c r="BY370" s="287"/>
      <c r="BZ370" s="288"/>
      <c r="CA370" s="286"/>
      <c r="CB370" s="286"/>
      <c r="CC370" s="287"/>
      <c r="CD370" s="286"/>
      <c r="CE370" s="286"/>
      <c r="CF370" s="286"/>
      <c r="CG370" s="287"/>
      <c r="CH370" s="288"/>
      <c r="CI370" s="286"/>
      <c r="CJ370" s="286"/>
      <c r="CK370" s="287"/>
      <c r="CL370" s="288"/>
      <c r="CM370" s="286"/>
      <c r="CN370" s="294"/>
      <c r="CO370" s="289"/>
      <c r="CP370" s="290"/>
      <c r="CQ370" s="289"/>
      <c r="CR370" s="290"/>
      <c r="CS370" s="284"/>
      <c r="CT370" s="147"/>
      <c r="CU370" s="291"/>
      <c r="CV370" s="292"/>
    </row>
    <row r="371" spans="2:100">
      <c r="B371">
        <v>313</v>
      </c>
      <c r="C371" s="243" t="str">
        <v/>
      </c>
      <c r="D371" s="592" t="str">
        <v/>
      </c>
      <c r="E371" s="245" t="str">
        <v/>
      </c>
      <c r="F371" s="243" t="str">
        <v/>
      </c>
      <c r="G371" s="245" t="str">
        <v/>
      </c>
      <c r="H371" s="243" t="str">
        <v/>
      </c>
      <c r="I371" s="245" t="str">
        <v/>
      </c>
      <c r="J371" s="242" t="str">
        <v/>
      </c>
      <c r="K371" s="242" t="str">
        <v/>
      </c>
      <c r="L371" s="242" t="str">
        <v/>
      </c>
      <c r="M371" s="243" t="str">
        <v/>
      </c>
      <c r="N371" s="592" t="str">
        <v/>
      </c>
      <c r="O371" s="245" t="str">
        <v/>
      </c>
      <c r="P371" s="245" t="str">
        <v/>
      </c>
      <c r="Q371" s="254" t="str">
        <v/>
      </c>
      <c r="R371" s="255" t="str">
        <v/>
      </c>
      <c r="S371" s="256" t="str">
        <v/>
      </c>
      <c r="T371" s="257" t="str">
        <v/>
      </c>
      <c r="U371" s="255" t="str">
        <v/>
      </c>
      <c r="V371" s="256" t="str">
        <v/>
      </c>
      <c r="W371" s="257" t="str">
        <v/>
      </c>
      <c r="X371" s="255" t="str">
        <v/>
      </c>
      <c r="Y371" s="256" t="str">
        <v/>
      </c>
      <c r="Z371" s="257" t="str">
        <v/>
      </c>
      <c r="AA371" s="255" t="str">
        <v/>
      </c>
      <c r="AB371" s="256" t="str">
        <v/>
      </c>
      <c r="AC371" s="257" t="str">
        <v/>
      </c>
      <c r="AD371" s="255" t="str">
        <v/>
      </c>
      <c r="AE371" s="256" t="str">
        <v/>
      </c>
      <c r="AF371" s="257" t="str">
        <v/>
      </c>
      <c r="AG371" s="255" t="str">
        <v/>
      </c>
      <c r="AH371" s="256" t="str">
        <v/>
      </c>
      <c r="AI371" s="257" t="str">
        <v/>
      </c>
      <c r="AJ371" s="255" t="str">
        <v/>
      </c>
      <c r="AK371" s="256" t="str">
        <v/>
      </c>
      <c r="AL371" s="257" t="str">
        <v/>
      </c>
      <c r="AM371" s="255" t="str">
        <v/>
      </c>
      <c r="AN371" s="256" t="str">
        <v/>
      </c>
      <c r="AO371" s="257" t="str">
        <v/>
      </c>
      <c r="AP371" s="255" t="str">
        <v/>
      </c>
      <c r="AQ371" s="256" t="str">
        <v/>
      </c>
      <c r="AR371" s="257" t="str">
        <v/>
      </c>
      <c r="AS371" s="255" t="str">
        <v/>
      </c>
      <c r="AT371" s="256" t="str">
        <v/>
      </c>
      <c r="AU371" s="257" t="str">
        <v/>
      </c>
      <c r="AV371" s="255" t="str">
        <v/>
      </c>
      <c r="AW371" s="256" t="str">
        <v/>
      </c>
      <c r="AX371" s="257" t="str">
        <v/>
      </c>
      <c r="AY371" s="243">
        <v>0</v>
      </c>
      <c r="AZ371" s="244">
        <v>0</v>
      </c>
      <c r="BA371" s="244">
        <v>0</v>
      </c>
      <c r="BB371" s="244">
        <v>0</v>
      </c>
      <c r="BC371" s="244">
        <v>0</v>
      </c>
      <c r="BD371" s="244">
        <v>0</v>
      </c>
      <c r="BE371" s="244">
        <v>0</v>
      </c>
      <c r="BF371" s="244">
        <v>0</v>
      </c>
      <c r="BG371" s="244">
        <v>0</v>
      </c>
      <c r="BH371" s="245">
        <v>0</v>
      </c>
      <c r="BK371">
        <v>313</v>
      </c>
      <c r="BL371" s="281"/>
      <c r="BM371" s="281"/>
      <c r="BN371" s="282"/>
      <c r="BO371" s="282"/>
      <c r="BP371" s="282"/>
      <c r="BQ371" s="283"/>
      <c r="BR371" s="284"/>
      <c r="BS371" s="147"/>
      <c r="BT371" s="285"/>
      <c r="BU371" s="288"/>
      <c r="BV371" s="287"/>
      <c r="BW371" s="288"/>
      <c r="BX371" s="286"/>
      <c r="BY371" s="287"/>
      <c r="BZ371" s="288"/>
      <c r="CA371" s="286"/>
      <c r="CB371" s="286"/>
      <c r="CC371" s="287"/>
      <c r="CD371" s="286"/>
      <c r="CE371" s="286"/>
      <c r="CF371" s="286"/>
      <c r="CG371" s="287"/>
      <c r="CH371" s="288"/>
      <c r="CI371" s="286"/>
      <c r="CJ371" s="286"/>
      <c r="CK371" s="287"/>
      <c r="CL371" s="288"/>
      <c r="CM371" s="286"/>
      <c r="CN371" s="294"/>
      <c r="CO371" s="289"/>
      <c r="CP371" s="290"/>
      <c r="CQ371" s="289"/>
      <c r="CR371" s="290"/>
      <c r="CS371" s="284"/>
      <c r="CT371" s="147"/>
      <c r="CU371" s="291"/>
      <c r="CV371" s="292"/>
    </row>
    <row r="372" spans="2:100">
      <c r="B372">
        <v>314</v>
      </c>
      <c r="C372" s="243" t="str">
        <v/>
      </c>
      <c r="D372" s="592" t="str">
        <v/>
      </c>
      <c r="E372" s="245" t="str">
        <v/>
      </c>
      <c r="F372" s="243" t="str">
        <v/>
      </c>
      <c r="G372" s="245" t="str">
        <v/>
      </c>
      <c r="H372" s="243" t="str">
        <v/>
      </c>
      <c r="I372" s="245" t="str">
        <v/>
      </c>
      <c r="J372" s="242" t="str">
        <v/>
      </c>
      <c r="K372" s="242" t="str">
        <v/>
      </c>
      <c r="L372" s="242" t="str">
        <v/>
      </c>
      <c r="M372" s="243" t="str">
        <v/>
      </c>
      <c r="N372" s="592" t="str">
        <v/>
      </c>
      <c r="O372" s="245" t="str">
        <v/>
      </c>
      <c r="P372" s="245" t="str">
        <v/>
      </c>
      <c r="Q372" s="254" t="str">
        <v/>
      </c>
      <c r="R372" s="255" t="str">
        <v/>
      </c>
      <c r="S372" s="256" t="str">
        <v/>
      </c>
      <c r="T372" s="257" t="str">
        <v/>
      </c>
      <c r="U372" s="255" t="str">
        <v/>
      </c>
      <c r="V372" s="256" t="str">
        <v/>
      </c>
      <c r="W372" s="257" t="str">
        <v/>
      </c>
      <c r="X372" s="255" t="str">
        <v/>
      </c>
      <c r="Y372" s="256" t="str">
        <v/>
      </c>
      <c r="Z372" s="257" t="str">
        <v/>
      </c>
      <c r="AA372" s="255" t="str">
        <v/>
      </c>
      <c r="AB372" s="256" t="str">
        <v/>
      </c>
      <c r="AC372" s="257" t="str">
        <v/>
      </c>
      <c r="AD372" s="255" t="str">
        <v/>
      </c>
      <c r="AE372" s="256" t="str">
        <v/>
      </c>
      <c r="AF372" s="257" t="str">
        <v/>
      </c>
      <c r="AG372" s="255" t="str">
        <v/>
      </c>
      <c r="AH372" s="256" t="str">
        <v/>
      </c>
      <c r="AI372" s="257" t="str">
        <v/>
      </c>
      <c r="AJ372" s="255" t="str">
        <v/>
      </c>
      <c r="AK372" s="256" t="str">
        <v/>
      </c>
      <c r="AL372" s="257" t="str">
        <v/>
      </c>
      <c r="AM372" s="255" t="str">
        <v/>
      </c>
      <c r="AN372" s="256" t="str">
        <v/>
      </c>
      <c r="AO372" s="257" t="str">
        <v/>
      </c>
      <c r="AP372" s="255" t="str">
        <v/>
      </c>
      <c r="AQ372" s="256" t="str">
        <v/>
      </c>
      <c r="AR372" s="257" t="str">
        <v/>
      </c>
      <c r="AS372" s="255" t="str">
        <v/>
      </c>
      <c r="AT372" s="256" t="str">
        <v/>
      </c>
      <c r="AU372" s="257" t="str">
        <v/>
      </c>
      <c r="AV372" s="255" t="str">
        <v/>
      </c>
      <c r="AW372" s="256" t="str">
        <v/>
      </c>
      <c r="AX372" s="257" t="str">
        <v/>
      </c>
      <c r="AY372" s="243">
        <v>0</v>
      </c>
      <c r="AZ372" s="244">
        <v>0</v>
      </c>
      <c r="BA372" s="244">
        <v>0</v>
      </c>
      <c r="BB372" s="244">
        <v>0</v>
      </c>
      <c r="BC372" s="244">
        <v>0</v>
      </c>
      <c r="BD372" s="244">
        <v>0</v>
      </c>
      <c r="BE372" s="244">
        <v>0</v>
      </c>
      <c r="BF372" s="244">
        <v>0</v>
      </c>
      <c r="BG372" s="244">
        <v>0</v>
      </c>
      <c r="BH372" s="245">
        <v>0</v>
      </c>
      <c r="BK372">
        <v>314</v>
      </c>
      <c r="BL372" s="281"/>
      <c r="BM372" s="281"/>
      <c r="BN372" s="282"/>
      <c r="BO372" s="282"/>
      <c r="BP372" s="282"/>
      <c r="BQ372" s="283"/>
      <c r="BR372" s="284"/>
      <c r="BS372" s="147"/>
      <c r="BT372" s="285"/>
      <c r="BU372" s="288"/>
      <c r="BV372" s="287"/>
      <c r="BW372" s="288"/>
      <c r="BX372" s="286"/>
      <c r="BY372" s="287"/>
      <c r="BZ372" s="288"/>
      <c r="CA372" s="286"/>
      <c r="CB372" s="286"/>
      <c r="CC372" s="287"/>
      <c r="CD372" s="286"/>
      <c r="CE372" s="286"/>
      <c r="CF372" s="286"/>
      <c r="CG372" s="287"/>
      <c r="CH372" s="288"/>
      <c r="CI372" s="286"/>
      <c r="CJ372" s="286"/>
      <c r="CK372" s="287"/>
      <c r="CL372" s="288"/>
      <c r="CM372" s="286"/>
      <c r="CN372" s="294"/>
      <c r="CO372" s="289"/>
      <c r="CP372" s="290"/>
      <c r="CQ372" s="289"/>
      <c r="CR372" s="290"/>
      <c r="CS372" s="284"/>
      <c r="CT372" s="147"/>
      <c r="CU372" s="291"/>
      <c r="CV372" s="292"/>
    </row>
    <row r="373" spans="2:100">
      <c r="B373">
        <v>315</v>
      </c>
      <c r="C373" s="243" t="str">
        <v/>
      </c>
      <c r="D373" s="592" t="str">
        <v/>
      </c>
      <c r="E373" s="245" t="str">
        <v/>
      </c>
      <c r="F373" s="243" t="str">
        <v/>
      </c>
      <c r="G373" s="245" t="str">
        <v/>
      </c>
      <c r="H373" s="243" t="str">
        <v/>
      </c>
      <c r="I373" s="245" t="str">
        <v/>
      </c>
      <c r="J373" s="242" t="str">
        <v/>
      </c>
      <c r="K373" s="242" t="str">
        <v/>
      </c>
      <c r="L373" s="242" t="str">
        <v/>
      </c>
      <c r="M373" s="243" t="str">
        <v/>
      </c>
      <c r="N373" s="592" t="str">
        <v/>
      </c>
      <c r="O373" s="245" t="str">
        <v/>
      </c>
      <c r="P373" s="245" t="str">
        <v/>
      </c>
      <c r="Q373" s="254" t="str">
        <v/>
      </c>
      <c r="R373" s="255" t="str">
        <v/>
      </c>
      <c r="S373" s="256" t="str">
        <v/>
      </c>
      <c r="T373" s="257" t="str">
        <v/>
      </c>
      <c r="U373" s="255" t="str">
        <v/>
      </c>
      <c r="V373" s="256" t="str">
        <v/>
      </c>
      <c r="W373" s="257" t="str">
        <v/>
      </c>
      <c r="X373" s="255" t="str">
        <v/>
      </c>
      <c r="Y373" s="256" t="str">
        <v/>
      </c>
      <c r="Z373" s="257" t="str">
        <v/>
      </c>
      <c r="AA373" s="255" t="str">
        <v/>
      </c>
      <c r="AB373" s="256" t="str">
        <v/>
      </c>
      <c r="AC373" s="257" t="str">
        <v/>
      </c>
      <c r="AD373" s="255" t="str">
        <v/>
      </c>
      <c r="AE373" s="256" t="str">
        <v/>
      </c>
      <c r="AF373" s="257" t="str">
        <v/>
      </c>
      <c r="AG373" s="255" t="str">
        <v/>
      </c>
      <c r="AH373" s="256" t="str">
        <v/>
      </c>
      <c r="AI373" s="257" t="str">
        <v/>
      </c>
      <c r="AJ373" s="255" t="str">
        <v/>
      </c>
      <c r="AK373" s="256" t="str">
        <v/>
      </c>
      <c r="AL373" s="257" t="str">
        <v/>
      </c>
      <c r="AM373" s="255" t="str">
        <v/>
      </c>
      <c r="AN373" s="256" t="str">
        <v/>
      </c>
      <c r="AO373" s="257" t="str">
        <v/>
      </c>
      <c r="AP373" s="255" t="str">
        <v/>
      </c>
      <c r="AQ373" s="256" t="str">
        <v/>
      </c>
      <c r="AR373" s="257" t="str">
        <v/>
      </c>
      <c r="AS373" s="255" t="str">
        <v/>
      </c>
      <c r="AT373" s="256" t="str">
        <v/>
      </c>
      <c r="AU373" s="257" t="str">
        <v/>
      </c>
      <c r="AV373" s="255" t="str">
        <v/>
      </c>
      <c r="AW373" s="256" t="str">
        <v/>
      </c>
      <c r="AX373" s="257" t="str">
        <v/>
      </c>
      <c r="AY373" s="243">
        <v>0</v>
      </c>
      <c r="AZ373" s="244">
        <v>0</v>
      </c>
      <c r="BA373" s="244">
        <v>0</v>
      </c>
      <c r="BB373" s="244">
        <v>0</v>
      </c>
      <c r="BC373" s="244">
        <v>0</v>
      </c>
      <c r="BD373" s="244">
        <v>0</v>
      </c>
      <c r="BE373" s="244">
        <v>0</v>
      </c>
      <c r="BF373" s="244">
        <v>0</v>
      </c>
      <c r="BG373" s="244">
        <v>0</v>
      </c>
      <c r="BH373" s="245">
        <v>0</v>
      </c>
      <c r="BK373">
        <v>315</v>
      </c>
      <c r="BL373" s="281"/>
      <c r="BM373" s="281"/>
      <c r="BN373" s="282"/>
      <c r="BO373" s="282"/>
      <c r="BP373" s="282"/>
      <c r="BQ373" s="283"/>
      <c r="BR373" s="284"/>
      <c r="BS373" s="147"/>
      <c r="BT373" s="285"/>
      <c r="BU373" s="288"/>
      <c r="BV373" s="287"/>
      <c r="BW373" s="288"/>
      <c r="BX373" s="286"/>
      <c r="BY373" s="287"/>
      <c r="BZ373" s="288"/>
      <c r="CA373" s="286"/>
      <c r="CB373" s="286"/>
      <c r="CC373" s="287"/>
      <c r="CD373" s="286"/>
      <c r="CE373" s="286"/>
      <c r="CF373" s="286"/>
      <c r="CG373" s="287"/>
      <c r="CH373" s="288"/>
      <c r="CI373" s="286"/>
      <c r="CJ373" s="286"/>
      <c r="CK373" s="287"/>
      <c r="CL373" s="288"/>
      <c r="CM373" s="286"/>
      <c r="CN373" s="294"/>
      <c r="CO373" s="289"/>
      <c r="CP373" s="290"/>
      <c r="CQ373" s="289"/>
      <c r="CR373" s="290"/>
      <c r="CS373" s="284"/>
      <c r="CT373" s="147"/>
      <c r="CU373" s="291"/>
      <c r="CV373" s="292"/>
    </row>
    <row r="374" spans="2:100">
      <c r="B374">
        <v>316</v>
      </c>
      <c r="C374" s="243" t="str">
        <v/>
      </c>
      <c r="D374" s="592" t="str">
        <v/>
      </c>
      <c r="E374" s="245" t="str">
        <v/>
      </c>
      <c r="F374" s="243" t="str">
        <v/>
      </c>
      <c r="G374" s="245" t="str">
        <v/>
      </c>
      <c r="H374" s="243" t="str">
        <v/>
      </c>
      <c r="I374" s="245" t="str">
        <v/>
      </c>
      <c r="J374" s="242" t="str">
        <v/>
      </c>
      <c r="K374" s="242" t="str">
        <v/>
      </c>
      <c r="L374" s="242" t="str">
        <v/>
      </c>
      <c r="M374" s="243" t="str">
        <v/>
      </c>
      <c r="N374" s="592" t="str">
        <v/>
      </c>
      <c r="O374" s="245" t="str">
        <v/>
      </c>
      <c r="P374" s="245" t="str">
        <v/>
      </c>
      <c r="Q374" s="254" t="str">
        <v/>
      </c>
      <c r="R374" s="255" t="str">
        <v/>
      </c>
      <c r="S374" s="256" t="str">
        <v/>
      </c>
      <c r="T374" s="257" t="str">
        <v/>
      </c>
      <c r="U374" s="255" t="str">
        <v/>
      </c>
      <c r="V374" s="256" t="str">
        <v/>
      </c>
      <c r="W374" s="257" t="str">
        <v/>
      </c>
      <c r="X374" s="255" t="str">
        <v/>
      </c>
      <c r="Y374" s="256" t="str">
        <v/>
      </c>
      <c r="Z374" s="257" t="str">
        <v/>
      </c>
      <c r="AA374" s="255" t="str">
        <v/>
      </c>
      <c r="AB374" s="256" t="str">
        <v/>
      </c>
      <c r="AC374" s="257" t="str">
        <v/>
      </c>
      <c r="AD374" s="255" t="str">
        <v/>
      </c>
      <c r="AE374" s="256" t="str">
        <v/>
      </c>
      <c r="AF374" s="257" t="str">
        <v/>
      </c>
      <c r="AG374" s="255" t="str">
        <v/>
      </c>
      <c r="AH374" s="256" t="str">
        <v/>
      </c>
      <c r="AI374" s="257" t="str">
        <v/>
      </c>
      <c r="AJ374" s="255" t="str">
        <v/>
      </c>
      <c r="AK374" s="256" t="str">
        <v/>
      </c>
      <c r="AL374" s="257" t="str">
        <v/>
      </c>
      <c r="AM374" s="255" t="str">
        <v/>
      </c>
      <c r="AN374" s="256" t="str">
        <v/>
      </c>
      <c r="AO374" s="257" t="str">
        <v/>
      </c>
      <c r="AP374" s="255" t="str">
        <v/>
      </c>
      <c r="AQ374" s="256" t="str">
        <v/>
      </c>
      <c r="AR374" s="257" t="str">
        <v/>
      </c>
      <c r="AS374" s="255" t="str">
        <v/>
      </c>
      <c r="AT374" s="256" t="str">
        <v/>
      </c>
      <c r="AU374" s="257" t="str">
        <v/>
      </c>
      <c r="AV374" s="255" t="str">
        <v/>
      </c>
      <c r="AW374" s="256" t="str">
        <v/>
      </c>
      <c r="AX374" s="257" t="str">
        <v/>
      </c>
      <c r="AY374" s="243">
        <v>0</v>
      </c>
      <c r="AZ374" s="244">
        <v>0</v>
      </c>
      <c r="BA374" s="244">
        <v>0</v>
      </c>
      <c r="BB374" s="244">
        <v>0</v>
      </c>
      <c r="BC374" s="244">
        <v>0</v>
      </c>
      <c r="BD374" s="244">
        <v>0</v>
      </c>
      <c r="BE374" s="244">
        <v>0</v>
      </c>
      <c r="BF374" s="244">
        <v>0</v>
      </c>
      <c r="BG374" s="244">
        <v>0</v>
      </c>
      <c r="BH374" s="245">
        <v>0</v>
      </c>
      <c r="BK374">
        <v>316</v>
      </c>
      <c r="BL374" s="281"/>
      <c r="BM374" s="281"/>
      <c r="BN374" s="282"/>
      <c r="BO374" s="282"/>
      <c r="BP374" s="282"/>
      <c r="BQ374" s="283"/>
      <c r="BR374" s="284"/>
      <c r="BS374" s="147"/>
      <c r="BT374" s="285"/>
      <c r="BU374" s="288"/>
      <c r="BV374" s="287"/>
      <c r="BW374" s="288"/>
      <c r="BX374" s="286"/>
      <c r="BY374" s="287"/>
      <c r="BZ374" s="288"/>
      <c r="CA374" s="286"/>
      <c r="CB374" s="286"/>
      <c r="CC374" s="287"/>
      <c r="CD374" s="286"/>
      <c r="CE374" s="286"/>
      <c r="CF374" s="286"/>
      <c r="CG374" s="287"/>
      <c r="CH374" s="288"/>
      <c r="CI374" s="286"/>
      <c r="CJ374" s="286"/>
      <c r="CK374" s="287"/>
      <c r="CL374" s="288"/>
      <c r="CM374" s="286"/>
      <c r="CN374" s="294"/>
      <c r="CO374" s="289"/>
      <c r="CP374" s="290"/>
      <c r="CQ374" s="289"/>
      <c r="CR374" s="290"/>
      <c r="CS374" s="284"/>
      <c r="CT374" s="147"/>
      <c r="CU374" s="291"/>
      <c r="CV374" s="292"/>
    </row>
    <row r="375" spans="2:100">
      <c r="B375">
        <v>317</v>
      </c>
      <c r="C375" s="243" t="str">
        <v/>
      </c>
      <c r="D375" s="592" t="str">
        <v/>
      </c>
      <c r="E375" s="245" t="str">
        <v/>
      </c>
      <c r="F375" s="243" t="str">
        <v/>
      </c>
      <c r="G375" s="245" t="str">
        <v/>
      </c>
      <c r="H375" s="243" t="str">
        <v/>
      </c>
      <c r="I375" s="245" t="str">
        <v/>
      </c>
      <c r="J375" s="242" t="str">
        <v/>
      </c>
      <c r="K375" s="242" t="str">
        <v/>
      </c>
      <c r="L375" s="242" t="str">
        <v/>
      </c>
      <c r="M375" s="243" t="str">
        <v/>
      </c>
      <c r="N375" s="592" t="str">
        <v/>
      </c>
      <c r="O375" s="245" t="str">
        <v/>
      </c>
      <c r="P375" s="245" t="str">
        <v/>
      </c>
      <c r="Q375" s="254" t="str">
        <v/>
      </c>
      <c r="R375" s="255" t="str">
        <v/>
      </c>
      <c r="S375" s="256" t="str">
        <v/>
      </c>
      <c r="T375" s="257" t="str">
        <v/>
      </c>
      <c r="U375" s="255" t="str">
        <v/>
      </c>
      <c r="V375" s="256" t="str">
        <v/>
      </c>
      <c r="W375" s="257" t="str">
        <v/>
      </c>
      <c r="X375" s="255" t="str">
        <v/>
      </c>
      <c r="Y375" s="256" t="str">
        <v/>
      </c>
      <c r="Z375" s="257" t="str">
        <v/>
      </c>
      <c r="AA375" s="255" t="str">
        <v/>
      </c>
      <c r="AB375" s="256" t="str">
        <v/>
      </c>
      <c r="AC375" s="257" t="str">
        <v/>
      </c>
      <c r="AD375" s="255" t="str">
        <v/>
      </c>
      <c r="AE375" s="256" t="str">
        <v/>
      </c>
      <c r="AF375" s="257" t="str">
        <v/>
      </c>
      <c r="AG375" s="255" t="str">
        <v/>
      </c>
      <c r="AH375" s="256" t="str">
        <v/>
      </c>
      <c r="AI375" s="257" t="str">
        <v/>
      </c>
      <c r="AJ375" s="255" t="str">
        <v/>
      </c>
      <c r="AK375" s="256" t="str">
        <v/>
      </c>
      <c r="AL375" s="257" t="str">
        <v/>
      </c>
      <c r="AM375" s="255" t="str">
        <v/>
      </c>
      <c r="AN375" s="256" t="str">
        <v/>
      </c>
      <c r="AO375" s="257" t="str">
        <v/>
      </c>
      <c r="AP375" s="255" t="str">
        <v/>
      </c>
      <c r="AQ375" s="256" t="str">
        <v/>
      </c>
      <c r="AR375" s="257" t="str">
        <v/>
      </c>
      <c r="AS375" s="255" t="str">
        <v/>
      </c>
      <c r="AT375" s="256" t="str">
        <v/>
      </c>
      <c r="AU375" s="257" t="str">
        <v/>
      </c>
      <c r="AV375" s="255" t="str">
        <v/>
      </c>
      <c r="AW375" s="256" t="str">
        <v/>
      </c>
      <c r="AX375" s="257" t="str">
        <v/>
      </c>
      <c r="AY375" s="243">
        <v>0</v>
      </c>
      <c r="AZ375" s="244">
        <v>0</v>
      </c>
      <c r="BA375" s="244">
        <v>0</v>
      </c>
      <c r="BB375" s="244">
        <v>0</v>
      </c>
      <c r="BC375" s="244">
        <v>0</v>
      </c>
      <c r="BD375" s="244">
        <v>0</v>
      </c>
      <c r="BE375" s="244">
        <v>0</v>
      </c>
      <c r="BF375" s="244">
        <v>0</v>
      </c>
      <c r="BG375" s="244">
        <v>0</v>
      </c>
      <c r="BH375" s="245">
        <v>0</v>
      </c>
      <c r="BK375">
        <v>317</v>
      </c>
      <c r="BL375" s="281"/>
      <c r="BM375" s="281"/>
      <c r="BN375" s="282"/>
      <c r="BO375" s="282"/>
      <c r="BP375" s="282"/>
      <c r="BQ375" s="283"/>
      <c r="BR375" s="284"/>
      <c r="BS375" s="147"/>
      <c r="BT375" s="285"/>
      <c r="BU375" s="288"/>
      <c r="BV375" s="287"/>
      <c r="BW375" s="288"/>
      <c r="BX375" s="286"/>
      <c r="BY375" s="287"/>
      <c r="BZ375" s="288"/>
      <c r="CA375" s="286"/>
      <c r="CB375" s="286"/>
      <c r="CC375" s="287"/>
      <c r="CD375" s="286"/>
      <c r="CE375" s="286"/>
      <c r="CF375" s="286"/>
      <c r="CG375" s="287"/>
      <c r="CH375" s="288"/>
      <c r="CI375" s="286"/>
      <c r="CJ375" s="286"/>
      <c r="CK375" s="287"/>
      <c r="CL375" s="288"/>
      <c r="CM375" s="286"/>
      <c r="CN375" s="294"/>
      <c r="CO375" s="289"/>
      <c r="CP375" s="290"/>
      <c r="CQ375" s="289"/>
      <c r="CR375" s="290"/>
      <c r="CS375" s="284"/>
      <c r="CT375" s="147"/>
      <c r="CU375" s="291"/>
      <c r="CV375" s="292"/>
    </row>
    <row r="376" spans="2:100">
      <c r="B376">
        <v>318</v>
      </c>
      <c r="C376" s="243" t="str">
        <v/>
      </c>
      <c r="D376" s="592" t="str">
        <v/>
      </c>
      <c r="E376" s="245" t="str">
        <v/>
      </c>
      <c r="F376" s="243" t="str">
        <v/>
      </c>
      <c r="G376" s="245" t="str">
        <v/>
      </c>
      <c r="H376" s="243" t="str">
        <v/>
      </c>
      <c r="I376" s="245" t="str">
        <v/>
      </c>
      <c r="J376" s="242" t="str">
        <v/>
      </c>
      <c r="K376" s="242" t="str">
        <v/>
      </c>
      <c r="L376" s="242" t="str">
        <v/>
      </c>
      <c r="M376" s="243" t="str">
        <v/>
      </c>
      <c r="N376" s="592" t="str">
        <v/>
      </c>
      <c r="O376" s="245" t="str">
        <v/>
      </c>
      <c r="P376" s="245" t="str">
        <v/>
      </c>
      <c r="Q376" s="254" t="str">
        <v/>
      </c>
      <c r="R376" s="255" t="str">
        <v/>
      </c>
      <c r="S376" s="256" t="str">
        <v/>
      </c>
      <c r="T376" s="257" t="str">
        <v/>
      </c>
      <c r="U376" s="255" t="str">
        <v/>
      </c>
      <c r="V376" s="256" t="str">
        <v/>
      </c>
      <c r="W376" s="257" t="str">
        <v/>
      </c>
      <c r="X376" s="255" t="str">
        <v/>
      </c>
      <c r="Y376" s="256" t="str">
        <v/>
      </c>
      <c r="Z376" s="257" t="str">
        <v/>
      </c>
      <c r="AA376" s="255" t="str">
        <v/>
      </c>
      <c r="AB376" s="256" t="str">
        <v/>
      </c>
      <c r="AC376" s="257" t="str">
        <v/>
      </c>
      <c r="AD376" s="255" t="str">
        <v/>
      </c>
      <c r="AE376" s="256" t="str">
        <v/>
      </c>
      <c r="AF376" s="257" t="str">
        <v/>
      </c>
      <c r="AG376" s="255" t="str">
        <v/>
      </c>
      <c r="AH376" s="256" t="str">
        <v/>
      </c>
      <c r="AI376" s="257" t="str">
        <v/>
      </c>
      <c r="AJ376" s="255" t="str">
        <v/>
      </c>
      <c r="AK376" s="256" t="str">
        <v/>
      </c>
      <c r="AL376" s="257" t="str">
        <v/>
      </c>
      <c r="AM376" s="255" t="str">
        <v/>
      </c>
      <c r="AN376" s="256" t="str">
        <v/>
      </c>
      <c r="AO376" s="257" t="str">
        <v/>
      </c>
      <c r="AP376" s="255" t="str">
        <v/>
      </c>
      <c r="AQ376" s="256" t="str">
        <v/>
      </c>
      <c r="AR376" s="257" t="str">
        <v/>
      </c>
      <c r="AS376" s="255" t="str">
        <v/>
      </c>
      <c r="AT376" s="256" t="str">
        <v/>
      </c>
      <c r="AU376" s="257" t="str">
        <v/>
      </c>
      <c r="AV376" s="255" t="str">
        <v/>
      </c>
      <c r="AW376" s="256" t="str">
        <v/>
      </c>
      <c r="AX376" s="257" t="str">
        <v/>
      </c>
      <c r="AY376" s="243">
        <v>0</v>
      </c>
      <c r="AZ376" s="244">
        <v>0</v>
      </c>
      <c r="BA376" s="244">
        <v>0</v>
      </c>
      <c r="BB376" s="244">
        <v>0</v>
      </c>
      <c r="BC376" s="244">
        <v>0</v>
      </c>
      <c r="BD376" s="244">
        <v>0</v>
      </c>
      <c r="BE376" s="244">
        <v>0</v>
      </c>
      <c r="BF376" s="244">
        <v>0</v>
      </c>
      <c r="BG376" s="244">
        <v>0</v>
      </c>
      <c r="BH376" s="245">
        <v>0</v>
      </c>
      <c r="BK376">
        <v>318</v>
      </c>
      <c r="BL376" s="281"/>
      <c r="BM376" s="281"/>
      <c r="BN376" s="282"/>
      <c r="BO376" s="282"/>
      <c r="BP376" s="282"/>
      <c r="BQ376" s="283"/>
      <c r="BR376" s="284"/>
      <c r="BS376" s="147"/>
      <c r="BT376" s="285"/>
      <c r="BU376" s="288"/>
      <c r="BV376" s="287"/>
      <c r="BW376" s="288"/>
      <c r="BX376" s="286"/>
      <c r="BY376" s="287"/>
      <c r="BZ376" s="288"/>
      <c r="CA376" s="286"/>
      <c r="CB376" s="286"/>
      <c r="CC376" s="287"/>
      <c r="CD376" s="286"/>
      <c r="CE376" s="286"/>
      <c r="CF376" s="286"/>
      <c r="CG376" s="287"/>
      <c r="CH376" s="288"/>
      <c r="CI376" s="286"/>
      <c r="CJ376" s="286"/>
      <c r="CK376" s="287"/>
      <c r="CL376" s="288"/>
      <c r="CM376" s="286"/>
      <c r="CN376" s="294"/>
      <c r="CO376" s="289"/>
      <c r="CP376" s="290"/>
      <c r="CQ376" s="289"/>
      <c r="CR376" s="290"/>
      <c r="CS376" s="284"/>
      <c r="CT376" s="147"/>
      <c r="CU376" s="291"/>
      <c r="CV376" s="292"/>
    </row>
    <row r="377" spans="2:100">
      <c r="B377">
        <v>319</v>
      </c>
      <c r="C377" s="243" t="str">
        <v/>
      </c>
      <c r="D377" s="592" t="str">
        <v/>
      </c>
      <c r="E377" s="245" t="str">
        <v/>
      </c>
      <c r="F377" s="243" t="str">
        <v/>
      </c>
      <c r="G377" s="245" t="str">
        <v/>
      </c>
      <c r="H377" s="243" t="str">
        <v/>
      </c>
      <c r="I377" s="245" t="str">
        <v/>
      </c>
      <c r="J377" s="242" t="str">
        <v/>
      </c>
      <c r="K377" s="242" t="str">
        <v/>
      </c>
      <c r="L377" s="242" t="str">
        <v/>
      </c>
      <c r="M377" s="243" t="str">
        <v/>
      </c>
      <c r="N377" s="592" t="str">
        <v/>
      </c>
      <c r="O377" s="245" t="str">
        <v/>
      </c>
      <c r="P377" s="245" t="str">
        <v/>
      </c>
      <c r="Q377" s="254" t="str">
        <v/>
      </c>
      <c r="R377" s="255" t="str">
        <v/>
      </c>
      <c r="S377" s="256" t="str">
        <v/>
      </c>
      <c r="T377" s="257" t="str">
        <v/>
      </c>
      <c r="U377" s="255" t="str">
        <v/>
      </c>
      <c r="V377" s="256" t="str">
        <v/>
      </c>
      <c r="W377" s="257" t="str">
        <v/>
      </c>
      <c r="X377" s="255" t="str">
        <v/>
      </c>
      <c r="Y377" s="256" t="str">
        <v/>
      </c>
      <c r="Z377" s="257" t="str">
        <v/>
      </c>
      <c r="AA377" s="255" t="str">
        <v/>
      </c>
      <c r="AB377" s="256" t="str">
        <v/>
      </c>
      <c r="AC377" s="257" t="str">
        <v/>
      </c>
      <c r="AD377" s="255" t="str">
        <v/>
      </c>
      <c r="AE377" s="256" t="str">
        <v/>
      </c>
      <c r="AF377" s="257" t="str">
        <v/>
      </c>
      <c r="AG377" s="255" t="str">
        <v/>
      </c>
      <c r="AH377" s="256" t="str">
        <v/>
      </c>
      <c r="AI377" s="257" t="str">
        <v/>
      </c>
      <c r="AJ377" s="255" t="str">
        <v/>
      </c>
      <c r="AK377" s="256" t="str">
        <v/>
      </c>
      <c r="AL377" s="257" t="str">
        <v/>
      </c>
      <c r="AM377" s="255" t="str">
        <v/>
      </c>
      <c r="AN377" s="256" t="str">
        <v/>
      </c>
      <c r="AO377" s="257" t="str">
        <v/>
      </c>
      <c r="AP377" s="255" t="str">
        <v/>
      </c>
      <c r="AQ377" s="256" t="str">
        <v/>
      </c>
      <c r="AR377" s="257" t="str">
        <v/>
      </c>
      <c r="AS377" s="255" t="str">
        <v/>
      </c>
      <c r="AT377" s="256" t="str">
        <v/>
      </c>
      <c r="AU377" s="257" t="str">
        <v/>
      </c>
      <c r="AV377" s="255" t="str">
        <v/>
      </c>
      <c r="AW377" s="256" t="str">
        <v/>
      </c>
      <c r="AX377" s="257" t="str">
        <v/>
      </c>
      <c r="AY377" s="243">
        <v>0</v>
      </c>
      <c r="AZ377" s="244">
        <v>0</v>
      </c>
      <c r="BA377" s="244">
        <v>0</v>
      </c>
      <c r="BB377" s="244">
        <v>0</v>
      </c>
      <c r="BC377" s="244">
        <v>0</v>
      </c>
      <c r="BD377" s="244">
        <v>0</v>
      </c>
      <c r="BE377" s="244">
        <v>0</v>
      </c>
      <c r="BF377" s="244">
        <v>0</v>
      </c>
      <c r="BG377" s="244">
        <v>0</v>
      </c>
      <c r="BH377" s="245">
        <v>0</v>
      </c>
      <c r="BK377">
        <v>319</v>
      </c>
      <c r="BL377" s="281"/>
      <c r="BM377" s="281"/>
      <c r="BN377" s="282"/>
      <c r="BO377" s="282"/>
      <c r="BP377" s="282"/>
      <c r="BQ377" s="283"/>
      <c r="BR377" s="284"/>
      <c r="BS377" s="147"/>
      <c r="BT377" s="285"/>
      <c r="BU377" s="288"/>
      <c r="BV377" s="287"/>
      <c r="BW377" s="288"/>
      <c r="BX377" s="286"/>
      <c r="BY377" s="287"/>
      <c r="BZ377" s="288"/>
      <c r="CA377" s="286"/>
      <c r="CB377" s="286"/>
      <c r="CC377" s="287"/>
      <c r="CD377" s="286"/>
      <c r="CE377" s="286"/>
      <c r="CF377" s="286"/>
      <c r="CG377" s="287"/>
      <c r="CH377" s="288"/>
      <c r="CI377" s="286"/>
      <c r="CJ377" s="286"/>
      <c r="CK377" s="287"/>
      <c r="CL377" s="288"/>
      <c r="CM377" s="286"/>
      <c r="CN377" s="294"/>
      <c r="CO377" s="289"/>
      <c r="CP377" s="290"/>
      <c r="CQ377" s="289"/>
      <c r="CR377" s="290"/>
      <c r="CS377" s="284"/>
      <c r="CT377" s="147"/>
      <c r="CU377" s="291"/>
      <c r="CV377" s="292"/>
    </row>
    <row r="378" spans="2:100">
      <c r="B378">
        <v>320</v>
      </c>
      <c r="C378" s="243" t="str">
        <v/>
      </c>
      <c r="D378" s="592" t="str">
        <v/>
      </c>
      <c r="E378" s="245" t="str">
        <v/>
      </c>
      <c r="F378" s="243" t="str">
        <v/>
      </c>
      <c r="G378" s="245" t="str">
        <v/>
      </c>
      <c r="H378" s="243" t="str">
        <v/>
      </c>
      <c r="I378" s="245" t="str">
        <v/>
      </c>
      <c r="J378" s="242" t="str">
        <v/>
      </c>
      <c r="K378" s="242" t="str">
        <v/>
      </c>
      <c r="L378" s="242" t="str">
        <v/>
      </c>
      <c r="M378" s="243" t="str">
        <v/>
      </c>
      <c r="N378" s="592" t="str">
        <v/>
      </c>
      <c r="O378" s="245" t="str">
        <v/>
      </c>
      <c r="P378" s="245" t="str">
        <v/>
      </c>
      <c r="Q378" s="254" t="str">
        <v/>
      </c>
      <c r="R378" s="255" t="str">
        <v/>
      </c>
      <c r="S378" s="256" t="str">
        <v/>
      </c>
      <c r="T378" s="257" t="str">
        <v/>
      </c>
      <c r="U378" s="255" t="str">
        <v/>
      </c>
      <c r="V378" s="256" t="str">
        <v/>
      </c>
      <c r="W378" s="257" t="str">
        <v/>
      </c>
      <c r="X378" s="255" t="str">
        <v/>
      </c>
      <c r="Y378" s="256" t="str">
        <v/>
      </c>
      <c r="Z378" s="257" t="str">
        <v/>
      </c>
      <c r="AA378" s="255" t="str">
        <v/>
      </c>
      <c r="AB378" s="256" t="str">
        <v/>
      </c>
      <c r="AC378" s="257" t="str">
        <v/>
      </c>
      <c r="AD378" s="255" t="str">
        <v/>
      </c>
      <c r="AE378" s="256" t="str">
        <v/>
      </c>
      <c r="AF378" s="257" t="str">
        <v/>
      </c>
      <c r="AG378" s="255" t="str">
        <v/>
      </c>
      <c r="AH378" s="256" t="str">
        <v/>
      </c>
      <c r="AI378" s="257" t="str">
        <v/>
      </c>
      <c r="AJ378" s="255" t="str">
        <v/>
      </c>
      <c r="AK378" s="256" t="str">
        <v/>
      </c>
      <c r="AL378" s="257" t="str">
        <v/>
      </c>
      <c r="AM378" s="255" t="str">
        <v/>
      </c>
      <c r="AN378" s="256" t="str">
        <v/>
      </c>
      <c r="AO378" s="257" t="str">
        <v/>
      </c>
      <c r="AP378" s="255" t="str">
        <v/>
      </c>
      <c r="AQ378" s="256" t="str">
        <v/>
      </c>
      <c r="AR378" s="257" t="str">
        <v/>
      </c>
      <c r="AS378" s="255" t="str">
        <v/>
      </c>
      <c r="AT378" s="256" t="str">
        <v/>
      </c>
      <c r="AU378" s="257" t="str">
        <v/>
      </c>
      <c r="AV378" s="255" t="str">
        <v/>
      </c>
      <c r="AW378" s="256" t="str">
        <v/>
      </c>
      <c r="AX378" s="257" t="str">
        <v/>
      </c>
      <c r="AY378" s="243">
        <v>0</v>
      </c>
      <c r="AZ378" s="244">
        <v>0</v>
      </c>
      <c r="BA378" s="244">
        <v>0</v>
      </c>
      <c r="BB378" s="244">
        <v>0</v>
      </c>
      <c r="BC378" s="244">
        <v>0</v>
      </c>
      <c r="BD378" s="244">
        <v>0</v>
      </c>
      <c r="BE378" s="244">
        <v>0</v>
      </c>
      <c r="BF378" s="244">
        <v>0</v>
      </c>
      <c r="BG378" s="244">
        <v>0</v>
      </c>
      <c r="BH378" s="245">
        <v>0</v>
      </c>
      <c r="BK378">
        <v>320</v>
      </c>
      <c r="BL378" s="281"/>
      <c r="BM378" s="281"/>
      <c r="BN378" s="282"/>
      <c r="BO378" s="282"/>
      <c r="BP378" s="282"/>
      <c r="BQ378" s="283"/>
      <c r="BR378" s="284"/>
      <c r="BS378" s="147"/>
      <c r="BT378" s="285"/>
      <c r="BU378" s="288"/>
      <c r="BV378" s="287"/>
      <c r="BW378" s="288"/>
      <c r="BX378" s="286"/>
      <c r="BY378" s="287"/>
      <c r="BZ378" s="288"/>
      <c r="CA378" s="286"/>
      <c r="CB378" s="286"/>
      <c r="CC378" s="287"/>
      <c r="CD378" s="286"/>
      <c r="CE378" s="286"/>
      <c r="CF378" s="286"/>
      <c r="CG378" s="287"/>
      <c r="CH378" s="288"/>
      <c r="CI378" s="286"/>
      <c r="CJ378" s="286"/>
      <c r="CK378" s="287"/>
      <c r="CL378" s="288"/>
      <c r="CM378" s="286"/>
      <c r="CN378" s="294"/>
      <c r="CO378" s="289"/>
      <c r="CP378" s="290"/>
      <c r="CQ378" s="289"/>
      <c r="CR378" s="290"/>
      <c r="CS378" s="284"/>
      <c r="CT378" s="147"/>
      <c r="CU378" s="291"/>
      <c r="CV378" s="292"/>
    </row>
    <row r="379" spans="2:100">
      <c r="B379">
        <v>321</v>
      </c>
      <c r="C379" s="243" t="str">
        <v/>
      </c>
      <c r="D379" s="592" t="str">
        <v/>
      </c>
      <c r="E379" s="245" t="str">
        <v/>
      </c>
      <c r="F379" s="243" t="str">
        <v/>
      </c>
      <c r="G379" s="245" t="str">
        <v/>
      </c>
      <c r="H379" s="243" t="str">
        <v/>
      </c>
      <c r="I379" s="245" t="str">
        <v/>
      </c>
      <c r="J379" s="242" t="str">
        <v/>
      </c>
      <c r="K379" s="242" t="str">
        <v/>
      </c>
      <c r="L379" s="242" t="str">
        <v/>
      </c>
      <c r="M379" s="243" t="str">
        <v/>
      </c>
      <c r="N379" s="592" t="str">
        <v/>
      </c>
      <c r="O379" s="245" t="str">
        <v/>
      </c>
      <c r="P379" s="245" t="str">
        <v/>
      </c>
      <c r="Q379" s="254" t="str">
        <v/>
      </c>
      <c r="R379" s="255" t="str">
        <v/>
      </c>
      <c r="S379" s="256" t="str">
        <v/>
      </c>
      <c r="T379" s="257" t="str">
        <v/>
      </c>
      <c r="U379" s="255" t="str">
        <v/>
      </c>
      <c r="V379" s="256" t="str">
        <v/>
      </c>
      <c r="W379" s="257" t="str">
        <v/>
      </c>
      <c r="X379" s="255" t="str">
        <v/>
      </c>
      <c r="Y379" s="256" t="str">
        <v/>
      </c>
      <c r="Z379" s="257" t="str">
        <v/>
      </c>
      <c r="AA379" s="255" t="str">
        <v/>
      </c>
      <c r="AB379" s="256" t="str">
        <v/>
      </c>
      <c r="AC379" s="257" t="str">
        <v/>
      </c>
      <c r="AD379" s="255" t="str">
        <v/>
      </c>
      <c r="AE379" s="256" t="str">
        <v/>
      </c>
      <c r="AF379" s="257" t="str">
        <v/>
      </c>
      <c r="AG379" s="255" t="str">
        <v/>
      </c>
      <c r="AH379" s="256" t="str">
        <v/>
      </c>
      <c r="AI379" s="257" t="str">
        <v/>
      </c>
      <c r="AJ379" s="255" t="str">
        <v/>
      </c>
      <c r="AK379" s="256" t="str">
        <v/>
      </c>
      <c r="AL379" s="257" t="str">
        <v/>
      </c>
      <c r="AM379" s="255" t="str">
        <v/>
      </c>
      <c r="AN379" s="256" t="str">
        <v/>
      </c>
      <c r="AO379" s="257" t="str">
        <v/>
      </c>
      <c r="AP379" s="255" t="str">
        <v/>
      </c>
      <c r="AQ379" s="256" t="str">
        <v/>
      </c>
      <c r="AR379" s="257" t="str">
        <v/>
      </c>
      <c r="AS379" s="255" t="str">
        <v/>
      </c>
      <c r="AT379" s="256" t="str">
        <v/>
      </c>
      <c r="AU379" s="257" t="str">
        <v/>
      </c>
      <c r="AV379" s="255" t="str">
        <v/>
      </c>
      <c r="AW379" s="256" t="str">
        <v/>
      </c>
      <c r="AX379" s="257" t="str">
        <v/>
      </c>
      <c r="AY379" s="243">
        <v>0</v>
      </c>
      <c r="AZ379" s="244">
        <v>0</v>
      </c>
      <c r="BA379" s="244">
        <v>0</v>
      </c>
      <c r="BB379" s="244">
        <v>0</v>
      </c>
      <c r="BC379" s="244">
        <v>0</v>
      </c>
      <c r="BD379" s="244">
        <v>0</v>
      </c>
      <c r="BE379" s="244">
        <v>0</v>
      </c>
      <c r="BF379" s="244">
        <v>0</v>
      </c>
      <c r="BG379" s="244">
        <v>0</v>
      </c>
      <c r="BH379" s="245">
        <v>0</v>
      </c>
      <c r="BK379">
        <v>321</v>
      </c>
      <c r="BL379" s="281"/>
      <c r="BM379" s="281"/>
      <c r="BN379" s="282"/>
      <c r="BO379" s="282"/>
      <c r="BP379" s="282"/>
      <c r="BQ379" s="283"/>
      <c r="BR379" s="284"/>
      <c r="BS379" s="147"/>
      <c r="BT379" s="285"/>
      <c r="BU379" s="288"/>
      <c r="BV379" s="287"/>
      <c r="BW379" s="288"/>
      <c r="BX379" s="286"/>
      <c r="BY379" s="287"/>
      <c r="BZ379" s="288"/>
      <c r="CA379" s="286"/>
      <c r="CB379" s="286"/>
      <c r="CC379" s="287"/>
      <c r="CD379" s="286"/>
      <c r="CE379" s="286"/>
      <c r="CF379" s="286"/>
      <c r="CG379" s="287"/>
      <c r="CH379" s="288"/>
      <c r="CI379" s="286"/>
      <c r="CJ379" s="286"/>
      <c r="CK379" s="287"/>
      <c r="CL379" s="288"/>
      <c r="CM379" s="286"/>
      <c r="CN379" s="294"/>
      <c r="CO379" s="289"/>
      <c r="CP379" s="290"/>
      <c r="CQ379" s="289"/>
      <c r="CR379" s="290"/>
      <c r="CS379" s="284"/>
      <c r="CT379" s="147"/>
      <c r="CU379" s="291"/>
      <c r="CV379" s="292"/>
    </row>
    <row r="380" spans="2:100">
      <c r="B380">
        <v>322</v>
      </c>
      <c r="C380" s="243" t="str">
        <v/>
      </c>
      <c r="D380" s="592" t="str">
        <v/>
      </c>
      <c r="E380" s="245" t="str">
        <v/>
      </c>
      <c r="F380" s="243" t="str">
        <v/>
      </c>
      <c r="G380" s="245" t="str">
        <v/>
      </c>
      <c r="H380" s="243" t="str">
        <v/>
      </c>
      <c r="I380" s="245" t="str">
        <v/>
      </c>
      <c r="J380" s="242" t="str">
        <v/>
      </c>
      <c r="K380" s="242" t="str">
        <v/>
      </c>
      <c r="L380" s="242" t="str">
        <v/>
      </c>
      <c r="M380" s="243" t="str">
        <v/>
      </c>
      <c r="N380" s="592" t="str">
        <v/>
      </c>
      <c r="O380" s="245" t="str">
        <v/>
      </c>
      <c r="P380" s="245" t="str">
        <v/>
      </c>
      <c r="Q380" s="254" t="str">
        <v/>
      </c>
      <c r="R380" s="255" t="str">
        <v/>
      </c>
      <c r="S380" s="256" t="str">
        <v/>
      </c>
      <c r="T380" s="257" t="str">
        <v/>
      </c>
      <c r="U380" s="255" t="str">
        <v/>
      </c>
      <c r="V380" s="256" t="str">
        <v/>
      </c>
      <c r="W380" s="257" t="str">
        <v/>
      </c>
      <c r="X380" s="255" t="str">
        <v/>
      </c>
      <c r="Y380" s="256" t="str">
        <v/>
      </c>
      <c r="Z380" s="257" t="str">
        <v/>
      </c>
      <c r="AA380" s="255" t="str">
        <v/>
      </c>
      <c r="AB380" s="256" t="str">
        <v/>
      </c>
      <c r="AC380" s="257" t="str">
        <v/>
      </c>
      <c r="AD380" s="255" t="str">
        <v/>
      </c>
      <c r="AE380" s="256" t="str">
        <v/>
      </c>
      <c r="AF380" s="257" t="str">
        <v/>
      </c>
      <c r="AG380" s="255" t="str">
        <v/>
      </c>
      <c r="AH380" s="256" t="str">
        <v/>
      </c>
      <c r="AI380" s="257" t="str">
        <v/>
      </c>
      <c r="AJ380" s="255" t="str">
        <v/>
      </c>
      <c r="AK380" s="256" t="str">
        <v/>
      </c>
      <c r="AL380" s="257" t="str">
        <v/>
      </c>
      <c r="AM380" s="255" t="str">
        <v/>
      </c>
      <c r="AN380" s="256" t="str">
        <v/>
      </c>
      <c r="AO380" s="257" t="str">
        <v/>
      </c>
      <c r="AP380" s="255" t="str">
        <v/>
      </c>
      <c r="AQ380" s="256" t="str">
        <v/>
      </c>
      <c r="AR380" s="257" t="str">
        <v/>
      </c>
      <c r="AS380" s="255" t="str">
        <v/>
      </c>
      <c r="AT380" s="256" t="str">
        <v/>
      </c>
      <c r="AU380" s="257" t="str">
        <v/>
      </c>
      <c r="AV380" s="255" t="str">
        <v/>
      </c>
      <c r="AW380" s="256" t="str">
        <v/>
      </c>
      <c r="AX380" s="257" t="str">
        <v/>
      </c>
      <c r="AY380" s="243">
        <v>0</v>
      </c>
      <c r="AZ380" s="244">
        <v>0</v>
      </c>
      <c r="BA380" s="244">
        <v>0</v>
      </c>
      <c r="BB380" s="244">
        <v>0</v>
      </c>
      <c r="BC380" s="244">
        <v>0</v>
      </c>
      <c r="BD380" s="244">
        <v>0</v>
      </c>
      <c r="BE380" s="244">
        <v>0</v>
      </c>
      <c r="BF380" s="244">
        <v>0</v>
      </c>
      <c r="BG380" s="244">
        <v>0</v>
      </c>
      <c r="BH380" s="245">
        <v>0</v>
      </c>
      <c r="BK380">
        <v>322</v>
      </c>
      <c r="BL380" s="281"/>
      <c r="BM380" s="281"/>
      <c r="BN380" s="282"/>
      <c r="BO380" s="282"/>
      <c r="BP380" s="282"/>
      <c r="BQ380" s="283"/>
      <c r="BR380" s="284"/>
      <c r="BS380" s="147"/>
      <c r="BT380" s="285"/>
      <c r="BU380" s="288"/>
      <c r="BV380" s="287"/>
      <c r="BW380" s="288"/>
      <c r="BX380" s="286"/>
      <c r="BY380" s="287"/>
      <c r="BZ380" s="288"/>
      <c r="CA380" s="286"/>
      <c r="CB380" s="286"/>
      <c r="CC380" s="287"/>
      <c r="CD380" s="286"/>
      <c r="CE380" s="286"/>
      <c r="CF380" s="286"/>
      <c r="CG380" s="287"/>
      <c r="CH380" s="288"/>
      <c r="CI380" s="286"/>
      <c r="CJ380" s="286"/>
      <c r="CK380" s="287"/>
      <c r="CL380" s="288"/>
      <c r="CM380" s="286"/>
      <c r="CN380" s="294"/>
      <c r="CO380" s="289"/>
      <c r="CP380" s="290"/>
      <c r="CQ380" s="289"/>
      <c r="CR380" s="290"/>
      <c r="CS380" s="284"/>
      <c r="CT380" s="147"/>
      <c r="CU380" s="291"/>
      <c r="CV380" s="292"/>
    </row>
    <row r="381" spans="2:100">
      <c r="B381">
        <v>323</v>
      </c>
      <c r="C381" s="243" t="str">
        <v/>
      </c>
      <c r="D381" s="592" t="str">
        <v/>
      </c>
      <c r="E381" s="245" t="str">
        <v/>
      </c>
      <c r="F381" s="243" t="str">
        <v/>
      </c>
      <c r="G381" s="245" t="str">
        <v/>
      </c>
      <c r="H381" s="243" t="str">
        <v/>
      </c>
      <c r="I381" s="245" t="str">
        <v/>
      </c>
      <c r="J381" s="242" t="str">
        <v/>
      </c>
      <c r="K381" s="242" t="str">
        <v/>
      </c>
      <c r="L381" s="242" t="str">
        <v/>
      </c>
      <c r="M381" s="243" t="str">
        <v/>
      </c>
      <c r="N381" s="592" t="str">
        <v/>
      </c>
      <c r="O381" s="245" t="str">
        <v/>
      </c>
      <c r="P381" s="245" t="str">
        <v/>
      </c>
      <c r="Q381" s="254" t="str">
        <v/>
      </c>
      <c r="R381" s="255" t="str">
        <v/>
      </c>
      <c r="S381" s="256" t="str">
        <v/>
      </c>
      <c r="T381" s="257" t="str">
        <v/>
      </c>
      <c r="U381" s="255" t="str">
        <v/>
      </c>
      <c r="V381" s="256" t="str">
        <v/>
      </c>
      <c r="W381" s="257" t="str">
        <v/>
      </c>
      <c r="X381" s="255" t="str">
        <v/>
      </c>
      <c r="Y381" s="256" t="str">
        <v/>
      </c>
      <c r="Z381" s="257" t="str">
        <v/>
      </c>
      <c r="AA381" s="255" t="str">
        <v/>
      </c>
      <c r="AB381" s="256" t="str">
        <v/>
      </c>
      <c r="AC381" s="257" t="str">
        <v/>
      </c>
      <c r="AD381" s="255" t="str">
        <v/>
      </c>
      <c r="AE381" s="256" t="str">
        <v/>
      </c>
      <c r="AF381" s="257" t="str">
        <v/>
      </c>
      <c r="AG381" s="255" t="str">
        <v/>
      </c>
      <c r="AH381" s="256" t="str">
        <v/>
      </c>
      <c r="AI381" s="257" t="str">
        <v/>
      </c>
      <c r="AJ381" s="255" t="str">
        <v/>
      </c>
      <c r="AK381" s="256" t="str">
        <v/>
      </c>
      <c r="AL381" s="257" t="str">
        <v/>
      </c>
      <c r="AM381" s="255" t="str">
        <v/>
      </c>
      <c r="AN381" s="256" t="str">
        <v/>
      </c>
      <c r="AO381" s="257" t="str">
        <v/>
      </c>
      <c r="AP381" s="255" t="str">
        <v/>
      </c>
      <c r="AQ381" s="256" t="str">
        <v/>
      </c>
      <c r="AR381" s="257" t="str">
        <v/>
      </c>
      <c r="AS381" s="255" t="str">
        <v/>
      </c>
      <c r="AT381" s="256" t="str">
        <v/>
      </c>
      <c r="AU381" s="257" t="str">
        <v/>
      </c>
      <c r="AV381" s="255" t="str">
        <v/>
      </c>
      <c r="AW381" s="256" t="str">
        <v/>
      </c>
      <c r="AX381" s="257" t="str">
        <v/>
      </c>
      <c r="AY381" s="243">
        <v>0</v>
      </c>
      <c r="AZ381" s="244">
        <v>0</v>
      </c>
      <c r="BA381" s="244">
        <v>0</v>
      </c>
      <c r="BB381" s="244">
        <v>0</v>
      </c>
      <c r="BC381" s="244">
        <v>0</v>
      </c>
      <c r="BD381" s="244">
        <v>0</v>
      </c>
      <c r="BE381" s="244">
        <v>0</v>
      </c>
      <c r="BF381" s="244">
        <v>0</v>
      </c>
      <c r="BG381" s="244">
        <v>0</v>
      </c>
      <c r="BH381" s="245">
        <v>0</v>
      </c>
      <c r="BK381">
        <v>323</v>
      </c>
      <c r="BL381" s="281"/>
      <c r="BM381" s="281"/>
      <c r="BN381" s="282"/>
      <c r="BO381" s="282"/>
      <c r="BP381" s="282"/>
      <c r="BQ381" s="283"/>
      <c r="BR381" s="284"/>
      <c r="BS381" s="147"/>
      <c r="BT381" s="285"/>
      <c r="BU381" s="288"/>
      <c r="BV381" s="287"/>
      <c r="BW381" s="288"/>
      <c r="BX381" s="286"/>
      <c r="BY381" s="287"/>
      <c r="BZ381" s="288"/>
      <c r="CA381" s="286"/>
      <c r="CB381" s="286"/>
      <c r="CC381" s="287"/>
      <c r="CD381" s="286"/>
      <c r="CE381" s="286"/>
      <c r="CF381" s="286"/>
      <c r="CG381" s="287"/>
      <c r="CH381" s="288"/>
      <c r="CI381" s="286"/>
      <c r="CJ381" s="286"/>
      <c r="CK381" s="287"/>
      <c r="CL381" s="288"/>
      <c r="CM381" s="286"/>
      <c r="CN381" s="294"/>
      <c r="CO381" s="289"/>
      <c r="CP381" s="290"/>
      <c r="CQ381" s="289"/>
      <c r="CR381" s="290"/>
      <c r="CS381" s="284"/>
      <c r="CT381" s="147"/>
      <c r="CU381" s="291"/>
      <c r="CV381" s="292"/>
    </row>
    <row r="382" spans="2:100">
      <c r="B382">
        <v>324</v>
      </c>
      <c r="C382" s="243" t="str">
        <v/>
      </c>
      <c r="D382" s="592" t="str">
        <v/>
      </c>
      <c r="E382" s="245" t="str">
        <v/>
      </c>
      <c r="F382" s="243" t="str">
        <v/>
      </c>
      <c r="G382" s="245" t="str">
        <v/>
      </c>
      <c r="H382" s="243" t="str">
        <v/>
      </c>
      <c r="I382" s="245" t="str">
        <v/>
      </c>
      <c r="J382" s="242" t="str">
        <v/>
      </c>
      <c r="K382" s="242" t="str">
        <v/>
      </c>
      <c r="L382" s="242" t="str">
        <v/>
      </c>
      <c r="M382" s="243" t="str">
        <v/>
      </c>
      <c r="N382" s="592" t="str">
        <v/>
      </c>
      <c r="O382" s="245" t="str">
        <v/>
      </c>
      <c r="P382" s="245" t="str">
        <v/>
      </c>
      <c r="Q382" s="254" t="str">
        <v/>
      </c>
      <c r="R382" s="255" t="str">
        <v/>
      </c>
      <c r="S382" s="256" t="str">
        <v/>
      </c>
      <c r="T382" s="257" t="str">
        <v/>
      </c>
      <c r="U382" s="255" t="str">
        <v/>
      </c>
      <c r="V382" s="256" t="str">
        <v/>
      </c>
      <c r="W382" s="257" t="str">
        <v/>
      </c>
      <c r="X382" s="255" t="str">
        <v/>
      </c>
      <c r="Y382" s="256" t="str">
        <v/>
      </c>
      <c r="Z382" s="257" t="str">
        <v/>
      </c>
      <c r="AA382" s="255" t="str">
        <v/>
      </c>
      <c r="AB382" s="256" t="str">
        <v/>
      </c>
      <c r="AC382" s="257" t="str">
        <v/>
      </c>
      <c r="AD382" s="255" t="str">
        <v/>
      </c>
      <c r="AE382" s="256" t="str">
        <v/>
      </c>
      <c r="AF382" s="257" t="str">
        <v/>
      </c>
      <c r="AG382" s="255" t="str">
        <v/>
      </c>
      <c r="AH382" s="256" t="str">
        <v/>
      </c>
      <c r="AI382" s="257" t="str">
        <v/>
      </c>
      <c r="AJ382" s="255" t="str">
        <v/>
      </c>
      <c r="AK382" s="256" t="str">
        <v/>
      </c>
      <c r="AL382" s="257" t="str">
        <v/>
      </c>
      <c r="AM382" s="255" t="str">
        <v/>
      </c>
      <c r="AN382" s="256" t="str">
        <v/>
      </c>
      <c r="AO382" s="257" t="str">
        <v/>
      </c>
      <c r="AP382" s="255" t="str">
        <v/>
      </c>
      <c r="AQ382" s="256" t="str">
        <v/>
      </c>
      <c r="AR382" s="257" t="str">
        <v/>
      </c>
      <c r="AS382" s="255" t="str">
        <v/>
      </c>
      <c r="AT382" s="256" t="str">
        <v/>
      </c>
      <c r="AU382" s="257" t="str">
        <v/>
      </c>
      <c r="AV382" s="255" t="str">
        <v/>
      </c>
      <c r="AW382" s="256" t="str">
        <v/>
      </c>
      <c r="AX382" s="257" t="str">
        <v/>
      </c>
      <c r="AY382" s="243">
        <v>0</v>
      </c>
      <c r="AZ382" s="244">
        <v>0</v>
      </c>
      <c r="BA382" s="244">
        <v>0</v>
      </c>
      <c r="BB382" s="244">
        <v>0</v>
      </c>
      <c r="BC382" s="244">
        <v>0</v>
      </c>
      <c r="BD382" s="244">
        <v>0</v>
      </c>
      <c r="BE382" s="244">
        <v>0</v>
      </c>
      <c r="BF382" s="244">
        <v>0</v>
      </c>
      <c r="BG382" s="244">
        <v>0</v>
      </c>
      <c r="BH382" s="245">
        <v>0</v>
      </c>
      <c r="BK382">
        <v>324</v>
      </c>
      <c r="BL382" s="281"/>
      <c r="BM382" s="281"/>
      <c r="BN382" s="282"/>
      <c r="BO382" s="282"/>
      <c r="BP382" s="282"/>
      <c r="BQ382" s="283"/>
      <c r="BR382" s="284"/>
      <c r="BS382" s="147"/>
      <c r="BT382" s="285"/>
      <c r="BU382" s="288"/>
      <c r="BV382" s="287"/>
      <c r="BW382" s="288"/>
      <c r="BX382" s="286"/>
      <c r="BY382" s="287"/>
      <c r="BZ382" s="288"/>
      <c r="CA382" s="286"/>
      <c r="CB382" s="286"/>
      <c r="CC382" s="287"/>
      <c r="CD382" s="286"/>
      <c r="CE382" s="286"/>
      <c r="CF382" s="286"/>
      <c r="CG382" s="287"/>
      <c r="CH382" s="288"/>
      <c r="CI382" s="286"/>
      <c r="CJ382" s="286"/>
      <c r="CK382" s="287"/>
      <c r="CL382" s="288"/>
      <c r="CM382" s="286"/>
      <c r="CN382" s="294"/>
      <c r="CO382" s="289"/>
      <c r="CP382" s="290"/>
      <c r="CQ382" s="289"/>
      <c r="CR382" s="290"/>
      <c r="CS382" s="284"/>
      <c r="CT382" s="147"/>
      <c r="CU382" s="291"/>
      <c r="CV382" s="292"/>
    </row>
    <row r="383" spans="2:100">
      <c r="B383">
        <v>325</v>
      </c>
      <c r="C383" s="243" t="str">
        <v/>
      </c>
      <c r="D383" s="592" t="str">
        <v/>
      </c>
      <c r="E383" s="245" t="str">
        <v/>
      </c>
      <c r="F383" s="243" t="str">
        <v/>
      </c>
      <c r="G383" s="245" t="str">
        <v/>
      </c>
      <c r="H383" s="243" t="str">
        <v/>
      </c>
      <c r="I383" s="245" t="str">
        <v/>
      </c>
      <c r="J383" s="242" t="str">
        <v/>
      </c>
      <c r="K383" s="242" t="str">
        <v/>
      </c>
      <c r="L383" s="242" t="str">
        <v/>
      </c>
      <c r="M383" s="243" t="str">
        <v/>
      </c>
      <c r="N383" s="592" t="str">
        <v/>
      </c>
      <c r="O383" s="245" t="str">
        <v/>
      </c>
      <c r="P383" s="245" t="str">
        <v/>
      </c>
      <c r="Q383" s="254" t="str">
        <v/>
      </c>
      <c r="R383" s="255" t="str">
        <v/>
      </c>
      <c r="S383" s="256" t="str">
        <v/>
      </c>
      <c r="T383" s="257" t="str">
        <v/>
      </c>
      <c r="U383" s="255" t="str">
        <v/>
      </c>
      <c r="V383" s="256" t="str">
        <v/>
      </c>
      <c r="W383" s="257" t="str">
        <v/>
      </c>
      <c r="X383" s="255" t="str">
        <v/>
      </c>
      <c r="Y383" s="256" t="str">
        <v/>
      </c>
      <c r="Z383" s="257" t="str">
        <v/>
      </c>
      <c r="AA383" s="255" t="str">
        <v/>
      </c>
      <c r="AB383" s="256" t="str">
        <v/>
      </c>
      <c r="AC383" s="257" t="str">
        <v/>
      </c>
      <c r="AD383" s="255" t="str">
        <v/>
      </c>
      <c r="AE383" s="256" t="str">
        <v/>
      </c>
      <c r="AF383" s="257" t="str">
        <v/>
      </c>
      <c r="AG383" s="255" t="str">
        <v/>
      </c>
      <c r="AH383" s="256" t="str">
        <v/>
      </c>
      <c r="AI383" s="257" t="str">
        <v/>
      </c>
      <c r="AJ383" s="255" t="str">
        <v/>
      </c>
      <c r="AK383" s="256" t="str">
        <v/>
      </c>
      <c r="AL383" s="257" t="str">
        <v/>
      </c>
      <c r="AM383" s="255" t="str">
        <v/>
      </c>
      <c r="AN383" s="256" t="str">
        <v/>
      </c>
      <c r="AO383" s="257" t="str">
        <v/>
      </c>
      <c r="AP383" s="255" t="str">
        <v/>
      </c>
      <c r="AQ383" s="256" t="str">
        <v/>
      </c>
      <c r="AR383" s="257" t="str">
        <v/>
      </c>
      <c r="AS383" s="255" t="str">
        <v/>
      </c>
      <c r="AT383" s="256" t="str">
        <v/>
      </c>
      <c r="AU383" s="257" t="str">
        <v/>
      </c>
      <c r="AV383" s="255" t="str">
        <v/>
      </c>
      <c r="AW383" s="256" t="str">
        <v/>
      </c>
      <c r="AX383" s="257" t="str">
        <v/>
      </c>
      <c r="AY383" s="243">
        <v>0</v>
      </c>
      <c r="AZ383" s="244">
        <v>0</v>
      </c>
      <c r="BA383" s="244">
        <v>0</v>
      </c>
      <c r="BB383" s="244">
        <v>0</v>
      </c>
      <c r="BC383" s="244">
        <v>0</v>
      </c>
      <c r="BD383" s="244">
        <v>0</v>
      </c>
      <c r="BE383" s="244">
        <v>0</v>
      </c>
      <c r="BF383" s="244">
        <v>0</v>
      </c>
      <c r="BG383" s="244">
        <v>0</v>
      </c>
      <c r="BH383" s="245">
        <v>0</v>
      </c>
      <c r="BK383">
        <v>325</v>
      </c>
      <c r="BL383" s="281"/>
      <c r="BM383" s="281"/>
      <c r="BN383" s="282"/>
      <c r="BO383" s="282"/>
      <c r="BP383" s="282"/>
      <c r="BQ383" s="283"/>
      <c r="BR383" s="284"/>
      <c r="BS383" s="147"/>
      <c r="BT383" s="285"/>
      <c r="BU383" s="288"/>
      <c r="BV383" s="287"/>
      <c r="BW383" s="288"/>
      <c r="BX383" s="286"/>
      <c r="BY383" s="287"/>
      <c r="BZ383" s="288"/>
      <c r="CA383" s="286"/>
      <c r="CB383" s="286"/>
      <c r="CC383" s="287"/>
      <c r="CD383" s="286"/>
      <c r="CE383" s="286"/>
      <c r="CF383" s="286"/>
      <c r="CG383" s="287"/>
      <c r="CH383" s="288"/>
      <c r="CI383" s="286"/>
      <c r="CJ383" s="286"/>
      <c r="CK383" s="287"/>
      <c r="CL383" s="288"/>
      <c r="CM383" s="286"/>
      <c r="CN383" s="294"/>
      <c r="CO383" s="289"/>
      <c r="CP383" s="290"/>
      <c r="CQ383" s="289"/>
      <c r="CR383" s="290"/>
      <c r="CS383" s="284"/>
      <c r="CT383" s="147"/>
      <c r="CU383" s="291"/>
      <c r="CV383" s="292"/>
    </row>
    <row r="384" spans="2:100">
      <c r="B384">
        <v>326</v>
      </c>
      <c r="C384" s="243" t="str">
        <v/>
      </c>
      <c r="D384" s="592" t="str">
        <v/>
      </c>
      <c r="E384" s="245" t="str">
        <v/>
      </c>
      <c r="F384" s="243" t="str">
        <v/>
      </c>
      <c r="G384" s="245" t="str">
        <v/>
      </c>
      <c r="H384" s="243" t="str">
        <v/>
      </c>
      <c r="I384" s="245" t="str">
        <v/>
      </c>
      <c r="J384" s="242" t="str">
        <v/>
      </c>
      <c r="K384" s="242" t="str">
        <v/>
      </c>
      <c r="L384" s="242" t="str">
        <v/>
      </c>
      <c r="M384" s="243" t="str">
        <v/>
      </c>
      <c r="N384" s="592" t="str">
        <v/>
      </c>
      <c r="O384" s="245" t="str">
        <v/>
      </c>
      <c r="P384" s="245" t="str">
        <v/>
      </c>
      <c r="Q384" s="254" t="str">
        <v/>
      </c>
      <c r="R384" s="255" t="str">
        <v/>
      </c>
      <c r="S384" s="256" t="str">
        <v/>
      </c>
      <c r="T384" s="257" t="str">
        <v/>
      </c>
      <c r="U384" s="255" t="str">
        <v/>
      </c>
      <c r="V384" s="256" t="str">
        <v/>
      </c>
      <c r="W384" s="257" t="str">
        <v/>
      </c>
      <c r="X384" s="255" t="str">
        <v/>
      </c>
      <c r="Y384" s="256" t="str">
        <v/>
      </c>
      <c r="Z384" s="257" t="str">
        <v/>
      </c>
      <c r="AA384" s="255" t="str">
        <v/>
      </c>
      <c r="AB384" s="256" t="str">
        <v/>
      </c>
      <c r="AC384" s="257" t="str">
        <v/>
      </c>
      <c r="AD384" s="255" t="str">
        <v/>
      </c>
      <c r="AE384" s="256" t="str">
        <v/>
      </c>
      <c r="AF384" s="257" t="str">
        <v/>
      </c>
      <c r="AG384" s="255" t="str">
        <v/>
      </c>
      <c r="AH384" s="256" t="str">
        <v/>
      </c>
      <c r="AI384" s="257" t="str">
        <v/>
      </c>
      <c r="AJ384" s="255" t="str">
        <v/>
      </c>
      <c r="AK384" s="256" t="str">
        <v/>
      </c>
      <c r="AL384" s="257" t="str">
        <v/>
      </c>
      <c r="AM384" s="255" t="str">
        <v/>
      </c>
      <c r="AN384" s="256" t="str">
        <v/>
      </c>
      <c r="AO384" s="257" t="str">
        <v/>
      </c>
      <c r="AP384" s="255" t="str">
        <v/>
      </c>
      <c r="AQ384" s="256" t="str">
        <v/>
      </c>
      <c r="AR384" s="257" t="str">
        <v/>
      </c>
      <c r="AS384" s="255" t="str">
        <v/>
      </c>
      <c r="AT384" s="256" t="str">
        <v/>
      </c>
      <c r="AU384" s="257" t="str">
        <v/>
      </c>
      <c r="AV384" s="255" t="str">
        <v/>
      </c>
      <c r="AW384" s="256" t="str">
        <v/>
      </c>
      <c r="AX384" s="257" t="str">
        <v/>
      </c>
      <c r="AY384" s="243">
        <v>0</v>
      </c>
      <c r="AZ384" s="244">
        <v>0</v>
      </c>
      <c r="BA384" s="244">
        <v>0</v>
      </c>
      <c r="BB384" s="244">
        <v>0</v>
      </c>
      <c r="BC384" s="244">
        <v>0</v>
      </c>
      <c r="BD384" s="244">
        <v>0</v>
      </c>
      <c r="BE384" s="244">
        <v>0</v>
      </c>
      <c r="BF384" s="244">
        <v>0</v>
      </c>
      <c r="BG384" s="244">
        <v>0</v>
      </c>
      <c r="BH384" s="245">
        <v>0</v>
      </c>
      <c r="BK384">
        <v>326</v>
      </c>
      <c r="BL384" s="281"/>
      <c r="BM384" s="281"/>
      <c r="BN384" s="282"/>
      <c r="BO384" s="282"/>
      <c r="BP384" s="282"/>
      <c r="BQ384" s="283"/>
      <c r="BR384" s="284"/>
      <c r="BS384" s="147"/>
      <c r="BT384" s="285"/>
      <c r="BU384" s="288"/>
      <c r="BV384" s="287"/>
      <c r="BW384" s="288"/>
      <c r="BX384" s="286"/>
      <c r="BY384" s="287"/>
      <c r="BZ384" s="288"/>
      <c r="CA384" s="286"/>
      <c r="CB384" s="286"/>
      <c r="CC384" s="287"/>
      <c r="CD384" s="286"/>
      <c r="CE384" s="286"/>
      <c r="CF384" s="286"/>
      <c r="CG384" s="287"/>
      <c r="CH384" s="288"/>
      <c r="CI384" s="286"/>
      <c r="CJ384" s="286"/>
      <c r="CK384" s="287"/>
      <c r="CL384" s="288"/>
      <c r="CM384" s="286"/>
      <c r="CN384" s="294"/>
      <c r="CO384" s="289"/>
      <c r="CP384" s="290"/>
      <c r="CQ384" s="289"/>
      <c r="CR384" s="290"/>
      <c r="CS384" s="284"/>
      <c r="CT384" s="147"/>
      <c r="CU384" s="291"/>
      <c r="CV384" s="292"/>
    </row>
    <row r="385" spans="2:100">
      <c r="B385">
        <v>327</v>
      </c>
      <c r="C385" s="243" t="str">
        <v/>
      </c>
      <c r="D385" s="592" t="str">
        <v/>
      </c>
      <c r="E385" s="245" t="str">
        <v/>
      </c>
      <c r="F385" s="243" t="str">
        <v/>
      </c>
      <c r="G385" s="245" t="str">
        <v/>
      </c>
      <c r="H385" s="243" t="str">
        <v/>
      </c>
      <c r="I385" s="245" t="str">
        <v/>
      </c>
      <c r="J385" s="242" t="str">
        <v/>
      </c>
      <c r="K385" s="242" t="str">
        <v/>
      </c>
      <c r="L385" s="242" t="str">
        <v/>
      </c>
      <c r="M385" s="243" t="str">
        <v/>
      </c>
      <c r="N385" s="592" t="str">
        <v/>
      </c>
      <c r="O385" s="245" t="str">
        <v/>
      </c>
      <c r="P385" s="245" t="str">
        <v/>
      </c>
      <c r="Q385" s="254" t="str">
        <v/>
      </c>
      <c r="R385" s="255" t="str">
        <v/>
      </c>
      <c r="S385" s="256" t="str">
        <v/>
      </c>
      <c r="T385" s="257" t="str">
        <v/>
      </c>
      <c r="U385" s="255" t="str">
        <v/>
      </c>
      <c r="V385" s="256" t="str">
        <v/>
      </c>
      <c r="W385" s="257" t="str">
        <v/>
      </c>
      <c r="X385" s="255" t="str">
        <v/>
      </c>
      <c r="Y385" s="256" t="str">
        <v/>
      </c>
      <c r="Z385" s="257" t="str">
        <v/>
      </c>
      <c r="AA385" s="255" t="str">
        <v/>
      </c>
      <c r="AB385" s="256" t="str">
        <v/>
      </c>
      <c r="AC385" s="257" t="str">
        <v/>
      </c>
      <c r="AD385" s="255" t="str">
        <v/>
      </c>
      <c r="AE385" s="256" t="str">
        <v/>
      </c>
      <c r="AF385" s="257" t="str">
        <v/>
      </c>
      <c r="AG385" s="255" t="str">
        <v/>
      </c>
      <c r="AH385" s="256" t="str">
        <v/>
      </c>
      <c r="AI385" s="257" t="str">
        <v/>
      </c>
      <c r="AJ385" s="255" t="str">
        <v/>
      </c>
      <c r="AK385" s="256" t="str">
        <v/>
      </c>
      <c r="AL385" s="257" t="str">
        <v/>
      </c>
      <c r="AM385" s="255" t="str">
        <v/>
      </c>
      <c r="AN385" s="256" t="str">
        <v/>
      </c>
      <c r="AO385" s="257" t="str">
        <v/>
      </c>
      <c r="AP385" s="255" t="str">
        <v/>
      </c>
      <c r="AQ385" s="256" t="str">
        <v/>
      </c>
      <c r="AR385" s="257" t="str">
        <v/>
      </c>
      <c r="AS385" s="255" t="str">
        <v/>
      </c>
      <c r="AT385" s="256" t="str">
        <v/>
      </c>
      <c r="AU385" s="257" t="str">
        <v/>
      </c>
      <c r="AV385" s="255" t="str">
        <v/>
      </c>
      <c r="AW385" s="256" t="str">
        <v/>
      </c>
      <c r="AX385" s="257" t="str">
        <v/>
      </c>
      <c r="AY385" s="243">
        <v>0</v>
      </c>
      <c r="AZ385" s="244">
        <v>0</v>
      </c>
      <c r="BA385" s="244">
        <v>0</v>
      </c>
      <c r="BB385" s="244">
        <v>0</v>
      </c>
      <c r="BC385" s="244">
        <v>0</v>
      </c>
      <c r="BD385" s="244">
        <v>0</v>
      </c>
      <c r="BE385" s="244">
        <v>0</v>
      </c>
      <c r="BF385" s="244">
        <v>0</v>
      </c>
      <c r="BG385" s="244">
        <v>0</v>
      </c>
      <c r="BH385" s="245">
        <v>0</v>
      </c>
      <c r="BK385">
        <v>327</v>
      </c>
      <c r="BL385" s="281"/>
      <c r="BM385" s="281"/>
      <c r="BN385" s="282"/>
      <c r="BO385" s="282"/>
      <c r="BP385" s="282"/>
      <c r="BQ385" s="283"/>
      <c r="BR385" s="284"/>
      <c r="BS385" s="147"/>
      <c r="BT385" s="285"/>
      <c r="BU385" s="288"/>
      <c r="BV385" s="287"/>
      <c r="BW385" s="288"/>
      <c r="BX385" s="286"/>
      <c r="BY385" s="287"/>
      <c r="BZ385" s="288"/>
      <c r="CA385" s="286"/>
      <c r="CB385" s="286"/>
      <c r="CC385" s="287"/>
      <c r="CD385" s="286"/>
      <c r="CE385" s="286"/>
      <c r="CF385" s="286"/>
      <c r="CG385" s="287"/>
      <c r="CH385" s="288"/>
      <c r="CI385" s="286"/>
      <c r="CJ385" s="286"/>
      <c r="CK385" s="287"/>
      <c r="CL385" s="288"/>
      <c r="CM385" s="286"/>
      <c r="CN385" s="294"/>
      <c r="CO385" s="289"/>
      <c r="CP385" s="290"/>
      <c r="CQ385" s="289"/>
      <c r="CR385" s="290"/>
      <c r="CS385" s="284"/>
      <c r="CT385" s="147"/>
      <c r="CU385" s="291"/>
      <c r="CV385" s="292"/>
    </row>
    <row r="386" spans="2:100">
      <c r="B386">
        <v>328</v>
      </c>
      <c r="C386" s="243" t="str">
        <v/>
      </c>
      <c r="D386" s="592" t="str">
        <v/>
      </c>
      <c r="E386" s="245" t="str">
        <v/>
      </c>
      <c r="F386" s="243" t="str">
        <v/>
      </c>
      <c r="G386" s="245" t="str">
        <v/>
      </c>
      <c r="H386" s="243" t="str">
        <v/>
      </c>
      <c r="I386" s="245" t="str">
        <v/>
      </c>
      <c r="J386" s="242" t="str">
        <v/>
      </c>
      <c r="K386" s="242" t="str">
        <v/>
      </c>
      <c r="L386" s="242" t="str">
        <v/>
      </c>
      <c r="M386" s="243" t="str">
        <v/>
      </c>
      <c r="N386" s="592" t="str">
        <v/>
      </c>
      <c r="O386" s="245" t="str">
        <v/>
      </c>
      <c r="P386" s="245" t="str">
        <v/>
      </c>
      <c r="Q386" s="254" t="str">
        <v/>
      </c>
      <c r="R386" s="255" t="str">
        <v/>
      </c>
      <c r="S386" s="256" t="str">
        <v/>
      </c>
      <c r="T386" s="257" t="str">
        <v/>
      </c>
      <c r="U386" s="255" t="str">
        <v/>
      </c>
      <c r="V386" s="256" t="str">
        <v/>
      </c>
      <c r="W386" s="257" t="str">
        <v/>
      </c>
      <c r="X386" s="255" t="str">
        <v/>
      </c>
      <c r="Y386" s="256" t="str">
        <v/>
      </c>
      <c r="Z386" s="257" t="str">
        <v/>
      </c>
      <c r="AA386" s="255" t="str">
        <v/>
      </c>
      <c r="AB386" s="256" t="str">
        <v/>
      </c>
      <c r="AC386" s="257" t="str">
        <v/>
      </c>
      <c r="AD386" s="255" t="str">
        <v/>
      </c>
      <c r="AE386" s="256" t="str">
        <v/>
      </c>
      <c r="AF386" s="257" t="str">
        <v/>
      </c>
      <c r="AG386" s="255" t="str">
        <v/>
      </c>
      <c r="AH386" s="256" t="str">
        <v/>
      </c>
      <c r="AI386" s="257" t="str">
        <v/>
      </c>
      <c r="AJ386" s="255" t="str">
        <v/>
      </c>
      <c r="AK386" s="256" t="str">
        <v/>
      </c>
      <c r="AL386" s="257" t="str">
        <v/>
      </c>
      <c r="AM386" s="255" t="str">
        <v/>
      </c>
      <c r="AN386" s="256" t="str">
        <v/>
      </c>
      <c r="AO386" s="257" t="str">
        <v/>
      </c>
      <c r="AP386" s="255" t="str">
        <v/>
      </c>
      <c r="AQ386" s="256" t="str">
        <v/>
      </c>
      <c r="AR386" s="257" t="str">
        <v/>
      </c>
      <c r="AS386" s="255" t="str">
        <v/>
      </c>
      <c r="AT386" s="256" t="str">
        <v/>
      </c>
      <c r="AU386" s="257" t="str">
        <v/>
      </c>
      <c r="AV386" s="255" t="str">
        <v/>
      </c>
      <c r="AW386" s="256" t="str">
        <v/>
      </c>
      <c r="AX386" s="257" t="str">
        <v/>
      </c>
      <c r="AY386" s="243">
        <v>0</v>
      </c>
      <c r="AZ386" s="244">
        <v>0</v>
      </c>
      <c r="BA386" s="244">
        <v>0</v>
      </c>
      <c r="BB386" s="244">
        <v>0</v>
      </c>
      <c r="BC386" s="244">
        <v>0</v>
      </c>
      <c r="BD386" s="244">
        <v>0</v>
      </c>
      <c r="BE386" s="244">
        <v>0</v>
      </c>
      <c r="BF386" s="244">
        <v>0</v>
      </c>
      <c r="BG386" s="244">
        <v>0</v>
      </c>
      <c r="BH386" s="245">
        <v>0</v>
      </c>
      <c r="BK386">
        <v>328</v>
      </c>
      <c r="BL386" s="281"/>
      <c r="BM386" s="281"/>
      <c r="BN386" s="282"/>
      <c r="BO386" s="282"/>
      <c r="BP386" s="282"/>
      <c r="BQ386" s="283"/>
      <c r="BR386" s="284"/>
      <c r="BS386" s="147"/>
      <c r="BT386" s="285"/>
      <c r="BU386" s="288"/>
      <c r="BV386" s="287"/>
      <c r="BW386" s="288"/>
      <c r="BX386" s="286"/>
      <c r="BY386" s="287"/>
      <c r="BZ386" s="288"/>
      <c r="CA386" s="286"/>
      <c r="CB386" s="286"/>
      <c r="CC386" s="287"/>
      <c r="CD386" s="286"/>
      <c r="CE386" s="286"/>
      <c r="CF386" s="286"/>
      <c r="CG386" s="287"/>
      <c r="CH386" s="288"/>
      <c r="CI386" s="286"/>
      <c r="CJ386" s="286"/>
      <c r="CK386" s="287"/>
      <c r="CL386" s="288"/>
      <c r="CM386" s="286"/>
      <c r="CN386" s="294"/>
      <c r="CO386" s="289"/>
      <c r="CP386" s="290"/>
      <c r="CQ386" s="289"/>
      <c r="CR386" s="290"/>
      <c r="CS386" s="284"/>
      <c r="CT386" s="147"/>
      <c r="CU386" s="291"/>
      <c r="CV386" s="292"/>
    </row>
    <row r="387" spans="2:100">
      <c r="B387">
        <v>329</v>
      </c>
      <c r="C387" s="243" t="str">
        <v/>
      </c>
      <c r="D387" s="592" t="str">
        <v/>
      </c>
      <c r="E387" s="245" t="str">
        <v/>
      </c>
      <c r="F387" s="243" t="str">
        <v/>
      </c>
      <c r="G387" s="245" t="str">
        <v/>
      </c>
      <c r="H387" s="243" t="str">
        <v/>
      </c>
      <c r="I387" s="245" t="str">
        <v/>
      </c>
      <c r="J387" s="242" t="str">
        <v/>
      </c>
      <c r="K387" s="242" t="str">
        <v/>
      </c>
      <c r="L387" s="242" t="str">
        <v/>
      </c>
      <c r="M387" s="243" t="str">
        <v/>
      </c>
      <c r="N387" s="592" t="str">
        <v/>
      </c>
      <c r="O387" s="245" t="str">
        <v/>
      </c>
      <c r="P387" s="245" t="str">
        <v/>
      </c>
      <c r="Q387" s="254" t="str">
        <v/>
      </c>
      <c r="R387" s="255" t="str">
        <v/>
      </c>
      <c r="S387" s="256" t="str">
        <v/>
      </c>
      <c r="T387" s="257" t="str">
        <v/>
      </c>
      <c r="U387" s="255" t="str">
        <v/>
      </c>
      <c r="V387" s="256" t="str">
        <v/>
      </c>
      <c r="W387" s="257" t="str">
        <v/>
      </c>
      <c r="X387" s="255" t="str">
        <v/>
      </c>
      <c r="Y387" s="256" t="str">
        <v/>
      </c>
      <c r="Z387" s="257" t="str">
        <v/>
      </c>
      <c r="AA387" s="255" t="str">
        <v/>
      </c>
      <c r="AB387" s="256" t="str">
        <v/>
      </c>
      <c r="AC387" s="257" t="str">
        <v/>
      </c>
      <c r="AD387" s="255" t="str">
        <v/>
      </c>
      <c r="AE387" s="256" t="str">
        <v/>
      </c>
      <c r="AF387" s="257" t="str">
        <v/>
      </c>
      <c r="AG387" s="255" t="str">
        <v/>
      </c>
      <c r="AH387" s="256" t="str">
        <v/>
      </c>
      <c r="AI387" s="257" t="str">
        <v/>
      </c>
      <c r="AJ387" s="255" t="str">
        <v/>
      </c>
      <c r="AK387" s="256" t="str">
        <v/>
      </c>
      <c r="AL387" s="257" t="str">
        <v/>
      </c>
      <c r="AM387" s="255" t="str">
        <v/>
      </c>
      <c r="AN387" s="256" t="str">
        <v/>
      </c>
      <c r="AO387" s="257" t="str">
        <v/>
      </c>
      <c r="AP387" s="255" t="str">
        <v/>
      </c>
      <c r="AQ387" s="256" t="str">
        <v/>
      </c>
      <c r="AR387" s="257" t="str">
        <v/>
      </c>
      <c r="AS387" s="255" t="str">
        <v/>
      </c>
      <c r="AT387" s="256" t="str">
        <v/>
      </c>
      <c r="AU387" s="257" t="str">
        <v/>
      </c>
      <c r="AV387" s="255" t="str">
        <v/>
      </c>
      <c r="AW387" s="256" t="str">
        <v/>
      </c>
      <c r="AX387" s="257" t="str">
        <v/>
      </c>
      <c r="AY387" s="243">
        <v>0</v>
      </c>
      <c r="AZ387" s="244">
        <v>0</v>
      </c>
      <c r="BA387" s="244">
        <v>0</v>
      </c>
      <c r="BB387" s="244">
        <v>0</v>
      </c>
      <c r="BC387" s="244">
        <v>0</v>
      </c>
      <c r="BD387" s="244">
        <v>0</v>
      </c>
      <c r="BE387" s="244">
        <v>0</v>
      </c>
      <c r="BF387" s="244">
        <v>0</v>
      </c>
      <c r="BG387" s="244">
        <v>0</v>
      </c>
      <c r="BH387" s="245">
        <v>0</v>
      </c>
      <c r="BK387">
        <v>329</v>
      </c>
      <c r="BL387" s="281"/>
      <c r="BM387" s="281"/>
      <c r="BN387" s="282"/>
      <c r="BO387" s="282"/>
      <c r="BP387" s="282"/>
      <c r="BQ387" s="283"/>
      <c r="BR387" s="284"/>
      <c r="BS387" s="147"/>
      <c r="BT387" s="285"/>
      <c r="BU387" s="288"/>
      <c r="BV387" s="287"/>
      <c r="BW387" s="288"/>
      <c r="BX387" s="286"/>
      <c r="BY387" s="287"/>
      <c r="BZ387" s="288"/>
      <c r="CA387" s="286"/>
      <c r="CB387" s="286"/>
      <c r="CC387" s="287"/>
      <c r="CD387" s="286"/>
      <c r="CE387" s="286"/>
      <c r="CF387" s="286"/>
      <c r="CG387" s="287"/>
      <c r="CH387" s="288"/>
      <c r="CI387" s="286"/>
      <c r="CJ387" s="286"/>
      <c r="CK387" s="287"/>
      <c r="CL387" s="288"/>
      <c r="CM387" s="286"/>
      <c r="CN387" s="294"/>
      <c r="CO387" s="289"/>
      <c r="CP387" s="290"/>
      <c r="CQ387" s="289"/>
      <c r="CR387" s="290"/>
      <c r="CS387" s="284"/>
      <c r="CT387" s="147"/>
      <c r="CU387" s="291"/>
      <c r="CV387" s="292"/>
    </row>
    <row r="388" spans="2:100">
      <c r="B388">
        <v>330</v>
      </c>
      <c r="C388" s="243" t="str">
        <v/>
      </c>
      <c r="D388" s="592" t="str">
        <v/>
      </c>
      <c r="E388" s="245" t="str">
        <v/>
      </c>
      <c r="F388" s="243" t="str">
        <v/>
      </c>
      <c r="G388" s="245" t="str">
        <v/>
      </c>
      <c r="H388" s="243" t="str">
        <v/>
      </c>
      <c r="I388" s="245" t="str">
        <v/>
      </c>
      <c r="J388" s="242" t="str">
        <v/>
      </c>
      <c r="K388" s="242" t="str">
        <v/>
      </c>
      <c r="L388" s="242" t="str">
        <v/>
      </c>
      <c r="M388" s="243" t="str">
        <v/>
      </c>
      <c r="N388" s="592" t="str">
        <v/>
      </c>
      <c r="O388" s="245" t="str">
        <v/>
      </c>
      <c r="P388" s="245" t="str">
        <v/>
      </c>
      <c r="Q388" s="254" t="str">
        <v/>
      </c>
      <c r="R388" s="255" t="str">
        <v/>
      </c>
      <c r="S388" s="256" t="str">
        <v/>
      </c>
      <c r="T388" s="257" t="str">
        <v/>
      </c>
      <c r="U388" s="255" t="str">
        <v/>
      </c>
      <c r="V388" s="256" t="str">
        <v/>
      </c>
      <c r="W388" s="257" t="str">
        <v/>
      </c>
      <c r="X388" s="255" t="str">
        <v/>
      </c>
      <c r="Y388" s="256" t="str">
        <v/>
      </c>
      <c r="Z388" s="257" t="str">
        <v/>
      </c>
      <c r="AA388" s="255" t="str">
        <v/>
      </c>
      <c r="AB388" s="256" t="str">
        <v/>
      </c>
      <c r="AC388" s="257" t="str">
        <v/>
      </c>
      <c r="AD388" s="255" t="str">
        <v/>
      </c>
      <c r="AE388" s="256" t="str">
        <v/>
      </c>
      <c r="AF388" s="257" t="str">
        <v/>
      </c>
      <c r="AG388" s="255" t="str">
        <v/>
      </c>
      <c r="AH388" s="256" t="str">
        <v/>
      </c>
      <c r="AI388" s="257" t="str">
        <v/>
      </c>
      <c r="AJ388" s="255" t="str">
        <v/>
      </c>
      <c r="AK388" s="256" t="str">
        <v/>
      </c>
      <c r="AL388" s="257" t="str">
        <v/>
      </c>
      <c r="AM388" s="255" t="str">
        <v/>
      </c>
      <c r="AN388" s="256" t="str">
        <v/>
      </c>
      <c r="AO388" s="257" t="str">
        <v/>
      </c>
      <c r="AP388" s="255" t="str">
        <v/>
      </c>
      <c r="AQ388" s="256" t="str">
        <v/>
      </c>
      <c r="AR388" s="257" t="str">
        <v/>
      </c>
      <c r="AS388" s="255" t="str">
        <v/>
      </c>
      <c r="AT388" s="256" t="str">
        <v/>
      </c>
      <c r="AU388" s="257" t="str">
        <v/>
      </c>
      <c r="AV388" s="255" t="str">
        <v/>
      </c>
      <c r="AW388" s="256" t="str">
        <v/>
      </c>
      <c r="AX388" s="257" t="str">
        <v/>
      </c>
      <c r="AY388" s="243">
        <v>0</v>
      </c>
      <c r="AZ388" s="244">
        <v>0</v>
      </c>
      <c r="BA388" s="244">
        <v>0</v>
      </c>
      <c r="BB388" s="244">
        <v>0</v>
      </c>
      <c r="BC388" s="244">
        <v>0</v>
      </c>
      <c r="BD388" s="244">
        <v>0</v>
      </c>
      <c r="BE388" s="244">
        <v>0</v>
      </c>
      <c r="BF388" s="244">
        <v>0</v>
      </c>
      <c r="BG388" s="244">
        <v>0</v>
      </c>
      <c r="BH388" s="245">
        <v>0</v>
      </c>
      <c r="BK388">
        <v>330</v>
      </c>
      <c r="BL388" s="281"/>
      <c r="BM388" s="281"/>
      <c r="BN388" s="282"/>
      <c r="BO388" s="282"/>
      <c r="BP388" s="282"/>
      <c r="BQ388" s="283"/>
      <c r="BR388" s="284"/>
      <c r="BS388" s="147"/>
      <c r="BT388" s="285"/>
      <c r="BU388" s="288"/>
      <c r="BV388" s="287"/>
      <c r="BW388" s="288"/>
      <c r="BX388" s="286"/>
      <c r="BY388" s="287"/>
      <c r="BZ388" s="288"/>
      <c r="CA388" s="286"/>
      <c r="CB388" s="286"/>
      <c r="CC388" s="287"/>
      <c r="CD388" s="286"/>
      <c r="CE388" s="286"/>
      <c r="CF388" s="286"/>
      <c r="CG388" s="287"/>
      <c r="CH388" s="288"/>
      <c r="CI388" s="286"/>
      <c r="CJ388" s="286"/>
      <c r="CK388" s="287"/>
      <c r="CL388" s="288"/>
      <c r="CM388" s="286"/>
      <c r="CN388" s="294"/>
      <c r="CO388" s="289"/>
      <c r="CP388" s="290"/>
      <c r="CQ388" s="289"/>
      <c r="CR388" s="290"/>
      <c r="CS388" s="284"/>
      <c r="CT388" s="147"/>
      <c r="CU388" s="291"/>
      <c r="CV388" s="292"/>
    </row>
    <row r="389" spans="2:100">
      <c r="B389">
        <v>331</v>
      </c>
      <c r="C389" s="243" t="str">
        <v/>
      </c>
      <c r="D389" s="592" t="str">
        <v/>
      </c>
      <c r="E389" s="245" t="str">
        <v/>
      </c>
      <c r="F389" s="243" t="str">
        <v/>
      </c>
      <c r="G389" s="245" t="str">
        <v/>
      </c>
      <c r="H389" s="243" t="str">
        <v/>
      </c>
      <c r="I389" s="245" t="str">
        <v/>
      </c>
      <c r="J389" s="242" t="str">
        <v/>
      </c>
      <c r="K389" s="242" t="str">
        <v/>
      </c>
      <c r="L389" s="242" t="str">
        <v/>
      </c>
      <c r="M389" s="243" t="str">
        <v/>
      </c>
      <c r="N389" s="592" t="str">
        <v/>
      </c>
      <c r="O389" s="245" t="str">
        <v/>
      </c>
      <c r="P389" s="245" t="str">
        <v/>
      </c>
      <c r="Q389" s="254" t="str">
        <v/>
      </c>
      <c r="R389" s="255" t="str">
        <v/>
      </c>
      <c r="S389" s="256" t="str">
        <v/>
      </c>
      <c r="T389" s="257" t="str">
        <v/>
      </c>
      <c r="U389" s="255" t="str">
        <v/>
      </c>
      <c r="V389" s="256" t="str">
        <v/>
      </c>
      <c r="W389" s="257" t="str">
        <v/>
      </c>
      <c r="X389" s="255" t="str">
        <v/>
      </c>
      <c r="Y389" s="256" t="str">
        <v/>
      </c>
      <c r="Z389" s="257" t="str">
        <v/>
      </c>
      <c r="AA389" s="255" t="str">
        <v/>
      </c>
      <c r="AB389" s="256" t="str">
        <v/>
      </c>
      <c r="AC389" s="257" t="str">
        <v/>
      </c>
      <c r="AD389" s="255" t="str">
        <v/>
      </c>
      <c r="AE389" s="256" t="str">
        <v/>
      </c>
      <c r="AF389" s="257" t="str">
        <v/>
      </c>
      <c r="AG389" s="255" t="str">
        <v/>
      </c>
      <c r="AH389" s="256" t="str">
        <v/>
      </c>
      <c r="AI389" s="257" t="str">
        <v/>
      </c>
      <c r="AJ389" s="255" t="str">
        <v/>
      </c>
      <c r="AK389" s="256" t="str">
        <v/>
      </c>
      <c r="AL389" s="257" t="str">
        <v/>
      </c>
      <c r="AM389" s="255" t="str">
        <v/>
      </c>
      <c r="AN389" s="256" t="str">
        <v/>
      </c>
      <c r="AO389" s="257" t="str">
        <v/>
      </c>
      <c r="AP389" s="255" t="str">
        <v/>
      </c>
      <c r="AQ389" s="256" t="str">
        <v/>
      </c>
      <c r="AR389" s="257" t="str">
        <v/>
      </c>
      <c r="AS389" s="255" t="str">
        <v/>
      </c>
      <c r="AT389" s="256" t="str">
        <v/>
      </c>
      <c r="AU389" s="257" t="str">
        <v/>
      </c>
      <c r="AV389" s="255" t="str">
        <v/>
      </c>
      <c r="AW389" s="256" t="str">
        <v/>
      </c>
      <c r="AX389" s="257" t="str">
        <v/>
      </c>
      <c r="AY389" s="243">
        <v>0</v>
      </c>
      <c r="AZ389" s="244">
        <v>0</v>
      </c>
      <c r="BA389" s="244">
        <v>0</v>
      </c>
      <c r="BB389" s="244">
        <v>0</v>
      </c>
      <c r="BC389" s="244">
        <v>0</v>
      </c>
      <c r="BD389" s="244">
        <v>0</v>
      </c>
      <c r="BE389" s="244">
        <v>0</v>
      </c>
      <c r="BF389" s="244">
        <v>0</v>
      </c>
      <c r="BG389" s="244">
        <v>0</v>
      </c>
      <c r="BH389" s="245">
        <v>0</v>
      </c>
      <c r="BK389">
        <v>331</v>
      </c>
      <c r="BL389" s="281"/>
      <c r="BM389" s="281"/>
      <c r="BN389" s="282"/>
      <c r="BO389" s="282"/>
      <c r="BP389" s="282"/>
      <c r="BQ389" s="283"/>
      <c r="BR389" s="284"/>
      <c r="BS389" s="147"/>
      <c r="BT389" s="285"/>
      <c r="BU389" s="288"/>
      <c r="BV389" s="287"/>
      <c r="BW389" s="288"/>
      <c r="BX389" s="286"/>
      <c r="BY389" s="287"/>
      <c r="BZ389" s="288"/>
      <c r="CA389" s="286"/>
      <c r="CB389" s="286"/>
      <c r="CC389" s="287"/>
      <c r="CD389" s="286"/>
      <c r="CE389" s="286"/>
      <c r="CF389" s="286"/>
      <c r="CG389" s="287"/>
      <c r="CH389" s="288"/>
      <c r="CI389" s="286"/>
      <c r="CJ389" s="286"/>
      <c r="CK389" s="287"/>
      <c r="CL389" s="288"/>
      <c r="CM389" s="286"/>
      <c r="CN389" s="294"/>
      <c r="CO389" s="289"/>
      <c r="CP389" s="290"/>
      <c r="CQ389" s="289"/>
      <c r="CR389" s="290"/>
      <c r="CS389" s="284"/>
      <c r="CT389" s="147"/>
      <c r="CU389" s="291"/>
      <c r="CV389" s="292"/>
    </row>
    <row r="390" spans="2:100">
      <c r="B390">
        <v>332</v>
      </c>
      <c r="C390" s="243" t="str">
        <v/>
      </c>
      <c r="D390" s="592" t="str">
        <v/>
      </c>
      <c r="E390" s="245" t="str">
        <v/>
      </c>
      <c r="F390" s="243" t="str">
        <v/>
      </c>
      <c r="G390" s="245" t="str">
        <v/>
      </c>
      <c r="H390" s="243" t="str">
        <v/>
      </c>
      <c r="I390" s="245" t="str">
        <v/>
      </c>
      <c r="J390" s="242" t="str">
        <v/>
      </c>
      <c r="K390" s="242" t="str">
        <v/>
      </c>
      <c r="L390" s="242" t="str">
        <v/>
      </c>
      <c r="M390" s="243" t="str">
        <v/>
      </c>
      <c r="N390" s="592" t="str">
        <v/>
      </c>
      <c r="O390" s="245" t="str">
        <v/>
      </c>
      <c r="P390" s="245" t="str">
        <v/>
      </c>
      <c r="Q390" s="254" t="str">
        <v/>
      </c>
      <c r="R390" s="255" t="str">
        <v/>
      </c>
      <c r="S390" s="256" t="str">
        <v/>
      </c>
      <c r="T390" s="257" t="str">
        <v/>
      </c>
      <c r="U390" s="255" t="str">
        <v/>
      </c>
      <c r="V390" s="256" t="str">
        <v/>
      </c>
      <c r="W390" s="257" t="str">
        <v/>
      </c>
      <c r="X390" s="255" t="str">
        <v/>
      </c>
      <c r="Y390" s="256" t="str">
        <v/>
      </c>
      <c r="Z390" s="257" t="str">
        <v/>
      </c>
      <c r="AA390" s="255" t="str">
        <v/>
      </c>
      <c r="AB390" s="256" t="str">
        <v/>
      </c>
      <c r="AC390" s="257" t="str">
        <v/>
      </c>
      <c r="AD390" s="255" t="str">
        <v/>
      </c>
      <c r="AE390" s="256" t="str">
        <v/>
      </c>
      <c r="AF390" s="257" t="str">
        <v/>
      </c>
      <c r="AG390" s="255" t="str">
        <v/>
      </c>
      <c r="AH390" s="256" t="str">
        <v/>
      </c>
      <c r="AI390" s="257" t="str">
        <v/>
      </c>
      <c r="AJ390" s="255" t="str">
        <v/>
      </c>
      <c r="AK390" s="256" t="str">
        <v/>
      </c>
      <c r="AL390" s="257" t="str">
        <v/>
      </c>
      <c r="AM390" s="255" t="str">
        <v/>
      </c>
      <c r="AN390" s="256" t="str">
        <v/>
      </c>
      <c r="AO390" s="257" t="str">
        <v/>
      </c>
      <c r="AP390" s="255" t="str">
        <v/>
      </c>
      <c r="AQ390" s="256" t="str">
        <v/>
      </c>
      <c r="AR390" s="257" t="str">
        <v/>
      </c>
      <c r="AS390" s="255" t="str">
        <v/>
      </c>
      <c r="AT390" s="256" t="str">
        <v/>
      </c>
      <c r="AU390" s="257" t="str">
        <v/>
      </c>
      <c r="AV390" s="255" t="str">
        <v/>
      </c>
      <c r="AW390" s="256" t="str">
        <v/>
      </c>
      <c r="AX390" s="257" t="str">
        <v/>
      </c>
      <c r="AY390" s="243">
        <v>0</v>
      </c>
      <c r="AZ390" s="244">
        <v>0</v>
      </c>
      <c r="BA390" s="244">
        <v>0</v>
      </c>
      <c r="BB390" s="244">
        <v>0</v>
      </c>
      <c r="BC390" s="244">
        <v>0</v>
      </c>
      <c r="BD390" s="244">
        <v>0</v>
      </c>
      <c r="BE390" s="244">
        <v>0</v>
      </c>
      <c r="BF390" s="244">
        <v>0</v>
      </c>
      <c r="BG390" s="244">
        <v>0</v>
      </c>
      <c r="BH390" s="245">
        <v>0</v>
      </c>
      <c r="BK390">
        <v>332</v>
      </c>
      <c r="BL390" s="281"/>
      <c r="BM390" s="281"/>
      <c r="BN390" s="282"/>
      <c r="BO390" s="282"/>
      <c r="BP390" s="282"/>
      <c r="BQ390" s="283"/>
      <c r="BR390" s="284"/>
      <c r="BS390" s="147"/>
      <c r="BT390" s="285"/>
      <c r="BU390" s="288"/>
      <c r="BV390" s="287"/>
      <c r="BW390" s="288"/>
      <c r="BX390" s="286"/>
      <c r="BY390" s="287"/>
      <c r="BZ390" s="288"/>
      <c r="CA390" s="286"/>
      <c r="CB390" s="286"/>
      <c r="CC390" s="287"/>
      <c r="CD390" s="286"/>
      <c r="CE390" s="286"/>
      <c r="CF390" s="286"/>
      <c r="CG390" s="287"/>
      <c r="CH390" s="288"/>
      <c r="CI390" s="286"/>
      <c r="CJ390" s="286"/>
      <c r="CK390" s="287"/>
      <c r="CL390" s="288"/>
      <c r="CM390" s="286"/>
      <c r="CN390" s="294"/>
      <c r="CO390" s="289"/>
      <c r="CP390" s="290"/>
      <c r="CQ390" s="289"/>
      <c r="CR390" s="290"/>
      <c r="CS390" s="284"/>
      <c r="CT390" s="147"/>
      <c r="CU390" s="291"/>
      <c r="CV390" s="292"/>
    </row>
    <row r="391" spans="2:100">
      <c r="B391">
        <v>333</v>
      </c>
      <c r="C391" s="243" t="str">
        <v/>
      </c>
      <c r="D391" s="592" t="str">
        <v/>
      </c>
      <c r="E391" s="245" t="str">
        <v/>
      </c>
      <c r="F391" s="243" t="str">
        <v/>
      </c>
      <c r="G391" s="245" t="str">
        <v/>
      </c>
      <c r="H391" s="243" t="str">
        <v/>
      </c>
      <c r="I391" s="245" t="str">
        <v/>
      </c>
      <c r="J391" s="242" t="str">
        <v/>
      </c>
      <c r="K391" s="242" t="str">
        <v/>
      </c>
      <c r="L391" s="242" t="str">
        <v/>
      </c>
      <c r="M391" s="243" t="str">
        <v/>
      </c>
      <c r="N391" s="592" t="str">
        <v/>
      </c>
      <c r="O391" s="245" t="str">
        <v/>
      </c>
      <c r="P391" s="245" t="str">
        <v/>
      </c>
      <c r="Q391" s="254" t="str">
        <v/>
      </c>
      <c r="R391" s="255" t="str">
        <v/>
      </c>
      <c r="S391" s="256" t="str">
        <v/>
      </c>
      <c r="T391" s="257" t="str">
        <v/>
      </c>
      <c r="U391" s="255" t="str">
        <v/>
      </c>
      <c r="V391" s="256" t="str">
        <v/>
      </c>
      <c r="W391" s="257" t="str">
        <v/>
      </c>
      <c r="X391" s="255" t="str">
        <v/>
      </c>
      <c r="Y391" s="256" t="str">
        <v/>
      </c>
      <c r="Z391" s="257" t="str">
        <v/>
      </c>
      <c r="AA391" s="255" t="str">
        <v/>
      </c>
      <c r="AB391" s="256" t="str">
        <v/>
      </c>
      <c r="AC391" s="257" t="str">
        <v/>
      </c>
      <c r="AD391" s="255" t="str">
        <v/>
      </c>
      <c r="AE391" s="256" t="str">
        <v/>
      </c>
      <c r="AF391" s="257" t="str">
        <v/>
      </c>
      <c r="AG391" s="255" t="str">
        <v/>
      </c>
      <c r="AH391" s="256" t="str">
        <v/>
      </c>
      <c r="AI391" s="257" t="str">
        <v/>
      </c>
      <c r="AJ391" s="255" t="str">
        <v/>
      </c>
      <c r="AK391" s="256" t="str">
        <v/>
      </c>
      <c r="AL391" s="257" t="str">
        <v/>
      </c>
      <c r="AM391" s="255" t="str">
        <v/>
      </c>
      <c r="AN391" s="256" t="str">
        <v/>
      </c>
      <c r="AO391" s="257" t="str">
        <v/>
      </c>
      <c r="AP391" s="255" t="str">
        <v/>
      </c>
      <c r="AQ391" s="256" t="str">
        <v/>
      </c>
      <c r="AR391" s="257" t="str">
        <v/>
      </c>
      <c r="AS391" s="255" t="str">
        <v/>
      </c>
      <c r="AT391" s="256" t="str">
        <v/>
      </c>
      <c r="AU391" s="257" t="str">
        <v/>
      </c>
      <c r="AV391" s="255" t="str">
        <v/>
      </c>
      <c r="AW391" s="256" t="str">
        <v/>
      </c>
      <c r="AX391" s="257" t="str">
        <v/>
      </c>
      <c r="AY391" s="243">
        <v>0</v>
      </c>
      <c r="AZ391" s="244">
        <v>0</v>
      </c>
      <c r="BA391" s="244">
        <v>0</v>
      </c>
      <c r="BB391" s="244">
        <v>0</v>
      </c>
      <c r="BC391" s="244">
        <v>0</v>
      </c>
      <c r="BD391" s="244">
        <v>0</v>
      </c>
      <c r="BE391" s="244">
        <v>0</v>
      </c>
      <c r="BF391" s="244">
        <v>0</v>
      </c>
      <c r="BG391" s="244">
        <v>0</v>
      </c>
      <c r="BH391" s="245">
        <v>0</v>
      </c>
      <c r="BK391">
        <v>333</v>
      </c>
      <c r="BL391" s="281"/>
      <c r="BM391" s="281"/>
      <c r="BN391" s="282"/>
      <c r="BO391" s="282"/>
      <c r="BP391" s="282"/>
      <c r="BQ391" s="283"/>
      <c r="BR391" s="284"/>
      <c r="BS391" s="147"/>
      <c r="BT391" s="285"/>
      <c r="BU391" s="288"/>
      <c r="BV391" s="287"/>
      <c r="BW391" s="288"/>
      <c r="BX391" s="286"/>
      <c r="BY391" s="287"/>
      <c r="BZ391" s="288"/>
      <c r="CA391" s="286"/>
      <c r="CB391" s="286"/>
      <c r="CC391" s="287"/>
      <c r="CD391" s="286"/>
      <c r="CE391" s="286"/>
      <c r="CF391" s="286"/>
      <c r="CG391" s="287"/>
      <c r="CH391" s="288"/>
      <c r="CI391" s="286"/>
      <c r="CJ391" s="286"/>
      <c r="CK391" s="287"/>
      <c r="CL391" s="288"/>
      <c r="CM391" s="286"/>
      <c r="CN391" s="294"/>
      <c r="CO391" s="289"/>
      <c r="CP391" s="290"/>
      <c r="CQ391" s="289"/>
      <c r="CR391" s="290"/>
      <c r="CS391" s="284"/>
      <c r="CT391" s="147"/>
      <c r="CU391" s="291"/>
      <c r="CV391" s="292"/>
    </row>
    <row r="392" spans="2:100">
      <c r="B392">
        <v>334</v>
      </c>
      <c r="C392" s="243" t="str">
        <v/>
      </c>
      <c r="D392" s="592" t="str">
        <v/>
      </c>
      <c r="E392" s="245" t="str">
        <v/>
      </c>
      <c r="F392" s="243" t="str">
        <v/>
      </c>
      <c r="G392" s="245" t="str">
        <v/>
      </c>
      <c r="H392" s="243" t="str">
        <v/>
      </c>
      <c r="I392" s="245" t="str">
        <v/>
      </c>
      <c r="J392" s="242" t="str">
        <v/>
      </c>
      <c r="K392" s="242" t="str">
        <v/>
      </c>
      <c r="L392" s="242" t="str">
        <v/>
      </c>
      <c r="M392" s="243" t="str">
        <v/>
      </c>
      <c r="N392" s="592" t="str">
        <v/>
      </c>
      <c r="O392" s="245" t="str">
        <v/>
      </c>
      <c r="P392" s="245" t="str">
        <v/>
      </c>
      <c r="Q392" s="254" t="str">
        <v/>
      </c>
      <c r="R392" s="255" t="str">
        <v/>
      </c>
      <c r="S392" s="256" t="str">
        <v/>
      </c>
      <c r="T392" s="257" t="str">
        <v/>
      </c>
      <c r="U392" s="255" t="str">
        <v/>
      </c>
      <c r="V392" s="256" t="str">
        <v/>
      </c>
      <c r="W392" s="257" t="str">
        <v/>
      </c>
      <c r="X392" s="255" t="str">
        <v/>
      </c>
      <c r="Y392" s="256" t="str">
        <v/>
      </c>
      <c r="Z392" s="257" t="str">
        <v/>
      </c>
      <c r="AA392" s="255" t="str">
        <v/>
      </c>
      <c r="AB392" s="256" t="str">
        <v/>
      </c>
      <c r="AC392" s="257" t="str">
        <v/>
      </c>
      <c r="AD392" s="255" t="str">
        <v/>
      </c>
      <c r="AE392" s="256" t="str">
        <v/>
      </c>
      <c r="AF392" s="257" t="str">
        <v/>
      </c>
      <c r="AG392" s="255" t="str">
        <v/>
      </c>
      <c r="AH392" s="256" t="str">
        <v/>
      </c>
      <c r="AI392" s="257" t="str">
        <v/>
      </c>
      <c r="AJ392" s="255" t="str">
        <v/>
      </c>
      <c r="AK392" s="256" t="str">
        <v/>
      </c>
      <c r="AL392" s="257" t="str">
        <v/>
      </c>
      <c r="AM392" s="255" t="str">
        <v/>
      </c>
      <c r="AN392" s="256" t="str">
        <v/>
      </c>
      <c r="AO392" s="257" t="str">
        <v/>
      </c>
      <c r="AP392" s="255" t="str">
        <v/>
      </c>
      <c r="AQ392" s="256" t="str">
        <v/>
      </c>
      <c r="AR392" s="257" t="str">
        <v/>
      </c>
      <c r="AS392" s="255" t="str">
        <v/>
      </c>
      <c r="AT392" s="256" t="str">
        <v/>
      </c>
      <c r="AU392" s="257" t="str">
        <v/>
      </c>
      <c r="AV392" s="255" t="str">
        <v/>
      </c>
      <c r="AW392" s="256" t="str">
        <v/>
      </c>
      <c r="AX392" s="257" t="str">
        <v/>
      </c>
      <c r="AY392" s="243">
        <v>0</v>
      </c>
      <c r="AZ392" s="244">
        <v>0</v>
      </c>
      <c r="BA392" s="244">
        <v>0</v>
      </c>
      <c r="BB392" s="244">
        <v>0</v>
      </c>
      <c r="BC392" s="244">
        <v>0</v>
      </c>
      <c r="BD392" s="244">
        <v>0</v>
      </c>
      <c r="BE392" s="244">
        <v>0</v>
      </c>
      <c r="BF392" s="244">
        <v>0</v>
      </c>
      <c r="BG392" s="244">
        <v>0</v>
      </c>
      <c r="BH392" s="245">
        <v>0</v>
      </c>
      <c r="BK392">
        <v>334</v>
      </c>
      <c r="BL392" s="281"/>
      <c r="BM392" s="281"/>
      <c r="BN392" s="282"/>
      <c r="BO392" s="282"/>
      <c r="BP392" s="282"/>
      <c r="BQ392" s="283"/>
      <c r="BR392" s="284"/>
      <c r="BS392" s="147"/>
      <c r="BT392" s="285"/>
      <c r="BU392" s="288"/>
      <c r="BV392" s="287"/>
      <c r="BW392" s="288"/>
      <c r="BX392" s="286"/>
      <c r="BY392" s="287"/>
      <c r="BZ392" s="288"/>
      <c r="CA392" s="286"/>
      <c r="CB392" s="286"/>
      <c r="CC392" s="287"/>
      <c r="CD392" s="286"/>
      <c r="CE392" s="286"/>
      <c r="CF392" s="286"/>
      <c r="CG392" s="287"/>
      <c r="CH392" s="288"/>
      <c r="CI392" s="286"/>
      <c r="CJ392" s="286"/>
      <c r="CK392" s="287"/>
      <c r="CL392" s="288"/>
      <c r="CM392" s="286"/>
      <c r="CN392" s="294"/>
      <c r="CO392" s="289"/>
      <c r="CP392" s="290"/>
      <c r="CQ392" s="289"/>
      <c r="CR392" s="290"/>
      <c r="CS392" s="284"/>
      <c r="CT392" s="147"/>
      <c r="CU392" s="291"/>
      <c r="CV392" s="292"/>
    </row>
    <row r="393" spans="2:100">
      <c r="B393">
        <v>335</v>
      </c>
      <c r="C393" s="243" t="str">
        <v/>
      </c>
      <c r="D393" s="592" t="str">
        <v/>
      </c>
      <c r="E393" s="245" t="str">
        <v/>
      </c>
      <c r="F393" s="243" t="str">
        <v/>
      </c>
      <c r="G393" s="245" t="str">
        <v/>
      </c>
      <c r="H393" s="243" t="str">
        <v/>
      </c>
      <c r="I393" s="245" t="str">
        <v/>
      </c>
      <c r="J393" s="242" t="str">
        <v/>
      </c>
      <c r="K393" s="242" t="str">
        <v/>
      </c>
      <c r="L393" s="242" t="str">
        <v/>
      </c>
      <c r="M393" s="243" t="str">
        <v/>
      </c>
      <c r="N393" s="592" t="str">
        <v/>
      </c>
      <c r="O393" s="245" t="str">
        <v/>
      </c>
      <c r="P393" s="245" t="str">
        <v/>
      </c>
      <c r="Q393" s="254" t="str">
        <v/>
      </c>
      <c r="R393" s="255" t="str">
        <v/>
      </c>
      <c r="S393" s="256" t="str">
        <v/>
      </c>
      <c r="T393" s="257" t="str">
        <v/>
      </c>
      <c r="U393" s="255" t="str">
        <v/>
      </c>
      <c r="V393" s="256" t="str">
        <v/>
      </c>
      <c r="W393" s="257" t="str">
        <v/>
      </c>
      <c r="X393" s="255" t="str">
        <v/>
      </c>
      <c r="Y393" s="256" t="str">
        <v/>
      </c>
      <c r="Z393" s="257" t="str">
        <v/>
      </c>
      <c r="AA393" s="255" t="str">
        <v/>
      </c>
      <c r="AB393" s="256" t="str">
        <v/>
      </c>
      <c r="AC393" s="257" t="str">
        <v/>
      </c>
      <c r="AD393" s="255" t="str">
        <v/>
      </c>
      <c r="AE393" s="256" t="str">
        <v/>
      </c>
      <c r="AF393" s="257" t="str">
        <v/>
      </c>
      <c r="AG393" s="255" t="str">
        <v/>
      </c>
      <c r="AH393" s="256" t="str">
        <v/>
      </c>
      <c r="AI393" s="257" t="str">
        <v/>
      </c>
      <c r="AJ393" s="255" t="str">
        <v/>
      </c>
      <c r="AK393" s="256" t="str">
        <v/>
      </c>
      <c r="AL393" s="257" t="str">
        <v/>
      </c>
      <c r="AM393" s="255" t="str">
        <v/>
      </c>
      <c r="AN393" s="256" t="str">
        <v/>
      </c>
      <c r="AO393" s="257" t="str">
        <v/>
      </c>
      <c r="AP393" s="255" t="str">
        <v/>
      </c>
      <c r="AQ393" s="256" t="str">
        <v/>
      </c>
      <c r="AR393" s="257" t="str">
        <v/>
      </c>
      <c r="AS393" s="255" t="str">
        <v/>
      </c>
      <c r="AT393" s="256" t="str">
        <v/>
      </c>
      <c r="AU393" s="257" t="str">
        <v/>
      </c>
      <c r="AV393" s="255" t="str">
        <v/>
      </c>
      <c r="AW393" s="256" t="str">
        <v/>
      </c>
      <c r="AX393" s="257" t="str">
        <v/>
      </c>
      <c r="AY393" s="243">
        <v>0</v>
      </c>
      <c r="AZ393" s="244">
        <v>0</v>
      </c>
      <c r="BA393" s="244">
        <v>0</v>
      </c>
      <c r="BB393" s="244">
        <v>0</v>
      </c>
      <c r="BC393" s="244">
        <v>0</v>
      </c>
      <c r="BD393" s="244">
        <v>0</v>
      </c>
      <c r="BE393" s="244">
        <v>0</v>
      </c>
      <c r="BF393" s="244">
        <v>0</v>
      </c>
      <c r="BG393" s="244">
        <v>0</v>
      </c>
      <c r="BH393" s="245">
        <v>0</v>
      </c>
      <c r="BK393">
        <v>335</v>
      </c>
      <c r="BL393" s="281"/>
      <c r="BM393" s="281"/>
      <c r="BN393" s="282"/>
      <c r="BO393" s="282"/>
      <c r="BP393" s="282"/>
      <c r="BQ393" s="283"/>
      <c r="BR393" s="284"/>
      <c r="BS393" s="147"/>
      <c r="BT393" s="285"/>
      <c r="BU393" s="288"/>
      <c r="BV393" s="287"/>
      <c r="BW393" s="288"/>
      <c r="BX393" s="286"/>
      <c r="BY393" s="287"/>
      <c r="BZ393" s="288"/>
      <c r="CA393" s="286"/>
      <c r="CB393" s="286"/>
      <c r="CC393" s="287"/>
      <c r="CD393" s="286"/>
      <c r="CE393" s="286"/>
      <c r="CF393" s="286"/>
      <c r="CG393" s="287"/>
      <c r="CH393" s="288"/>
      <c r="CI393" s="286"/>
      <c r="CJ393" s="286"/>
      <c r="CK393" s="287"/>
      <c r="CL393" s="288"/>
      <c r="CM393" s="286"/>
      <c r="CN393" s="294"/>
      <c r="CO393" s="289"/>
      <c r="CP393" s="290"/>
      <c r="CQ393" s="289"/>
      <c r="CR393" s="290"/>
      <c r="CS393" s="284"/>
      <c r="CT393" s="147"/>
      <c r="CU393" s="291"/>
      <c r="CV393" s="292"/>
    </row>
    <row r="394" spans="2:100">
      <c r="B394">
        <v>336</v>
      </c>
      <c r="C394" s="243" t="str">
        <v/>
      </c>
      <c r="D394" s="592" t="str">
        <v/>
      </c>
      <c r="E394" s="245" t="str">
        <v/>
      </c>
      <c r="F394" s="243" t="str">
        <v/>
      </c>
      <c r="G394" s="245" t="str">
        <v/>
      </c>
      <c r="H394" s="243" t="str">
        <v/>
      </c>
      <c r="I394" s="245" t="str">
        <v/>
      </c>
      <c r="J394" s="242" t="str">
        <v/>
      </c>
      <c r="K394" s="242" t="str">
        <v/>
      </c>
      <c r="L394" s="242" t="str">
        <v/>
      </c>
      <c r="M394" s="243" t="str">
        <v/>
      </c>
      <c r="N394" s="592" t="str">
        <v/>
      </c>
      <c r="O394" s="245" t="str">
        <v/>
      </c>
      <c r="P394" s="245" t="str">
        <v/>
      </c>
      <c r="Q394" s="254" t="str">
        <v/>
      </c>
      <c r="R394" s="255" t="str">
        <v/>
      </c>
      <c r="S394" s="256" t="str">
        <v/>
      </c>
      <c r="T394" s="257" t="str">
        <v/>
      </c>
      <c r="U394" s="255" t="str">
        <v/>
      </c>
      <c r="V394" s="256" t="str">
        <v/>
      </c>
      <c r="W394" s="257" t="str">
        <v/>
      </c>
      <c r="X394" s="255" t="str">
        <v/>
      </c>
      <c r="Y394" s="256" t="str">
        <v/>
      </c>
      <c r="Z394" s="257" t="str">
        <v/>
      </c>
      <c r="AA394" s="255" t="str">
        <v/>
      </c>
      <c r="AB394" s="256" t="str">
        <v/>
      </c>
      <c r="AC394" s="257" t="str">
        <v/>
      </c>
      <c r="AD394" s="255" t="str">
        <v/>
      </c>
      <c r="AE394" s="256" t="str">
        <v/>
      </c>
      <c r="AF394" s="257" t="str">
        <v/>
      </c>
      <c r="AG394" s="255" t="str">
        <v/>
      </c>
      <c r="AH394" s="256" t="str">
        <v/>
      </c>
      <c r="AI394" s="257" t="str">
        <v/>
      </c>
      <c r="AJ394" s="255" t="str">
        <v/>
      </c>
      <c r="AK394" s="256" t="str">
        <v/>
      </c>
      <c r="AL394" s="257" t="str">
        <v/>
      </c>
      <c r="AM394" s="255" t="str">
        <v/>
      </c>
      <c r="AN394" s="256" t="str">
        <v/>
      </c>
      <c r="AO394" s="257" t="str">
        <v/>
      </c>
      <c r="AP394" s="255" t="str">
        <v/>
      </c>
      <c r="AQ394" s="256" t="str">
        <v/>
      </c>
      <c r="AR394" s="257" t="str">
        <v/>
      </c>
      <c r="AS394" s="255" t="str">
        <v/>
      </c>
      <c r="AT394" s="256" t="str">
        <v/>
      </c>
      <c r="AU394" s="257" t="str">
        <v/>
      </c>
      <c r="AV394" s="255" t="str">
        <v/>
      </c>
      <c r="AW394" s="256" t="str">
        <v/>
      </c>
      <c r="AX394" s="257" t="str">
        <v/>
      </c>
      <c r="AY394" s="243">
        <v>0</v>
      </c>
      <c r="AZ394" s="244">
        <v>0</v>
      </c>
      <c r="BA394" s="244">
        <v>0</v>
      </c>
      <c r="BB394" s="244">
        <v>0</v>
      </c>
      <c r="BC394" s="244">
        <v>0</v>
      </c>
      <c r="BD394" s="244">
        <v>0</v>
      </c>
      <c r="BE394" s="244">
        <v>0</v>
      </c>
      <c r="BF394" s="244">
        <v>0</v>
      </c>
      <c r="BG394" s="244">
        <v>0</v>
      </c>
      <c r="BH394" s="245">
        <v>0</v>
      </c>
      <c r="BK394">
        <v>336</v>
      </c>
      <c r="BL394" s="281"/>
      <c r="BM394" s="281"/>
      <c r="BN394" s="282"/>
      <c r="BO394" s="282"/>
      <c r="BP394" s="282"/>
      <c r="BQ394" s="283"/>
      <c r="BR394" s="284"/>
      <c r="BS394" s="147"/>
      <c r="BT394" s="285"/>
      <c r="BU394" s="288"/>
      <c r="BV394" s="287"/>
      <c r="BW394" s="288"/>
      <c r="BX394" s="286"/>
      <c r="BY394" s="287"/>
      <c r="BZ394" s="288"/>
      <c r="CA394" s="286"/>
      <c r="CB394" s="286"/>
      <c r="CC394" s="287"/>
      <c r="CD394" s="286"/>
      <c r="CE394" s="286"/>
      <c r="CF394" s="286"/>
      <c r="CG394" s="287"/>
      <c r="CH394" s="288"/>
      <c r="CI394" s="286"/>
      <c r="CJ394" s="286"/>
      <c r="CK394" s="287"/>
      <c r="CL394" s="288"/>
      <c r="CM394" s="286"/>
      <c r="CN394" s="294"/>
      <c r="CO394" s="289"/>
      <c r="CP394" s="290"/>
      <c r="CQ394" s="289"/>
      <c r="CR394" s="290"/>
      <c r="CS394" s="284"/>
      <c r="CT394" s="147"/>
      <c r="CU394" s="291"/>
      <c r="CV394" s="292"/>
    </row>
    <row r="395" spans="2:100">
      <c r="B395">
        <v>337</v>
      </c>
      <c r="C395" s="243" t="str">
        <v/>
      </c>
      <c r="D395" s="592" t="str">
        <v/>
      </c>
      <c r="E395" s="245" t="str">
        <v/>
      </c>
      <c r="F395" s="243" t="str">
        <v/>
      </c>
      <c r="G395" s="245" t="str">
        <v/>
      </c>
      <c r="H395" s="243" t="str">
        <v/>
      </c>
      <c r="I395" s="245" t="str">
        <v/>
      </c>
      <c r="J395" s="242" t="str">
        <v/>
      </c>
      <c r="K395" s="242" t="str">
        <v/>
      </c>
      <c r="L395" s="242" t="str">
        <v/>
      </c>
      <c r="M395" s="243" t="str">
        <v/>
      </c>
      <c r="N395" s="592" t="str">
        <v/>
      </c>
      <c r="O395" s="245" t="str">
        <v/>
      </c>
      <c r="P395" s="245" t="str">
        <v/>
      </c>
      <c r="Q395" s="254" t="str">
        <v/>
      </c>
      <c r="R395" s="255" t="str">
        <v/>
      </c>
      <c r="S395" s="256" t="str">
        <v/>
      </c>
      <c r="T395" s="257" t="str">
        <v/>
      </c>
      <c r="U395" s="255" t="str">
        <v/>
      </c>
      <c r="V395" s="256" t="str">
        <v/>
      </c>
      <c r="W395" s="257" t="str">
        <v/>
      </c>
      <c r="X395" s="255" t="str">
        <v/>
      </c>
      <c r="Y395" s="256" t="str">
        <v/>
      </c>
      <c r="Z395" s="257" t="str">
        <v/>
      </c>
      <c r="AA395" s="255" t="str">
        <v/>
      </c>
      <c r="AB395" s="256" t="str">
        <v/>
      </c>
      <c r="AC395" s="257" t="str">
        <v/>
      </c>
      <c r="AD395" s="255" t="str">
        <v/>
      </c>
      <c r="AE395" s="256" t="str">
        <v/>
      </c>
      <c r="AF395" s="257" t="str">
        <v/>
      </c>
      <c r="AG395" s="255" t="str">
        <v/>
      </c>
      <c r="AH395" s="256" t="str">
        <v/>
      </c>
      <c r="AI395" s="257" t="str">
        <v/>
      </c>
      <c r="AJ395" s="255" t="str">
        <v/>
      </c>
      <c r="AK395" s="256" t="str">
        <v/>
      </c>
      <c r="AL395" s="257" t="str">
        <v/>
      </c>
      <c r="AM395" s="255" t="str">
        <v/>
      </c>
      <c r="AN395" s="256" t="str">
        <v/>
      </c>
      <c r="AO395" s="257" t="str">
        <v/>
      </c>
      <c r="AP395" s="255" t="str">
        <v/>
      </c>
      <c r="AQ395" s="256" t="str">
        <v/>
      </c>
      <c r="AR395" s="257" t="str">
        <v/>
      </c>
      <c r="AS395" s="255" t="str">
        <v/>
      </c>
      <c r="AT395" s="256" t="str">
        <v/>
      </c>
      <c r="AU395" s="257" t="str">
        <v/>
      </c>
      <c r="AV395" s="255" t="str">
        <v/>
      </c>
      <c r="AW395" s="256" t="str">
        <v/>
      </c>
      <c r="AX395" s="257" t="str">
        <v/>
      </c>
      <c r="AY395" s="243">
        <v>0</v>
      </c>
      <c r="AZ395" s="244">
        <v>0</v>
      </c>
      <c r="BA395" s="244">
        <v>0</v>
      </c>
      <c r="BB395" s="244">
        <v>0</v>
      </c>
      <c r="BC395" s="244">
        <v>0</v>
      </c>
      <c r="BD395" s="244">
        <v>0</v>
      </c>
      <c r="BE395" s="244">
        <v>0</v>
      </c>
      <c r="BF395" s="244">
        <v>0</v>
      </c>
      <c r="BG395" s="244">
        <v>0</v>
      </c>
      <c r="BH395" s="245">
        <v>0</v>
      </c>
      <c r="BK395">
        <v>337</v>
      </c>
      <c r="BL395" s="281"/>
      <c r="BM395" s="281"/>
      <c r="BN395" s="282"/>
      <c r="BO395" s="282"/>
      <c r="BP395" s="282"/>
      <c r="BQ395" s="283"/>
      <c r="BR395" s="284"/>
      <c r="BS395" s="147"/>
      <c r="BT395" s="285"/>
      <c r="BU395" s="288"/>
      <c r="BV395" s="287"/>
      <c r="BW395" s="288"/>
      <c r="BX395" s="286"/>
      <c r="BY395" s="287"/>
      <c r="BZ395" s="288"/>
      <c r="CA395" s="286"/>
      <c r="CB395" s="286"/>
      <c r="CC395" s="287"/>
      <c r="CD395" s="286"/>
      <c r="CE395" s="286"/>
      <c r="CF395" s="286"/>
      <c r="CG395" s="287"/>
      <c r="CH395" s="288"/>
      <c r="CI395" s="286"/>
      <c r="CJ395" s="286"/>
      <c r="CK395" s="287"/>
      <c r="CL395" s="288"/>
      <c r="CM395" s="286"/>
      <c r="CN395" s="294"/>
      <c r="CO395" s="289"/>
      <c r="CP395" s="290"/>
      <c r="CQ395" s="289"/>
      <c r="CR395" s="290"/>
      <c r="CS395" s="284"/>
      <c r="CT395" s="147"/>
      <c r="CU395" s="291"/>
      <c r="CV395" s="292"/>
    </row>
    <row r="396" spans="2:100">
      <c r="B396">
        <v>338</v>
      </c>
      <c r="C396" s="243" t="str">
        <v/>
      </c>
      <c r="D396" s="592" t="str">
        <v/>
      </c>
      <c r="E396" s="245" t="str">
        <v/>
      </c>
      <c r="F396" s="243" t="str">
        <v/>
      </c>
      <c r="G396" s="245" t="str">
        <v/>
      </c>
      <c r="H396" s="243" t="str">
        <v/>
      </c>
      <c r="I396" s="245" t="str">
        <v/>
      </c>
      <c r="J396" s="242" t="str">
        <v/>
      </c>
      <c r="K396" s="242" t="str">
        <v/>
      </c>
      <c r="L396" s="242" t="str">
        <v/>
      </c>
      <c r="M396" s="243" t="str">
        <v/>
      </c>
      <c r="N396" s="592" t="str">
        <v/>
      </c>
      <c r="O396" s="245" t="str">
        <v/>
      </c>
      <c r="P396" s="245" t="str">
        <v/>
      </c>
      <c r="Q396" s="254" t="str">
        <v/>
      </c>
      <c r="R396" s="255" t="str">
        <v/>
      </c>
      <c r="S396" s="256" t="str">
        <v/>
      </c>
      <c r="T396" s="257" t="str">
        <v/>
      </c>
      <c r="U396" s="255" t="str">
        <v/>
      </c>
      <c r="V396" s="256" t="str">
        <v/>
      </c>
      <c r="W396" s="257" t="str">
        <v/>
      </c>
      <c r="X396" s="255" t="str">
        <v/>
      </c>
      <c r="Y396" s="256" t="str">
        <v/>
      </c>
      <c r="Z396" s="257" t="str">
        <v/>
      </c>
      <c r="AA396" s="255" t="str">
        <v/>
      </c>
      <c r="AB396" s="256" t="str">
        <v/>
      </c>
      <c r="AC396" s="257" t="str">
        <v/>
      </c>
      <c r="AD396" s="255" t="str">
        <v/>
      </c>
      <c r="AE396" s="256" t="str">
        <v/>
      </c>
      <c r="AF396" s="257" t="str">
        <v/>
      </c>
      <c r="AG396" s="255" t="str">
        <v/>
      </c>
      <c r="AH396" s="256" t="str">
        <v/>
      </c>
      <c r="AI396" s="257" t="str">
        <v/>
      </c>
      <c r="AJ396" s="255" t="str">
        <v/>
      </c>
      <c r="AK396" s="256" t="str">
        <v/>
      </c>
      <c r="AL396" s="257" t="str">
        <v/>
      </c>
      <c r="AM396" s="255" t="str">
        <v/>
      </c>
      <c r="AN396" s="256" t="str">
        <v/>
      </c>
      <c r="AO396" s="257" t="str">
        <v/>
      </c>
      <c r="AP396" s="255" t="str">
        <v/>
      </c>
      <c r="AQ396" s="256" t="str">
        <v/>
      </c>
      <c r="AR396" s="257" t="str">
        <v/>
      </c>
      <c r="AS396" s="255" t="str">
        <v/>
      </c>
      <c r="AT396" s="256" t="str">
        <v/>
      </c>
      <c r="AU396" s="257" t="str">
        <v/>
      </c>
      <c r="AV396" s="255" t="str">
        <v/>
      </c>
      <c r="AW396" s="256" t="str">
        <v/>
      </c>
      <c r="AX396" s="257" t="str">
        <v/>
      </c>
      <c r="AY396" s="243">
        <v>0</v>
      </c>
      <c r="AZ396" s="244">
        <v>0</v>
      </c>
      <c r="BA396" s="244">
        <v>0</v>
      </c>
      <c r="BB396" s="244">
        <v>0</v>
      </c>
      <c r="BC396" s="244">
        <v>0</v>
      </c>
      <c r="BD396" s="244">
        <v>0</v>
      </c>
      <c r="BE396" s="244">
        <v>0</v>
      </c>
      <c r="BF396" s="244">
        <v>0</v>
      </c>
      <c r="BG396" s="244">
        <v>0</v>
      </c>
      <c r="BH396" s="245">
        <v>0</v>
      </c>
      <c r="BK396">
        <v>338</v>
      </c>
      <c r="BL396" s="281"/>
      <c r="BM396" s="281"/>
      <c r="BN396" s="282"/>
      <c r="BO396" s="282"/>
      <c r="BP396" s="282"/>
      <c r="BQ396" s="283"/>
      <c r="BR396" s="284"/>
      <c r="BS396" s="147"/>
      <c r="BT396" s="285"/>
      <c r="BU396" s="288"/>
      <c r="BV396" s="287"/>
      <c r="BW396" s="288"/>
      <c r="BX396" s="286"/>
      <c r="BY396" s="287"/>
      <c r="BZ396" s="288"/>
      <c r="CA396" s="286"/>
      <c r="CB396" s="286"/>
      <c r="CC396" s="287"/>
      <c r="CD396" s="286"/>
      <c r="CE396" s="286"/>
      <c r="CF396" s="286"/>
      <c r="CG396" s="287"/>
      <c r="CH396" s="288"/>
      <c r="CI396" s="286"/>
      <c r="CJ396" s="286"/>
      <c r="CK396" s="287"/>
      <c r="CL396" s="288"/>
      <c r="CM396" s="286"/>
      <c r="CN396" s="294"/>
      <c r="CO396" s="289"/>
      <c r="CP396" s="290"/>
      <c r="CQ396" s="289"/>
      <c r="CR396" s="290"/>
      <c r="CS396" s="284"/>
      <c r="CT396" s="147"/>
      <c r="CU396" s="291"/>
      <c r="CV396" s="292"/>
    </row>
    <row r="397" spans="2:100">
      <c r="B397">
        <v>339</v>
      </c>
      <c r="C397" s="243" t="str">
        <v/>
      </c>
      <c r="D397" s="592" t="str">
        <v/>
      </c>
      <c r="E397" s="245" t="str">
        <v/>
      </c>
      <c r="F397" s="243" t="str">
        <v/>
      </c>
      <c r="G397" s="245" t="str">
        <v/>
      </c>
      <c r="H397" s="243" t="str">
        <v/>
      </c>
      <c r="I397" s="245" t="str">
        <v/>
      </c>
      <c r="J397" s="242" t="str">
        <v/>
      </c>
      <c r="K397" s="242" t="str">
        <v/>
      </c>
      <c r="L397" s="242" t="str">
        <v/>
      </c>
      <c r="M397" s="243" t="str">
        <v/>
      </c>
      <c r="N397" s="592" t="str">
        <v/>
      </c>
      <c r="O397" s="245" t="str">
        <v/>
      </c>
      <c r="P397" s="245" t="str">
        <v/>
      </c>
      <c r="Q397" s="254" t="str">
        <v/>
      </c>
      <c r="R397" s="255" t="str">
        <v/>
      </c>
      <c r="S397" s="256" t="str">
        <v/>
      </c>
      <c r="T397" s="257" t="str">
        <v/>
      </c>
      <c r="U397" s="255" t="str">
        <v/>
      </c>
      <c r="V397" s="256" t="str">
        <v/>
      </c>
      <c r="W397" s="257" t="str">
        <v/>
      </c>
      <c r="X397" s="255" t="str">
        <v/>
      </c>
      <c r="Y397" s="256" t="str">
        <v/>
      </c>
      <c r="Z397" s="257" t="str">
        <v/>
      </c>
      <c r="AA397" s="255" t="str">
        <v/>
      </c>
      <c r="AB397" s="256" t="str">
        <v/>
      </c>
      <c r="AC397" s="257" t="str">
        <v/>
      </c>
      <c r="AD397" s="255" t="str">
        <v/>
      </c>
      <c r="AE397" s="256" t="str">
        <v/>
      </c>
      <c r="AF397" s="257" t="str">
        <v/>
      </c>
      <c r="AG397" s="255" t="str">
        <v/>
      </c>
      <c r="AH397" s="256" t="str">
        <v/>
      </c>
      <c r="AI397" s="257" t="str">
        <v/>
      </c>
      <c r="AJ397" s="255" t="str">
        <v/>
      </c>
      <c r="AK397" s="256" t="str">
        <v/>
      </c>
      <c r="AL397" s="257" t="str">
        <v/>
      </c>
      <c r="AM397" s="255" t="str">
        <v/>
      </c>
      <c r="AN397" s="256" t="str">
        <v/>
      </c>
      <c r="AO397" s="257" t="str">
        <v/>
      </c>
      <c r="AP397" s="255" t="str">
        <v/>
      </c>
      <c r="AQ397" s="256" t="str">
        <v/>
      </c>
      <c r="AR397" s="257" t="str">
        <v/>
      </c>
      <c r="AS397" s="255" t="str">
        <v/>
      </c>
      <c r="AT397" s="256" t="str">
        <v/>
      </c>
      <c r="AU397" s="257" t="str">
        <v/>
      </c>
      <c r="AV397" s="255" t="str">
        <v/>
      </c>
      <c r="AW397" s="256" t="str">
        <v/>
      </c>
      <c r="AX397" s="257" t="str">
        <v/>
      </c>
      <c r="AY397" s="243">
        <v>0</v>
      </c>
      <c r="AZ397" s="244">
        <v>0</v>
      </c>
      <c r="BA397" s="244">
        <v>0</v>
      </c>
      <c r="BB397" s="244">
        <v>0</v>
      </c>
      <c r="BC397" s="244">
        <v>0</v>
      </c>
      <c r="BD397" s="244">
        <v>0</v>
      </c>
      <c r="BE397" s="244">
        <v>0</v>
      </c>
      <c r="BF397" s="244">
        <v>0</v>
      </c>
      <c r="BG397" s="244">
        <v>0</v>
      </c>
      <c r="BH397" s="245">
        <v>0</v>
      </c>
      <c r="BK397">
        <v>339</v>
      </c>
      <c r="BL397" s="281"/>
      <c r="BM397" s="281"/>
      <c r="BN397" s="282"/>
      <c r="BO397" s="282"/>
      <c r="BP397" s="282"/>
      <c r="BQ397" s="283"/>
      <c r="BR397" s="284"/>
      <c r="BS397" s="147"/>
      <c r="BT397" s="285"/>
      <c r="BU397" s="288"/>
      <c r="BV397" s="287"/>
      <c r="BW397" s="288"/>
      <c r="BX397" s="286"/>
      <c r="BY397" s="287"/>
      <c r="BZ397" s="288"/>
      <c r="CA397" s="286"/>
      <c r="CB397" s="286"/>
      <c r="CC397" s="287"/>
      <c r="CD397" s="286"/>
      <c r="CE397" s="286"/>
      <c r="CF397" s="286"/>
      <c r="CG397" s="287"/>
      <c r="CH397" s="288"/>
      <c r="CI397" s="286"/>
      <c r="CJ397" s="286"/>
      <c r="CK397" s="287"/>
      <c r="CL397" s="288"/>
      <c r="CM397" s="286"/>
      <c r="CN397" s="294"/>
      <c r="CO397" s="289"/>
      <c r="CP397" s="290"/>
      <c r="CQ397" s="289"/>
      <c r="CR397" s="290"/>
      <c r="CS397" s="284"/>
      <c r="CT397" s="147"/>
      <c r="CU397" s="291"/>
      <c r="CV397" s="292"/>
    </row>
    <row r="398" spans="2:100">
      <c r="B398">
        <v>340</v>
      </c>
      <c r="C398" s="243" t="str">
        <v/>
      </c>
      <c r="D398" s="592" t="str">
        <v/>
      </c>
      <c r="E398" s="245" t="str">
        <v/>
      </c>
      <c r="F398" s="243" t="str">
        <v/>
      </c>
      <c r="G398" s="245" t="str">
        <v/>
      </c>
      <c r="H398" s="243" t="str">
        <v/>
      </c>
      <c r="I398" s="245" t="str">
        <v/>
      </c>
      <c r="J398" s="242" t="str">
        <v/>
      </c>
      <c r="K398" s="242" t="str">
        <v/>
      </c>
      <c r="L398" s="242" t="str">
        <v/>
      </c>
      <c r="M398" s="243" t="str">
        <v/>
      </c>
      <c r="N398" s="592" t="str">
        <v/>
      </c>
      <c r="O398" s="245" t="str">
        <v/>
      </c>
      <c r="P398" s="245" t="str">
        <v/>
      </c>
      <c r="Q398" s="254" t="str">
        <v/>
      </c>
      <c r="R398" s="255" t="str">
        <v/>
      </c>
      <c r="S398" s="256" t="str">
        <v/>
      </c>
      <c r="T398" s="257" t="str">
        <v/>
      </c>
      <c r="U398" s="255" t="str">
        <v/>
      </c>
      <c r="V398" s="256" t="str">
        <v/>
      </c>
      <c r="W398" s="257" t="str">
        <v/>
      </c>
      <c r="X398" s="255" t="str">
        <v/>
      </c>
      <c r="Y398" s="256" t="str">
        <v/>
      </c>
      <c r="Z398" s="257" t="str">
        <v/>
      </c>
      <c r="AA398" s="255" t="str">
        <v/>
      </c>
      <c r="AB398" s="256" t="str">
        <v/>
      </c>
      <c r="AC398" s="257" t="str">
        <v/>
      </c>
      <c r="AD398" s="255" t="str">
        <v/>
      </c>
      <c r="AE398" s="256" t="str">
        <v/>
      </c>
      <c r="AF398" s="257" t="str">
        <v/>
      </c>
      <c r="AG398" s="255" t="str">
        <v/>
      </c>
      <c r="AH398" s="256" t="str">
        <v/>
      </c>
      <c r="AI398" s="257" t="str">
        <v/>
      </c>
      <c r="AJ398" s="255" t="str">
        <v/>
      </c>
      <c r="AK398" s="256" t="str">
        <v/>
      </c>
      <c r="AL398" s="257" t="str">
        <v/>
      </c>
      <c r="AM398" s="255" t="str">
        <v/>
      </c>
      <c r="AN398" s="256" t="str">
        <v/>
      </c>
      <c r="AO398" s="257" t="str">
        <v/>
      </c>
      <c r="AP398" s="255" t="str">
        <v/>
      </c>
      <c r="AQ398" s="256" t="str">
        <v/>
      </c>
      <c r="AR398" s="257" t="str">
        <v/>
      </c>
      <c r="AS398" s="255" t="str">
        <v/>
      </c>
      <c r="AT398" s="256" t="str">
        <v/>
      </c>
      <c r="AU398" s="257" t="str">
        <v/>
      </c>
      <c r="AV398" s="255" t="str">
        <v/>
      </c>
      <c r="AW398" s="256" t="str">
        <v/>
      </c>
      <c r="AX398" s="257" t="str">
        <v/>
      </c>
      <c r="AY398" s="243">
        <v>0</v>
      </c>
      <c r="AZ398" s="244">
        <v>0</v>
      </c>
      <c r="BA398" s="244">
        <v>0</v>
      </c>
      <c r="BB398" s="244">
        <v>0</v>
      </c>
      <c r="BC398" s="244">
        <v>0</v>
      </c>
      <c r="BD398" s="244">
        <v>0</v>
      </c>
      <c r="BE398" s="244">
        <v>0</v>
      </c>
      <c r="BF398" s="244">
        <v>0</v>
      </c>
      <c r="BG398" s="244">
        <v>0</v>
      </c>
      <c r="BH398" s="245">
        <v>0</v>
      </c>
      <c r="BK398">
        <v>340</v>
      </c>
      <c r="BL398" s="281"/>
      <c r="BM398" s="281"/>
      <c r="BN398" s="282"/>
      <c r="BO398" s="282"/>
      <c r="BP398" s="282"/>
      <c r="BQ398" s="283"/>
      <c r="BR398" s="284"/>
      <c r="BS398" s="147"/>
      <c r="BT398" s="285"/>
      <c r="BU398" s="288"/>
      <c r="BV398" s="287"/>
      <c r="BW398" s="288"/>
      <c r="BX398" s="286"/>
      <c r="BY398" s="287"/>
      <c r="BZ398" s="288"/>
      <c r="CA398" s="286"/>
      <c r="CB398" s="286"/>
      <c r="CC398" s="287"/>
      <c r="CD398" s="286"/>
      <c r="CE398" s="286"/>
      <c r="CF398" s="286"/>
      <c r="CG398" s="287"/>
      <c r="CH398" s="288"/>
      <c r="CI398" s="286"/>
      <c r="CJ398" s="286"/>
      <c r="CK398" s="287"/>
      <c r="CL398" s="288"/>
      <c r="CM398" s="286"/>
      <c r="CN398" s="294"/>
      <c r="CO398" s="289"/>
      <c r="CP398" s="290"/>
      <c r="CQ398" s="289"/>
      <c r="CR398" s="290"/>
      <c r="CS398" s="284"/>
      <c r="CT398" s="147"/>
      <c r="CU398" s="291"/>
      <c r="CV398" s="292"/>
    </row>
    <row r="399" spans="2:100">
      <c r="B399">
        <v>341</v>
      </c>
      <c r="C399" s="243" t="str">
        <v/>
      </c>
      <c r="D399" s="592" t="str">
        <v/>
      </c>
      <c r="E399" s="245" t="str">
        <v/>
      </c>
      <c r="F399" s="243" t="str">
        <v/>
      </c>
      <c r="G399" s="245" t="str">
        <v/>
      </c>
      <c r="H399" s="243" t="str">
        <v/>
      </c>
      <c r="I399" s="245" t="str">
        <v/>
      </c>
      <c r="J399" s="242" t="str">
        <v/>
      </c>
      <c r="K399" s="242" t="str">
        <v/>
      </c>
      <c r="L399" s="242" t="str">
        <v/>
      </c>
      <c r="M399" s="243" t="str">
        <v/>
      </c>
      <c r="N399" s="592" t="str">
        <v/>
      </c>
      <c r="O399" s="245" t="str">
        <v/>
      </c>
      <c r="P399" s="245" t="str">
        <v/>
      </c>
      <c r="Q399" s="254" t="str">
        <v/>
      </c>
      <c r="R399" s="255" t="str">
        <v/>
      </c>
      <c r="S399" s="256" t="str">
        <v/>
      </c>
      <c r="T399" s="257" t="str">
        <v/>
      </c>
      <c r="U399" s="255" t="str">
        <v/>
      </c>
      <c r="V399" s="256" t="str">
        <v/>
      </c>
      <c r="W399" s="257" t="str">
        <v/>
      </c>
      <c r="X399" s="255" t="str">
        <v/>
      </c>
      <c r="Y399" s="256" t="str">
        <v/>
      </c>
      <c r="Z399" s="257" t="str">
        <v/>
      </c>
      <c r="AA399" s="255" t="str">
        <v/>
      </c>
      <c r="AB399" s="256" t="str">
        <v/>
      </c>
      <c r="AC399" s="257" t="str">
        <v/>
      </c>
      <c r="AD399" s="255" t="str">
        <v/>
      </c>
      <c r="AE399" s="256" t="str">
        <v/>
      </c>
      <c r="AF399" s="257" t="str">
        <v/>
      </c>
      <c r="AG399" s="255" t="str">
        <v/>
      </c>
      <c r="AH399" s="256" t="str">
        <v/>
      </c>
      <c r="AI399" s="257" t="str">
        <v/>
      </c>
      <c r="AJ399" s="255" t="str">
        <v/>
      </c>
      <c r="AK399" s="256" t="str">
        <v/>
      </c>
      <c r="AL399" s="257" t="str">
        <v/>
      </c>
      <c r="AM399" s="255" t="str">
        <v/>
      </c>
      <c r="AN399" s="256" t="str">
        <v/>
      </c>
      <c r="AO399" s="257" t="str">
        <v/>
      </c>
      <c r="AP399" s="255" t="str">
        <v/>
      </c>
      <c r="AQ399" s="256" t="str">
        <v/>
      </c>
      <c r="AR399" s="257" t="str">
        <v/>
      </c>
      <c r="AS399" s="255" t="str">
        <v/>
      </c>
      <c r="AT399" s="256" t="str">
        <v/>
      </c>
      <c r="AU399" s="257" t="str">
        <v/>
      </c>
      <c r="AV399" s="255" t="str">
        <v/>
      </c>
      <c r="AW399" s="256" t="str">
        <v/>
      </c>
      <c r="AX399" s="257" t="str">
        <v/>
      </c>
      <c r="AY399" s="243">
        <v>0</v>
      </c>
      <c r="AZ399" s="244">
        <v>0</v>
      </c>
      <c r="BA399" s="244">
        <v>0</v>
      </c>
      <c r="BB399" s="244">
        <v>0</v>
      </c>
      <c r="BC399" s="244">
        <v>0</v>
      </c>
      <c r="BD399" s="244">
        <v>0</v>
      </c>
      <c r="BE399" s="244">
        <v>0</v>
      </c>
      <c r="BF399" s="244">
        <v>0</v>
      </c>
      <c r="BG399" s="244">
        <v>0</v>
      </c>
      <c r="BH399" s="245">
        <v>0</v>
      </c>
      <c r="BK399">
        <v>341</v>
      </c>
      <c r="BL399" s="281"/>
      <c r="BM399" s="281"/>
      <c r="BN399" s="282"/>
      <c r="BO399" s="282"/>
      <c r="BP399" s="282"/>
      <c r="BQ399" s="283"/>
      <c r="BR399" s="284"/>
      <c r="BS399" s="147"/>
      <c r="BT399" s="285"/>
      <c r="BU399" s="288"/>
      <c r="BV399" s="287"/>
      <c r="BW399" s="288"/>
      <c r="BX399" s="286"/>
      <c r="BY399" s="287"/>
      <c r="BZ399" s="288"/>
      <c r="CA399" s="286"/>
      <c r="CB399" s="286"/>
      <c r="CC399" s="287"/>
      <c r="CD399" s="286"/>
      <c r="CE399" s="286"/>
      <c r="CF399" s="286"/>
      <c r="CG399" s="287"/>
      <c r="CH399" s="288"/>
      <c r="CI399" s="286"/>
      <c r="CJ399" s="286"/>
      <c r="CK399" s="287"/>
      <c r="CL399" s="288"/>
      <c r="CM399" s="286"/>
      <c r="CN399" s="294"/>
      <c r="CO399" s="289"/>
      <c r="CP399" s="290"/>
      <c r="CQ399" s="289"/>
      <c r="CR399" s="290"/>
      <c r="CS399" s="284"/>
      <c r="CT399" s="147"/>
      <c r="CU399" s="291"/>
      <c r="CV399" s="292"/>
    </row>
    <row r="400" spans="2:100">
      <c r="B400">
        <v>342</v>
      </c>
      <c r="C400" s="243" t="str">
        <v/>
      </c>
      <c r="D400" s="592" t="str">
        <v/>
      </c>
      <c r="E400" s="245" t="str">
        <v/>
      </c>
      <c r="F400" s="243" t="str">
        <v/>
      </c>
      <c r="G400" s="245" t="str">
        <v/>
      </c>
      <c r="H400" s="243" t="str">
        <v/>
      </c>
      <c r="I400" s="245" t="str">
        <v/>
      </c>
      <c r="J400" s="242" t="str">
        <v/>
      </c>
      <c r="K400" s="242" t="str">
        <v/>
      </c>
      <c r="L400" s="242" t="str">
        <v/>
      </c>
      <c r="M400" s="243" t="str">
        <v/>
      </c>
      <c r="N400" s="592" t="str">
        <v/>
      </c>
      <c r="O400" s="245" t="str">
        <v/>
      </c>
      <c r="P400" s="245" t="str">
        <v/>
      </c>
      <c r="Q400" s="254" t="str">
        <v/>
      </c>
      <c r="R400" s="255" t="str">
        <v/>
      </c>
      <c r="S400" s="256" t="str">
        <v/>
      </c>
      <c r="T400" s="257" t="str">
        <v/>
      </c>
      <c r="U400" s="255" t="str">
        <v/>
      </c>
      <c r="V400" s="256" t="str">
        <v/>
      </c>
      <c r="W400" s="257" t="str">
        <v/>
      </c>
      <c r="X400" s="255" t="str">
        <v/>
      </c>
      <c r="Y400" s="256" t="str">
        <v/>
      </c>
      <c r="Z400" s="257" t="str">
        <v/>
      </c>
      <c r="AA400" s="255" t="str">
        <v/>
      </c>
      <c r="AB400" s="256" t="str">
        <v/>
      </c>
      <c r="AC400" s="257" t="str">
        <v/>
      </c>
      <c r="AD400" s="255" t="str">
        <v/>
      </c>
      <c r="AE400" s="256" t="str">
        <v/>
      </c>
      <c r="AF400" s="257" t="str">
        <v/>
      </c>
      <c r="AG400" s="255" t="str">
        <v/>
      </c>
      <c r="AH400" s="256" t="str">
        <v/>
      </c>
      <c r="AI400" s="257" t="str">
        <v/>
      </c>
      <c r="AJ400" s="255" t="str">
        <v/>
      </c>
      <c r="AK400" s="256" t="str">
        <v/>
      </c>
      <c r="AL400" s="257" t="str">
        <v/>
      </c>
      <c r="AM400" s="255" t="str">
        <v/>
      </c>
      <c r="AN400" s="256" t="str">
        <v/>
      </c>
      <c r="AO400" s="257" t="str">
        <v/>
      </c>
      <c r="AP400" s="255" t="str">
        <v/>
      </c>
      <c r="AQ400" s="256" t="str">
        <v/>
      </c>
      <c r="AR400" s="257" t="str">
        <v/>
      </c>
      <c r="AS400" s="255" t="str">
        <v/>
      </c>
      <c r="AT400" s="256" t="str">
        <v/>
      </c>
      <c r="AU400" s="257" t="str">
        <v/>
      </c>
      <c r="AV400" s="255" t="str">
        <v/>
      </c>
      <c r="AW400" s="256" t="str">
        <v/>
      </c>
      <c r="AX400" s="257" t="str">
        <v/>
      </c>
      <c r="AY400" s="243">
        <v>0</v>
      </c>
      <c r="AZ400" s="244">
        <v>0</v>
      </c>
      <c r="BA400" s="244">
        <v>0</v>
      </c>
      <c r="BB400" s="244">
        <v>0</v>
      </c>
      <c r="BC400" s="244">
        <v>0</v>
      </c>
      <c r="BD400" s="244">
        <v>0</v>
      </c>
      <c r="BE400" s="244">
        <v>0</v>
      </c>
      <c r="BF400" s="244">
        <v>0</v>
      </c>
      <c r="BG400" s="244">
        <v>0</v>
      </c>
      <c r="BH400" s="245">
        <v>0</v>
      </c>
      <c r="BK400">
        <v>342</v>
      </c>
      <c r="BL400" s="281"/>
      <c r="BM400" s="281"/>
      <c r="BN400" s="282"/>
      <c r="BO400" s="282"/>
      <c r="BP400" s="282"/>
      <c r="BQ400" s="283"/>
      <c r="BR400" s="284"/>
      <c r="BS400" s="147"/>
      <c r="BT400" s="285"/>
      <c r="BU400" s="288"/>
      <c r="BV400" s="287"/>
      <c r="BW400" s="288"/>
      <c r="BX400" s="286"/>
      <c r="BY400" s="287"/>
      <c r="BZ400" s="288"/>
      <c r="CA400" s="286"/>
      <c r="CB400" s="286"/>
      <c r="CC400" s="287"/>
      <c r="CD400" s="286"/>
      <c r="CE400" s="286"/>
      <c r="CF400" s="286"/>
      <c r="CG400" s="287"/>
      <c r="CH400" s="288"/>
      <c r="CI400" s="286"/>
      <c r="CJ400" s="286"/>
      <c r="CK400" s="287"/>
      <c r="CL400" s="288"/>
      <c r="CM400" s="286"/>
      <c r="CN400" s="294"/>
      <c r="CO400" s="289"/>
      <c r="CP400" s="290"/>
      <c r="CQ400" s="289"/>
      <c r="CR400" s="290"/>
      <c r="CS400" s="284"/>
      <c r="CT400" s="147"/>
      <c r="CU400" s="291"/>
      <c r="CV400" s="292"/>
    </row>
    <row r="401" spans="2:100">
      <c r="B401">
        <v>343</v>
      </c>
      <c r="C401" s="243" t="str">
        <v/>
      </c>
      <c r="D401" s="592" t="str">
        <v/>
      </c>
      <c r="E401" s="245" t="str">
        <v/>
      </c>
      <c r="F401" s="243" t="str">
        <v/>
      </c>
      <c r="G401" s="245" t="str">
        <v/>
      </c>
      <c r="H401" s="243" t="str">
        <v/>
      </c>
      <c r="I401" s="245" t="str">
        <v/>
      </c>
      <c r="J401" s="242" t="str">
        <v/>
      </c>
      <c r="K401" s="242" t="str">
        <v/>
      </c>
      <c r="L401" s="242" t="str">
        <v/>
      </c>
      <c r="M401" s="243" t="str">
        <v/>
      </c>
      <c r="N401" s="592" t="str">
        <v/>
      </c>
      <c r="O401" s="245" t="str">
        <v/>
      </c>
      <c r="P401" s="245" t="str">
        <v/>
      </c>
      <c r="Q401" s="254" t="str">
        <v/>
      </c>
      <c r="R401" s="255" t="str">
        <v/>
      </c>
      <c r="S401" s="256" t="str">
        <v/>
      </c>
      <c r="T401" s="257" t="str">
        <v/>
      </c>
      <c r="U401" s="255" t="str">
        <v/>
      </c>
      <c r="V401" s="256" t="str">
        <v/>
      </c>
      <c r="W401" s="257" t="str">
        <v/>
      </c>
      <c r="X401" s="255" t="str">
        <v/>
      </c>
      <c r="Y401" s="256" t="str">
        <v/>
      </c>
      <c r="Z401" s="257" t="str">
        <v/>
      </c>
      <c r="AA401" s="255" t="str">
        <v/>
      </c>
      <c r="AB401" s="256" t="str">
        <v/>
      </c>
      <c r="AC401" s="257" t="str">
        <v/>
      </c>
      <c r="AD401" s="255" t="str">
        <v/>
      </c>
      <c r="AE401" s="256" t="str">
        <v/>
      </c>
      <c r="AF401" s="257" t="str">
        <v/>
      </c>
      <c r="AG401" s="255" t="str">
        <v/>
      </c>
      <c r="AH401" s="256" t="str">
        <v/>
      </c>
      <c r="AI401" s="257" t="str">
        <v/>
      </c>
      <c r="AJ401" s="255" t="str">
        <v/>
      </c>
      <c r="AK401" s="256" t="str">
        <v/>
      </c>
      <c r="AL401" s="257" t="str">
        <v/>
      </c>
      <c r="AM401" s="255" t="str">
        <v/>
      </c>
      <c r="AN401" s="256" t="str">
        <v/>
      </c>
      <c r="AO401" s="257" t="str">
        <v/>
      </c>
      <c r="AP401" s="255" t="str">
        <v/>
      </c>
      <c r="AQ401" s="256" t="str">
        <v/>
      </c>
      <c r="AR401" s="257" t="str">
        <v/>
      </c>
      <c r="AS401" s="255" t="str">
        <v/>
      </c>
      <c r="AT401" s="256" t="str">
        <v/>
      </c>
      <c r="AU401" s="257" t="str">
        <v/>
      </c>
      <c r="AV401" s="255" t="str">
        <v/>
      </c>
      <c r="AW401" s="256" t="str">
        <v/>
      </c>
      <c r="AX401" s="257" t="str">
        <v/>
      </c>
      <c r="AY401" s="243">
        <v>0</v>
      </c>
      <c r="AZ401" s="244">
        <v>0</v>
      </c>
      <c r="BA401" s="244">
        <v>0</v>
      </c>
      <c r="BB401" s="244">
        <v>0</v>
      </c>
      <c r="BC401" s="244">
        <v>0</v>
      </c>
      <c r="BD401" s="244">
        <v>0</v>
      </c>
      <c r="BE401" s="244">
        <v>0</v>
      </c>
      <c r="BF401" s="244">
        <v>0</v>
      </c>
      <c r="BG401" s="244">
        <v>0</v>
      </c>
      <c r="BH401" s="245">
        <v>0</v>
      </c>
      <c r="BK401">
        <v>343</v>
      </c>
      <c r="BL401" s="281"/>
      <c r="BM401" s="281"/>
      <c r="BN401" s="282"/>
      <c r="BO401" s="282"/>
      <c r="BP401" s="282"/>
      <c r="BQ401" s="283"/>
      <c r="BR401" s="284"/>
      <c r="BS401" s="147"/>
      <c r="BT401" s="285"/>
      <c r="BU401" s="288"/>
      <c r="BV401" s="287"/>
      <c r="BW401" s="288"/>
      <c r="BX401" s="286"/>
      <c r="BY401" s="287"/>
      <c r="BZ401" s="288"/>
      <c r="CA401" s="286"/>
      <c r="CB401" s="286"/>
      <c r="CC401" s="287"/>
      <c r="CD401" s="286"/>
      <c r="CE401" s="286"/>
      <c r="CF401" s="286"/>
      <c r="CG401" s="287"/>
      <c r="CH401" s="288"/>
      <c r="CI401" s="286"/>
      <c r="CJ401" s="286"/>
      <c r="CK401" s="287"/>
      <c r="CL401" s="288"/>
      <c r="CM401" s="286"/>
      <c r="CN401" s="294"/>
      <c r="CO401" s="289"/>
      <c r="CP401" s="290"/>
      <c r="CQ401" s="289"/>
      <c r="CR401" s="290"/>
      <c r="CS401" s="284"/>
      <c r="CT401" s="147"/>
      <c r="CU401" s="291"/>
      <c r="CV401" s="292"/>
    </row>
    <row r="402" spans="2:100">
      <c r="B402">
        <v>344</v>
      </c>
      <c r="C402" s="243" t="str">
        <v/>
      </c>
      <c r="D402" s="592" t="str">
        <v/>
      </c>
      <c r="E402" s="245" t="str">
        <v/>
      </c>
      <c r="F402" s="243" t="str">
        <v/>
      </c>
      <c r="G402" s="245" t="str">
        <v/>
      </c>
      <c r="H402" s="243" t="str">
        <v/>
      </c>
      <c r="I402" s="245" t="str">
        <v/>
      </c>
      <c r="J402" s="242" t="str">
        <v/>
      </c>
      <c r="K402" s="242" t="str">
        <v/>
      </c>
      <c r="L402" s="242" t="str">
        <v/>
      </c>
      <c r="M402" s="243" t="str">
        <v/>
      </c>
      <c r="N402" s="592" t="str">
        <v/>
      </c>
      <c r="O402" s="245" t="str">
        <v/>
      </c>
      <c r="P402" s="245" t="str">
        <v/>
      </c>
      <c r="Q402" s="254" t="str">
        <v/>
      </c>
      <c r="R402" s="255" t="str">
        <v/>
      </c>
      <c r="S402" s="256" t="str">
        <v/>
      </c>
      <c r="T402" s="257" t="str">
        <v/>
      </c>
      <c r="U402" s="255" t="str">
        <v/>
      </c>
      <c r="V402" s="256" t="str">
        <v/>
      </c>
      <c r="W402" s="257" t="str">
        <v/>
      </c>
      <c r="X402" s="255" t="str">
        <v/>
      </c>
      <c r="Y402" s="256" t="str">
        <v/>
      </c>
      <c r="Z402" s="257" t="str">
        <v/>
      </c>
      <c r="AA402" s="255" t="str">
        <v/>
      </c>
      <c r="AB402" s="256" t="str">
        <v/>
      </c>
      <c r="AC402" s="257" t="str">
        <v/>
      </c>
      <c r="AD402" s="255" t="str">
        <v/>
      </c>
      <c r="AE402" s="256" t="str">
        <v/>
      </c>
      <c r="AF402" s="257" t="str">
        <v/>
      </c>
      <c r="AG402" s="255" t="str">
        <v/>
      </c>
      <c r="AH402" s="256" t="str">
        <v/>
      </c>
      <c r="AI402" s="257" t="str">
        <v/>
      </c>
      <c r="AJ402" s="255" t="str">
        <v/>
      </c>
      <c r="AK402" s="256" t="str">
        <v/>
      </c>
      <c r="AL402" s="257" t="str">
        <v/>
      </c>
      <c r="AM402" s="255" t="str">
        <v/>
      </c>
      <c r="AN402" s="256" t="str">
        <v/>
      </c>
      <c r="AO402" s="257" t="str">
        <v/>
      </c>
      <c r="AP402" s="255" t="str">
        <v/>
      </c>
      <c r="AQ402" s="256" t="str">
        <v/>
      </c>
      <c r="AR402" s="257" t="str">
        <v/>
      </c>
      <c r="AS402" s="255" t="str">
        <v/>
      </c>
      <c r="AT402" s="256" t="str">
        <v/>
      </c>
      <c r="AU402" s="257" t="str">
        <v/>
      </c>
      <c r="AV402" s="255" t="str">
        <v/>
      </c>
      <c r="AW402" s="256" t="str">
        <v/>
      </c>
      <c r="AX402" s="257" t="str">
        <v/>
      </c>
      <c r="AY402" s="243">
        <v>0</v>
      </c>
      <c r="AZ402" s="244">
        <v>0</v>
      </c>
      <c r="BA402" s="244">
        <v>0</v>
      </c>
      <c r="BB402" s="244">
        <v>0</v>
      </c>
      <c r="BC402" s="244">
        <v>0</v>
      </c>
      <c r="BD402" s="244">
        <v>0</v>
      </c>
      <c r="BE402" s="244">
        <v>0</v>
      </c>
      <c r="BF402" s="244">
        <v>0</v>
      </c>
      <c r="BG402" s="244">
        <v>0</v>
      </c>
      <c r="BH402" s="245">
        <v>0</v>
      </c>
      <c r="BK402">
        <v>344</v>
      </c>
      <c r="BL402" s="281"/>
      <c r="BM402" s="281"/>
      <c r="BN402" s="282"/>
      <c r="BO402" s="282"/>
      <c r="BP402" s="282"/>
      <c r="BQ402" s="283"/>
      <c r="BR402" s="284"/>
      <c r="BS402" s="147"/>
      <c r="BT402" s="285"/>
      <c r="BU402" s="288"/>
      <c r="BV402" s="287"/>
      <c r="BW402" s="288"/>
      <c r="BX402" s="286"/>
      <c r="BY402" s="287"/>
      <c r="BZ402" s="288"/>
      <c r="CA402" s="286"/>
      <c r="CB402" s="286"/>
      <c r="CC402" s="287"/>
      <c r="CD402" s="286"/>
      <c r="CE402" s="286"/>
      <c r="CF402" s="286"/>
      <c r="CG402" s="287"/>
      <c r="CH402" s="288"/>
      <c r="CI402" s="286"/>
      <c r="CJ402" s="286"/>
      <c r="CK402" s="287"/>
      <c r="CL402" s="288"/>
      <c r="CM402" s="286"/>
      <c r="CN402" s="294"/>
      <c r="CO402" s="289"/>
      <c r="CP402" s="290"/>
      <c r="CQ402" s="289"/>
      <c r="CR402" s="290"/>
      <c r="CS402" s="284"/>
      <c r="CT402" s="147"/>
      <c r="CU402" s="291"/>
      <c r="CV402" s="292"/>
    </row>
    <row r="403" spans="2:100">
      <c r="B403">
        <v>345</v>
      </c>
      <c r="C403" s="243" t="str">
        <v/>
      </c>
      <c r="D403" s="592" t="str">
        <v/>
      </c>
      <c r="E403" s="245" t="str">
        <v/>
      </c>
      <c r="F403" s="243" t="str">
        <v/>
      </c>
      <c r="G403" s="245" t="str">
        <v/>
      </c>
      <c r="H403" s="243" t="str">
        <v/>
      </c>
      <c r="I403" s="245" t="str">
        <v/>
      </c>
      <c r="J403" s="242" t="str">
        <v/>
      </c>
      <c r="K403" s="242" t="str">
        <v/>
      </c>
      <c r="L403" s="242" t="str">
        <v/>
      </c>
      <c r="M403" s="243" t="str">
        <v/>
      </c>
      <c r="N403" s="592" t="str">
        <v/>
      </c>
      <c r="O403" s="245" t="str">
        <v/>
      </c>
      <c r="P403" s="245" t="str">
        <v/>
      </c>
      <c r="Q403" s="254" t="str">
        <v/>
      </c>
      <c r="R403" s="255" t="str">
        <v/>
      </c>
      <c r="S403" s="256" t="str">
        <v/>
      </c>
      <c r="T403" s="257" t="str">
        <v/>
      </c>
      <c r="U403" s="255" t="str">
        <v/>
      </c>
      <c r="V403" s="256" t="str">
        <v/>
      </c>
      <c r="W403" s="257" t="str">
        <v/>
      </c>
      <c r="X403" s="255" t="str">
        <v/>
      </c>
      <c r="Y403" s="256" t="str">
        <v/>
      </c>
      <c r="Z403" s="257" t="str">
        <v/>
      </c>
      <c r="AA403" s="255" t="str">
        <v/>
      </c>
      <c r="AB403" s="256" t="str">
        <v/>
      </c>
      <c r="AC403" s="257" t="str">
        <v/>
      </c>
      <c r="AD403" s="255" t="str">
        <v/>
      </c>
      <c r="AE403" s="256" t="str">
        <v/>
      </c>
      <c r="AF403" s="257" t="str">
        <v/>
      </c>
      <c r="AG403" s="255" t="str">
        <v/>
      </c>
      <c r="AH403" s="256" t="str">
        <v/>
      </c>
      <c r="AI403" s="257" t="str">
        <v/>
      </c>
      <c r="AJ403" s="255" t="str">
        <v/>
      </c>
      <c r="AK403" s="256" t="str">
        <v/>
      </c>
      <c r="AL403" s="257" t="str">
        <v/>
      </c>
      <c r="AM403" s="255" t="str">
        <v/>
      </c>
      <c r="AN403" s="256" t="str">
        <v/>
      </c>
      <c r="AO403" s="257" t="str">
        <v/>
      </c>
      <c r="AP403" s="255" t="str">
        <v/>
      </c>
      <c r="AQ403" s="256" t="str">
        <v/>
      </c>
      <c r="AR403" s="257" t="str">
        <v/>
      </c>
      <c r="AS403" s="255" t="str">
        <v/>
      </c>
      <c r="AT403" s="256" t="str">
        <v/>
      </c>
      <c r="AU403" s="257" t="str">
        <v/>
      </c>
      <c r="AV403" s="255" t="str">
        <v/>
      </c>
      <c r="AW403" s="256" t="str">
        <v/>
      </c>
      <c r="AX403" s="257" t="str">
        <v/>
      </c>
      <c r="AY403" s="243">
        <v>0</v>
      </c>
      <c r="AZ403" s="244">
        <v>0</v>
      </c>
      <c r="BA403" s="244">
        <v>0</v>
      </c>
      <c r="BB403" s="244">
        <v>0</v>
      </c>
      <c r="BC403" s="244">
        <v>0</v>
      </c>
      <c r="BD403" s="244">
        <v>0</v>
      </c>
      <c r="BE403" s="244">
        <v>0</v>
      </c>
      <c r="BF403" s="244">
        <v>0</v>
      </c>
      <c r="BG403" s="244">
        <v>0</v>
      </c>
      <c r="BH403" s="245">
        <v>0</v>
      </c>
      <c r="BK403">
        <v>345</v>
      </c>
      <c r="BL403" s="281"/>
      <c r="BM403" s="281"/>
      <c r="BN403" s="282"/>
      <c r="BO403" s="282"/>
      <c r="BP403" s="282"/>
      <c r="BQ403" s="283"/>
      <c r="BR403" s="284"/>
      <c r="BS403" s="147"/>
      <c r="BT403" s="285"/>
      <c r="BU403" s="288"/>
      <c r="BV403" s="287"/>
      <c r="BW403" s="288"/>
      <c r="BX403" s="286"/>
      <c r="BY403" s="287"/>
      <c r="BZ403" s="288"/>
      <c r="CA403" s="286"/>
      <c r="CB403" s="286"/>
      <c r="CC403" s="287"/>
      <c r="CD403" s="286"/>
      <c r="CE403" s="286"/>
      <c r="CF403" s="286"/>
      <c r="CG403" s="287"/>
      <c r="CH403" s="288"/>
      <c r="CI403" s="286"/>
      <c r="CJ403" s="286"/>
      <c r="CK403" s="287"/>
      <c r="CL403" s="288"/>
      <c r="CM403" s="286"/>
      <c r="CN403" s="294"/>
      <c r="CO403" s="289"/>
      <c r="CP403" s="290"/>
      <c r="CQ403" s="289"/>
      <c r="CR403" s="290"/>
      <c r="CS403" s="284"/>
      <c r="CT403" s="147"/>
      <c r="CU403" s="291"/>
      <c r="CV403" s="292"/>
    </row>
    <row r="404" spans="2:100">
      <c r="B404">
        <v>346</v>
      </c>
      <c r="C404" s="243" t="str">
        <v/>
      </c>
      <c r="D404" s="592" t="str">
        <v/>
      </c>
      <c r="E404" s="245" t="str">
        <v/>
      </c>
      <c r="F404" s="243" t="str">
        <v/>
      </c>
      <c r="G404" s="245" t="str">
        <v/>
      </c>
      <c r="H404" s="243" t="str">
        <v/>
      </c>
      <c r="I404" s="245" t="str">
        <v/>
      </c>
      <c r="J404" s="242" t="str">
        <v/>
      </c>
      <c r="K404" s="242" t="str">
        <v/>
      </c>
      <c r="L404" s="242" t="str">
        <v/>
      </c>
      <c r="M404" s="243" t="str">
        <v/>
      </c>
      <c r="N404" s="592" t="str">
        <v/>
      </c>
      <c r="O404" s="245" t="str">
        <v/>
      </c>
      <c r="P404" s="245" t="str">
        <v/>
      </c>
      <c r="Q404" s="254" t="str">
        <v/>
      </c>
      <c r="R404" s="255" t="str">
        <v/>
      </c>
      <c r="S404" s="256" t="str">
        <v/>
      </c>
      <c r="T404" s="257" t="str">
        <v/>
      </c>
      <c r="U404" s="255" t="str">
        <v/>
      </c>
      <c r="V404" s="256" t="str">
        <v/>
      </c>
      <c r="W404" s="257" t="str">
        <v/>
      </c>
      <c r="X404" s="255" t="str">
        <v/>
      </c>
      <c r="Y404" s="256" t="str">
        <v/>
      </c>
      <c r="Z404" s="257" t="str">
        <v/>
      </c>
      <c r="AA404" s="255" t="str">
        <v/>
      </c>
      <c r="AB404" s="256" t="str">
        <v/>
      </c>
      <c r="AC404" s="257" t="str">
        <v/>
      </c>
      <c r="AD404" s="255" t="str">
        <v/>
      </c>
      <c r="AE404" s="256" t="str">
        <v/>
      </c>
      <c r="AF404" s="257" t="str">
        <v/>
      </c>
      <c r="AG404" s="255" t="str">
        <v/>
      </c>
      <c r="AH404" s="256" t="str">
        <v/>
      </c>
      <c r="AI404" s="257" t="str">
        <v/>
      </c>
      <c r="AJ404" s="255" t="str">
        <v/>
      </c>
      <c r="AK404" s="256" t="str">
        <v/>
      </c>
      <c r="AL404" s="257" t="str">
        <v/>
      </c>
      <c r="AM404" s="255" t="str">
        <v/>
      </c>
      <c r="AN404" s="256" t="str">
        <v/>
      </c>
      <c r="AO404" s="257" t="str">
        <v/>
      </c>
      <c r="AP404" s="255" t="str">
        <v/>
      </c>
      <c r="AQ404" s="256" t="str">
        <v/>
      </c>
      <c r="AR404" s="257" t="str">
        <v/>
      </c>
      <c r="AS404" s="255" t="str">
        <v/>
      </c>
      <c r="AT404" s="256" t="str">
        <v/>
      </c>
      <c r="AU404" s="257" t="str">
        <v/>
      </c>
      <c r="AV404" s="255" t="str">
        <v/>
      </c>
      <c r="AW404" s="256" t="str">
        <v/>
      </c>
      <c r="AX404" s="257" t="str">
        <v/>
      </c>
      <c r="AY404" s="243">
        <v>0</v>
      </c>
      <c r="AZ404" s="244">
        <v>0</v>
      </c>
      <c r="BA404" s="244">
        <v>0</v>
      </c>
      <c r="BB404" s="244">
        <v>0</v>
      </c>
      <c r="BC404" s="244">
        <v>0</v>
      </c>
      <c r="BD404" s="244">
        <v>0</v>
      </c>
      <c r="BE404" s="244">
        <v>0</v>
      </c>
      <c r="BF404" s="244">
        <v>0</v>
      </c>
      <c r="BG404" s="244">
        <v>0</v>
      </c>
      <c r="BH404" s="245">
        <v>0</v>
      </c>
      <c r="BK404">
        <v>346</v>
      </c>
      <c r="BL404" s="281"/>
      <c r="BM404" s="281"/>
      <c r="BN404" s="282"/>
      <c r="BO404" s="282"/>
      <c r="BP404" s="282"/>
      <c r="BQ404" s="283"/>
      <c r="BR404" s="284"/>
      <c r="BS404" s="147"/>
      <c r="BT404" s="285"/>
      <c r="BU404" s="288"/>
      <c r="BV404" s="287"/>
      <c r="BW404" s="288"/>
      <c r="BX404" s="286"/>
      <c r="BY404" s="287"/>
      <c r="BZ404" s="288"/>
      <c r="CA404" s="286"/>
      <c r="CB404" s="286"/>
      <c r="CC404" s="287"/>
      <c r="CD404" s="286"/>
      <c r="CE404" s="286"/>
      <c r="CF404" s="286"/>
      <c r="CG404" s="287"/>
      <c r="CH404" s="288"/>
      <c r="CI404" s="286"/>
      <c r="CJ404" s="286"/>
      <c r="CK404" s="287"/>
      <c r="CL404" s="288"/>
      <c r="CM404" s="286"/>
      <c r="CN404" s="294"/>
      <c r="CO404" s="289"/>
      <c r="CP404" s="290"/>
      <c r="CQ404" s="289"/>
      <c r="CR404" s="290"/>
      <c r="CS404" s="284"/>
      <c r="CT404" s="147"/>
      <c r="CU404" s="291"/>
      <c r="CV404" s="292"/>
    </row>
    <row r="405" spans="2:100">
      <c r="B405">
        <v>347</v>
      </c>
      <c r="C405" s="243" t="str">
        <v/>
      </c>
      <c r="D405" s="592" t="str">
        <v/>
      </c>
      <c r="E405" s="245" t="str">
        <v/>
      </c>
      <c r="F405" s="243" t="str">
        <v/>
      </c>
      <c r="G405" s="245" t="str">
        <v/>
      </c>
      <c r="H405" s="243" t="str">
        <v/>
      </c>
      <c r="I405" s="245" t="str">
        <v/>
      </c>
      <c r="J405" s="242" t="str">
        <v/>
      </c>
      <c r="K405" s="242" t="str">
        <v/>
      </c>
      <c r="L405" s="242" t="str">
        <v/>
      </c>
      <c r="M405" s="243" t="str">
        <v/>
      </c>
      <c r="N405" s="592" t="str">
        <v/>
      </c>
      <c r="O405" s="245" t="str">
        <v/>
      </c>
      <c r="P405" s="245" t="str">
        <v/>
      </c>
      <c r="Q405" s="254" t="str">
        <v/>
      </c>
      <c r="R405" s="255" t="str">
        <v/>
      </c>
      <c r="S405" s="256" t="str">
        <v/>
      </c>
      <c r="T405" s="257" t="str">
        <v/>
      </c>
      <c r="U405" s="255" t="str">
        <v/>
      </c>
      <c r="V405" s="256" t="str">
        <v/>
      </c>
      <c r="W405" s="257" t="str">
        <v/>
      </c>
      <c r="X405" s="255" t="str">
        <v/>
      </c>
      <c r="Y405" s="256" t="str">
        <v/>
      </c>
      <c r="Z405" s="257" t="str">
        <v/>
      </c>
      <c r="AA405" s="255" t="str">
        <v/>
      </c>
      <c r="AB405" s="256" t="str">
        <v/>
      </c>
      <c r="AC405" s="257" t="str">
        <v/>
      </c>
      <c r="AD405" s="255" t="str">
        <v/>
      </c>
      <c r="AE405" s="256" t="str">
        <v/>
      </c>
      <c r="AF405" s="257" t="str">
        <v/>
      </c>
      <c r="AG405" s="255" t="str">
        <v/>
      </c>
      <c r="AH405" s="256" t="str">
        <v/>
      </c>
      <c r="AI405" s="257" t="str">
        <v/>
      </c>
      <c r="AJ405" s="255" t="str">
        <v/>
      </c>
      <c r="AK405" s="256" t="str">
        <v/>
      </c>
      <c r="AL405" s="257" t="str">
        <v/>
      </c>
      <c r="AM405" s="255" t="str">
        <v/>
      </c>
      <c r="AN405" s="256" t="str">
        <v/>
      </c>
      <c r="AO405" s="257" t="str">
        <v/>
      </c>
      <c r="AP405" s="255" t="str">
        <v/>
      </c>
      <c r="AQ405" s="256" t="str">
        <v/>
      </c>
      <c r="AR405" s="257" t="str">
        <v/>
      </c>
      <c r="AS405" s="255" t="str">
        <v/>
      </c>
      <c r="AT405" s="256" t="str">
        <v/>
      </c>
      <c r="AU405" s="257" t="str">
        <v/>
      </c>
      <c r="AV405" s="255" t="str">
        <v/>
      </c>
      <c r="AW405" s="256" t="str">
        <v/>
      </c>
      <c r="AX405" s="257" t="str">
        <v/>
      </c>
      <c r="AY405" s="243">
        <v>0</v>
      </c>
      <c r="AZ405" s="244">
        <v>0</v>
      </c>
      <c r="BA405" s="244">
        <v>0</v>
      </c>
      <c r="BB405" s="244">
        <v>0</v>
      </c>
      <c r="BC405" s="244">
        <v>0</v>
      </c>
      <c r="BD405" s="244">
        <v>0</v>
      </c>
      <c r="BE405" s="244">
        <v>0</v>
      </c>
      <c r="BF405" s="244">
        <v>0</v>
      </c>
      <c r="BG405" s="244">
        <v>0</v>
      </c>
      <c r="BH405" s="245">
        <v>0</v>
      </c>
      <c r="BK405">
        <v>347</v>
      </c>
      <c r="BL405" s="281"/>
      <c r="BM405" s="281"/>
      <c r="BN405" s="282"/>
      <c r="BO405" s="282"/>
      <c r="BP405" s="282"/>
      <c r="BQ405" s="283"/>
      <c r="BR405" s="284"/>
      <c r="BS405" s="147"/>
      <c r="BT405" s="285"/>
      <c r="BU405" s="288"/>
      <c r="BV405" s="287"/>
      <c r="BW405" s="288"/>
      <c r="BX405" s="286"/>
      <c r="BY405" s="287"/>
      <c r="BZ405" s="288"/>
      <c r="CA405" s="286"/>
      <c r="CB405" s="286"/>
      <c r="CC405" s="287"/>
      <c r="CD405" s="286"/>
      <c r="CE405" s="286"/>
      <c r="CF405" s="286"/>
      <c r="CG405" s="287"/>
      <c r="CH405" s="288"/>
      <c r="CI405" s="286"/>
      <c r="CJ405" s="286"/>
      <c r="CK405" s="287"/>
      <c r="CL405" s="288"/>
      <c r="CM405" s="286"/>
      <c r="CN405" s="294"/>
      <c r="CO405" s="289"/>
      <c r="CP405" s="290"/>
      <c r="CQ405" s="289"/>
      <c r="CR405" s="290"/>
      <c r="CS405" s="284"/>
      <c r="CT405" s="147"/>
      <c r="CU405" s="291"/>
      <c r="CV405" s="292"/>
    </row>
    <row r="406" spans="2:100">
      <c r="B406">
        <v>348</v>
      </c>
      <c r="C406" s="243" t="str">
        <v/>
      </c>
      <c r="D406" s="592" t="str">
        <v/>
      </c>
      <c r="E406" s="245" t="str">
        <v/>
      </c>
      <c r="F406" s="243" t="str">
        <v/>
      </c>
      <c r="G406" s="245" t="str">
        <v/>
      </c>
      <c r="H406" s="243" t="str">
        <v/>
      </c>
      <c r="I406" s="245" t="str">
        <v/>
      </c>
      <c r="J406" s="242" t="str">
        <v/>
      </c>
      <c r="K406" s="242" t="str">
        <v/>
      </c>
      <c r="L406" s="242" t="str">
        <v/>
      </c>
      <c r="M406" s="243" t="str">
        <v/>
      </c>
      <c r="N406" s="592" t="str">
        <v/>
      </c>
      <c r="O406" s="245" t="str">
        <v/>
      </c>
      <c r="P406" s="245" t="str">
        <v/>
      </c>
      <c r="Q406" s="254" t="str">
        <v/>
      </c>
      <c r="R406" s="255" t="str">
        <v/>
      </c>
      <c r="S406" s="256" t="str">
        <v/>
      </c>
      <c r="T406" s="257" t="str">
        <v/>
      </c>
      <c r="U406" s="255" t="str">
        <v/>
      </c>
      <c r="V406" s="256" t="str">
        <v/>
      </c>
      <c r="W406" s="257" t="str">
        <v/>
      </c>
      <c r="X406" s="255" t="str">
        <v/>
      </c>
      <c r="Y406" s="256" t="str">
        <v/>
      </c>
      <c r="Z406" s="257" t="str">
        <v/>
      </c>
      <c r="AA406" s="255" t="str">
        <v/>
      </c>
      <c r="AB406" s="256" t="str">
        <v/>
      </c>
      <c r="AC406" s="257" t="str">
        <v/>
      </c>
      <c r="AD406" s="255" t="str">
        <v/>
      </c>
      <c r="AE406" s="256" t="str">
        <v/>
      </c>
      <c r="AF406" s="257" t="str">
        <v/>
      </c>
      <c r="AG406" s="255" t="str">
        <v/>
      </c>
      <c r="AH406" s="256" t="str">
        <v/>
      </c>
      <c r="AI406" s="257" t="str">
        <v/>
      </c>
      <c r="AJ406" s="255" t="str">
        <v/>
      </c>
      <c r="AK406" s="256" t="str">
        <v/>
      </c>
      <c r="AL406" s="257" t="str">
        <v/>
      </c>
      <c r="AM406" s="255" t="str">
        <v/>
      </c>
      <c r="AN406" s="256" t="str">
        <v/>
      </c>
      <c r="AO406" s="257" t="str">
        <v/>
      </c>
      <c r="AP406" s="255" t="str">
        <v/>
      </c>
      <c r="AQ406" s="256" t="str">
        <v/>
      </c>
      <c r="AR406" s="257" t="str">
        <v/>
      </c>
      <c r="AS406" s="255" t="str">
        <v/>
      </c>
      <c r="AT406" s="256" t="str">
        <v/>
      </c>
      <c r="AU406" s="257" t="str">
        <v/>
      </c>
      <c r="AV406" s="255" t="str">
        <v/>
      </c>
      <c r="AW406" s="256" t="str">
        <v/>
      </c>
      <c r="AX406" s="257" t="str">
        <v/>
      </c>
      <c r="AY406" s="243">
        <v>0</v>
      </c>
      <c r="AZ406" s="244">
        <v>0</v>
      </c>
      <c r="BA406" s="244">
        <v>0</v>
      </c>
      <c r="BB406" s="244">
        <v>0</v>
      </c>
      <c r="BC406" s="244">
        <v>0</v>
      </c>
      <c r="BD406" s="244">
        <v>0</v>
      </c>
      <c r="BE406" s="244">
        <v>0</v>
      </c>
      <c r="BF406" s="244">
        <v>0</v>
      </c>
      <c r="BG406" s="244">
        <v>0</v>
      </c>
      <c r="BH406" s="245">
        <v>0</v>
      </c>
      <c r="BK406">
        <v>348</v>
      </c>
      <c r="BL406" s="281"/>
      <c r="BM406" s="281"/>
      <c r="BN406" s="282"/>
      <c r="BO406" s="282"/>
      <c r="BP406" s="282"/>
      <c r="BQ406" s="283"/>
      <c r="BR406" s="284"/>
      <c r="BS406" s="147"/>
      <c r="BT406" s="285"/>
      <c r="BU406" s="288"/>
      <c r="BV406" s="287"/>
      <c r="BW406" s="288"/>
      <c r="BX406" s="286"/>
      <c r="BY406" s="287"/>
      <c r="BZ406" s="288"/>
      <c r="CA406" s="286"/>
      <c r="CB406" s="286"/>
      <c r="CC406" s="287"/>
      <c r="CD406" s="286"/>
      <c r="CE406" s="286"/>
      <c r="CF406" s="286"/>
      <c r="CG406" s="287"/>
      <c r="CH406" s="288"/>
      <c r="CI406" s="286"/>
      <c r="CJ406" s="286"/>
      <c r="CK406" s="287"/>
      <c r="CL406" s="288"/>
      <c r="CM406" s="286"/>
      <c r="CN406" s="294"/>
      <c r="CO406" s="289"/>
      <c r="CP406" s="290"/>
      <c r="CQ406" s="289"/>
      <c r="CR406" s="290"/>
      <c r="CS406" s="284"/>
      <c r="CT406" s="147"/>
      <c r="CU406" s="291"/>
      <c r="CV406" s="292"/>
    </row>
    <row r="407" spans="2:100">
      <c r="B407">
        <v>349</v>
      </c>
      <c r="C407" s="243" t="str">
        <v/>
      </c>
      <c r="D407" s="592" t="str">
        <v/>
      </c>
      <c r="E407" s="245" t="str">
        <v/>
      </c>
      <c r="F407" s="243" t="str">
        <v/>
      </c>
      <c r="G407" s="245" t="str">
        <v/>
      </c>
      <c r="H407" s="243" t="str">
        <v/>
      </c>
      <c r="I407" s="245" t="str">
        <v/>
      </c>
      <c r="J407" s="242" t="str">
        <v/>
      </c>
      <c r="K407" s="242" t="str">
        <v/>
      </c>
      <c r="L407" s="242" t="str">
        <v/>
      </c>
      <c r="M407" s="243" t="str">
        <v/>
      </c>
      <c r="N407" s="592" t="str">
        <v/>
      </c>
      <c r="O407" s="245" t="str">
        <v/>
      </c>
      <c r="P407" s="245" t="str">
        <v/>
      </c>
      <c r="Q407" s="254" t="str">
        <v/>
      </c>
      <c r="R407" s="255" t="str">
        <v/>
      </c>
      <c r="S407" s="256" t="str">
        <v/>
      </c>
      <c r="T407" s="257" t="str">
        <v/>
      </c>
      <c r="U407" s="255" t="str">
        <v/>
      </c>
      <c r="V407" s="256" t="str">
        <v/>
      </c>
      <c r="W407" s="257" t="str">
        <v/>
      </c>
      <c r="X407" s="255" t="str">
        <v/>
      </c>
      <c r="Y407" s="256" t="str">
        <v/>
      </c>
      <c r="Z407" s="257" t="str">
        <v/>
      </c>
      <c r="AA407" s="255" t="str">
        <v/>
      </c>
      <c r="AB407" s="256" t="str">
        <v/>
      </c>
      <c r="AC407" s="257" t="str">
        <v/>
      </c>
      <c r="AD407" s="255" t="str">
        <v/>
      </c>
      <c r="AE407" s="256" t="str">
        <v/>
      </c>
      <c r="AF407" s="257" t="str">
        <v/>
      </c>
      <c r="AG407" s="255" t="str">
        <v/>
      </c>
      <c r="AH407" s="256" t="str">
        <v/>
      </c>
      <c r="AI407" s="257" t="str">
        <v/>
      </c>
      <c r="AJ407" s="255" t="str">
        <v/>
      </c>
      <c r="AK407" s="256" t="str">
        <v/>
      </c>
      <c r="AL407" s="257" t="str">
        <v/>
      </c>
      <c r="AM407" s="255" t="str">
        <v/>
      </c>
      <c r="AN407" s="256" t="str">
        <v/>
      </c>
      <c r="AO407" s="257" t="str">
        <v/>
      </c>
      <c r="AP407" s="255" t="str">
        <v/>
      </c>
      <c r="AQ407" s="256" t="str">
        <v/>
      </c>
      <c r="AR407" s="257" t="str">
        <v/>
      </c>
      <c r="AS407" s="255" t="str">
        <v/>
      </c>
      <c r="AT407" s="256" t="str">
        <v/>
      </c>
      <c r="AU407" s="257" t="str">
        <v/>
      </c>
      <c r="AV407" s="255" t="str">
        <v/>
      </c>
      <c r="AW407" s="256" t="str">
        <v/>
      </c>
      <c r="AX407" s="257" t="str">
        <v/>
      </c>
      <c r="AY407" s="243">
        <v>0</v>
      </c>
      <c r="AZ407" s="244">
        <v>0</v>
      </c>
      <c r="BA407" s="244">
        <v>0</v>
      </c>
      <c r="BB407" s="244">
        <v>0</v>
      </c>
      <c r="BC407" s="244">
        <v>0</v>
      </c>
      <c r="BD407" s="244">
        <v>0</v>
      </c>
      <c r="BE407" s="244">
        <v>0</v>
      </c>
      <c r="BF407" s="244">
        <v>0</v>
      </c>
      <c r="BG407" s="244">
        <v>0</v>
      </c>
      <c r="BH407" s="245">
        <v>0</v>
      </c>
      <c r="BK407">
        <v>349</v>
      </c>
      <c r="BL407" s="281"/>
      <c r="BM407" s="281"/>
      <c r="BN407" s="282"/>
      <c r="BO407" s="282"/>
      <c r="BP407" s="282"/>
      <c r="BQ407" s="283"/>
      <c r="BR407" s="284"/>
      <c r="BS407" s="147"/>
      <c r="BT407" s="285"/>
      <c r="BU407" s="288"/>
      <c r="BV407" s="287"/>
      <c r="BW407" s="288"/>
      <c r="BX407" s="286"/>
      <c r="BY407" s="287"/>
      <c r="BZ407" s="288"/>
      <c r="CA407" s="286"/>
      <c r="CB407" s="286"/>
      <c r="CC407" s="287"/>
      <c r="CD407" s="286"/>
      <c r="CE407" s="286"/>
      <c r="CF407" s="286"/>
      <c r="CG407" s="287"/>
      <c r="CH407" s="288"/>
      <c r="CI407" s="286"/>
      <c r="CJ407" s="286"/>
      <c r="CK407" s="287"/>
      <c r="CL407" s="288"/>
      <c r="CM407" s="286"/>
      <c r="CN407" s="294"/>
      <c r="CO407" s="289"/>
      <c r="CP407" s="290"/>
      <c r="CQ407" s="289"/>
      <c r="CR407" s="290"/>
      <c r="CS407" s="284"/>
      <c r="CT407" s="147"/>
      <c r="CU407" s="291"/>
      <c r="CV407" s="292"/>
    </row>
    <row r="408" spans="2:100">
      <c r="B408">
        <v>350</v>
      </c>
      <c r="C408" s="243" t="str">
        <v/>
      </c>
      <c r="D408" s="592" t="str">
        <v/>
      </c>
      <c r="E408" s="245" t="str">
        <v/>
      </c>
      <c r="F408" s="243" t="str">
        <v/>
      </c>
      <c r="G408" s="245" t="str">
        <v/>
      </c>
      <c r="H408" s="243" t="str">
        <v/>
      </c>
      <c r="I408" s="245" t="str">
        <v/>
      </c>
      <c r="J408" s="242" t="str">
        <v/>
      </c>
      <c r="K408" s="242" t="str">
        <v/>
      </c>
      <c r="L408" s="242" t="str">
        <v/>
      </c>
      <c r="M408" s="243" t="str">
        <v/>
      </c>
      <c r="N408" s="592" t="str">
        <v/>
      </c>
      <c r="O408" s="245" t="str">
        <v/>
      </c>
      <c r="P408" s="245" t="str">
        <v/>
      </c>
      <c r="Q408" s="254" t="str">
        <v/>
      </c>
      <c r="R408" s="255" t="str">
        <v/>
      </c>
      <c r="S408" s="256" t="str">
        <v/>
      </c>
      <c r="T408" s="257" t="str">
        <v/>
      </c>
      <c r="U408" s="255" t="str">
        <v/>
      </c>
      <c r="V408" s="256" t="str">
        <v/>
      </c>
      <c r="W408" s="257" t="str">
        <v/>
      </c>
      <c r="X408" s="255" t="str">
        <v/>
      </c>
      <c r="Y408" s="256" t="str">
        <v/>
      </c>
      <c r="Z408" s="257" t="str">
        <v/>
      </c>
      <c r="AA408" s="255" t="str">
        <v/>
      </c>
      <c r="AB408" s="256" t="str">
        <v/>
      </c>
      <c r="AC408" s="257" t="str">
        <v/>
      </c>
      <c r="AD408" s="255" t="str">
        <v/>
      </c>
      <c r="AE408" s="256" t="str">
        <v/>
      </c>
      <c r="AF408" s="257" t="str">
        <v/>
      </c>
      <c r="AG408" s="255" t="str">
        <v/>
      </c>
      <c r="AH408" s="256" t="str">
        <v/>
      </c>
      <c r="AI408" s="257" t="str">
        <v/>
      </c>
      <c r="AJ408" s="255" t="str">
        <v/>
      </c>
      <c r="AK408" s="256" t="str">
        <v/>
      </c>
      <c r="AL408" s="257" t="str">
        <v/>
      </c>
      <c r="AM408" s="255" t="str">
        <v/>
      </c>
      <c r="AN408" s="256" t="str">
        <v/>
      </c>
      <c r="AO408" s="257" t="str">
        <v/>
      </c>
      <c r="AP408" s="255" t="str">
        <v/>
      </c>
      <c r="AQ408" s="256" t="str">
        <v/>
      </c>
      <c r="AR408" s="257" t="str">
        <v/>
      </c>
      <c r="AS408" s="255" t="str">
        <v/>
      </c>
      <c r="AT408" s="256" t="str">
        <v/>
      </c>
      <c r="AU408" s="257" t="str">
        <v/>
      </c>
      <c r="AV408" s="255" t="str">
        <v/>
      </c>
      <c r="AW408" s="256" t="str">
        <v/>
      </c>
      <c r="AX408" s="257" t="str">
        <v/>
      </c>
      <c r="AY408" s="243">
        <v>0</v>
      </c>
      <c r="AZ408" s="244">
        <v>0</v>
      </c>
      <c r="BA408" s="244">
        <v>0</v>
      </c>
      <c r="BB408" s="244">
        <v>0</v>
      </c>
      <c r="BC408" s="244">
        <v>0</v>
      </c>
      <c r="BD408" s="244">
        <v>0</v>
      </c>
      <c r="BE408" s="244">
        <v>0</v>
      </c>
      <c r="BF408" s="244">
        <v>0</v>
      </c>
      <c r="BG408" s="244">
        <v>0</v>
      </c>
      <c r="BH408" s="245">
        <v>0</v>
      </c>
      <c r="BK408">
        <v>350</v>
      </c>
      <c r="BL408" s="281"/>
      <c r="BM408" s="281"/>
      <c r="BN408" s="282"/>
      <c r="BO408" s="282"/>
      <c r="BP408" s="282"/>
      <c r="BQ408" s="283"/>
      <c r="BR408" s="284"/>
      <c r="BS408" s="147"/>
      <c r="BT408" s="285"/>
      <c r="BU408" s="288"/>
      <c r="BV408" s="287"/>
      <c r="BW408" s="288"/>
      <c r="BX408" s="286"/>
      <c r="BY408" s="287"/>
      <c r="BZ408" s="288"/>
      <c r="CA408" s="286"/>
      <c r="CB408" s="286"/>
      <c r="CC408" s="287"/>
      <c r="CD408" s="286"/>
      <c r="CE408" s="286"/>
      <c r="CF408" s="286"/>
      <c r="CG408" s="287"/>
      <c r="CH408" s="288"/>
      <c r="CI408" s="286"/>
      <c r="CJ408" s="286"/>
      <c r="CK408" s="287"/>
      <c r="CL408" s="288"/>
      <c r="CM408" s="286"/>
      <c r="CN408" s="294"/>
      <c r="CO408" s="289"/>
      <c r="CP408" s="290"/>
      <c r="CQ408" s="289"/>
      <c r="CR408" s="290"/>
      <c r="CS408" s="284"/>
      <c r="CT408" s="147"/>
      <c r="CU408" s="291"/>
      <c r="CV408" s="292"/>
    </row>
    <row r="409" spans="2:100">
      <c r="B409">
        <v>351</v>
      </c>
      <c r="C409" s="243" t="str">
        <v/>
      </c>
      <c r="D409" s="592" t="str">
        <v/>
      </c>
      <c r="E409" s="245" t="str">
        <v/>
      </c>
      <c r="F409" s="243" t="str">
        <v/>
      </c>
      <c r="G409" s="245" t="str">
        <v/>
      </c>
      <c r="H409" s="243" t="str">
        <v/>
      </c>
      <c r="I409" s="245" t="str">
        <v/>
      </c>
      <c r="J409" s="242" t="str">
        <v/>
      </c>
      <c r="K409" s="242" t="str">
        <v/>
      </c>
      <c r="L409" s="242" t="str">
        <v/>
      </c>
      <c r="M409" s="243" t="str">
        <v/>
      </c>
      <c r="N409" s="592" t="str">
        <v/>
      </c>
      <c r="O409" s="245" t="str">
        <v/>
      </c>
      <c r="P409" s="245" t="str">
        <v/>
      </c>
      <c r="Q409" s="254" t="str">
        <v/>
      </c>
      <c r="R409" s="255" t="str">
        <v/>
      </c>
      <c r="S409" s="256" t="str">
        <v/>
      </c>
      <c r="T409" s="257" t="str">
        <v/>
      </c>
      <c r="U409" s="255" t="str">
        <v/>
      </c>
      <c r="V409" s="256" t="str">
        <v/>
      </c>
      <c r="W409" s="257" t="str">
        <v/>
      </c>
      <c r="X409" s="255" t="str">
        <v/>
      </c>
      <c r="Y409" s="256" t="str">
        <v/>
      </c>
      <c r="Z409" s="257" t="str">
        <v/>
      </c>
      <c r="AA409" s="255" t="str">
        <v/>
      </c>
      <c r="AB409" s="256" t="str">
        <v/>
      </c>
      <c r="AC409" s="257" t="str">
        <v/>
      </c>
      <c r="AD409" s="255" t="str">
        <v/>
      </c>
      <c r="AE409" s="256" t="str">
        <v/>
      </c>
      <c r="AF409" s="257" t="str">
        <v/>
      </c>
      <c r="AG409" s="255" t="str">
        <v/>
      </c>
      <c r="AH409" s="256" t="str">
        <v/>
      </c>
      <c r="AI409" s="257" t="str">
        <v/>
      </c>
      <c r="AJ409" s="255" t="str">
        <v/>
      </c>
      <c r="AK409" s="256" t="str">
        <v/>
      </c>
      <c r="AL409" s="257" t="str">
        <v/>
      </c>
      <c r="AM409" s="255" t="str">
        <v/>
      </c>
      <c r="AN409" s="256" t="str">
        <v/>
      </c>
      <c r="AO409" s="257" t="str">
        <v/>
      </c>
      <c r="AP409" s="255" t="str">
        <v/>
      </c>
      <c r="AQ409" s="256" t="str">
        <v/>
      </c>
      <c r="AR409" s="257" t="str">
        <v/>
      </c>
      <c r="AS409" s="255" t="str">
        <v/>
      </c>
      <c r="AT409" s="256" t="str">
        <v/>
      </c>
      <c r="AU409" s="257" t="str">
        <v/>
      </c>
      <c r="AV409" s="255" t="str">
        <v/>
      </c>
      <c r="AW409" s="256" t="str">
        <v/>
      </c>
      <c r="AX409" s="257" t="str">
        <v/>
      </c>
      <c r="AY409" s="243">
        <v>0</v>
      </c>
      <c r="AZ409" s="244">
        <v>0</v>
      </c>
      <c r="BA409" s="244">
        <v>0</v>
      </c>
      <c r="BB409" s="244">
        <v>0</v>
      </c>
      <c r="BC409" s="244">
        <v>0</v>
      </c>
      <c r="BD409" s="244">
        <v>0</v>
      </c>
      <c r="BE409" s="244">
        <v>0</v>
      </c>
      <c r="BF409" s="244">
        <v>0</v>
      </c>
      <c r="BG409" s="244">
        <v>0</v>
      </c>
      <c r="BH409" s="245">
        <v>0</v>
      </c>
      <c r="BK409">
        <v>351</v>
      </c>
      <c r="BL409" s="281"/>
      <c r="BM409" s="281"/>
      <c r="BN409" s="282"/>
      <c r="BO409" s="282"/>
      <c r="BP409" s="282"/>
      <c r="BQ409" s="283"/>
      <c r="BR409" s="284"/>
      <c r="BS409" s="147"/>
      <c r="BT409" s="285"/>
      <c r="BU409" s="288"/>
      <c r="BV409" s="287"/>
      <c r="BW409" s="288"/>
      <c r="BX409" s="286"/>
      <c r="BY409" s="287"/>
      <c r="BZ409" s="288"/>
      <c r="CA409" s="286"/>
      <c r="CB409" s="286"/>
      <c r="CC409" s="287"/>
      <c r="CD409" s="286"/>
      <c r="CE409" s="286"/>
      <c r="CF409" s="286"/>
      <c r="CG409" s="287"/>
      <c r="CH409" s="288"/>
      <c r="CI409" s="286"/>
      <c r="CJ409" s="286"/>
      <c r="CK409" s="287"/>
      <c r="CL409" s="288"/>
      <c r="CM409" s="286"/>
      <c r="CN409" s="294"/>
      <c r="CO409" s="289"/>
      <c r="CP409" s="290"/>
      <c r="CQ409" s="289"/>
      <c r="CR409" s="290"/>
      <c r="CS409" s="284"/>
      <c r="CT409" s="147"/>
      <c r="CU409" s="291"/>
      <c r="CV409" s="292"/>
    </row>
    <row r="410" spans="2:100">
      <c r="B410">
        <v>352</v>
      </c>
      <c r="C410" s="243" t="str">
        <v/>
      </c>
      <c r="D410" s="592" t="str">
        <v/>
      </c>
      <c r="E410" s="245" t="str">
        <v/>
      </c>
      <c r="F410" s="243" t="str">
        <v/>
      </c>
      <c r="G410" s="245" t="str">
        <v/>
      </c>
      <c r="H410" s="243" t="str">
        <v/>
      </c>
      <c r="I410" s="245" t="str">
        <v/>
      </c>
      <c r="J410" s="242" t="str">
        <v/>
      </c>
      <c r="K410" s="242" t="str">
        <v/>
      </c>
      <c r="L410" s="242" t="str">
        <v/>
      </c>
      <c r="M410" s="243" t="str">
        <v/>
      </c>
      <c r="N410" s="592" t="str">
        <v/>
      </c>
      <c r="O410" s="245" t="str">
        <v/>
      </c>
      <c r="P410" s="245" t="str">
        <v/>
      </c>
      <c r="Q410" s="254" t="str">
        <v/>
      </c>
      <c r="R410" s="255" t="str">
        <v/>
      </c>
      <c r="S410" s="256" t="str">
        <v/>
      </c>
      <c r="T410" s="257" t="str">
        <v/>
      </c>
      <c r="U410" s="255" t="str">
        <v/>
      </c>
      <c r="V410" s="256" t="str">
        <v/>
      </c>
      <c r="W410" s="257" t="str">
        <v/>
      </c>
      <c r="X410" s="255" t="str">
        <v/>
      </c>
      <c r="Y410" s="256" t="str">
        <v/>
      </c>
      <c r="Z410" s="257" t="str">
        <v/>
      </c>
      <c r="AA410" s="255" t="str">
        <v/>
      </c>
      <c r="AB410" s="256" t="str">
        <v/>
      </c>
      <c r="AC410" s="257" t="str">
        <v/>
      </c>
      <c r="AD410" s="255" t="str">
        <v/>
      </c>
      <c r="AE410" s="256" t="str">
        <v/>
      </c>
      <c r="AF410" s="257" t="str">
        <v/>
      </c>
      <c r="AG410" s="255" t="str">
        <v/>
      </c>
      <c r="AH410" s="256" t="str">
        <v/>
      </c>
      <c r="AI410" s="257" t="str">
        <v/>
      </c>
      <c r="AJ410" s="255" t="str">
        <v/>
      </c>
      <c r="AK410" s="256" t="str">
        <v/>
      </c>
      <c r="AL410" s="257" t="str">
        <v/>
      </c>
      <c r="AM410" s="255" t="str">
        <v/>
      </c>
      <c r="AN410" s="256" t="str">
        <v/>
      </c>
      <c r="AO410" s="257" t="str">
        <v/>
      </c>
      <c r="AP410" s="255" t="str">
        <v/>
      </c>
      <c r="AQ410" s="256" t="str">
        <v/>
      </c>
      <c r="AR410" s="257" t="str">
        <v/>
      </c>
      <c r="AS410" s="255" t="str">
        <v/>
      </c>
      <c r="AT410" s="256" t="str">
        <v/>
      </c>
      <c r="AU410" s="257" t="str">
        <v/>
      </c>
      <c r="AV410" s="255" t="str">
        <v/>
      </c>
      <c r="AW410" s="256" t="str">
        <v/>
      </c>
      <c r="AX410" s="257" t="str">
        <v/>
      </c>
      <c r="AY410" s="243">
        <v>0</v>
      </c>
      <c r="AZ410" s="244">
        <v>0</v>
      </c>
      <c r="BA410" s="244">
        <v>0</v>
      </c>
      <c r="BB410" s="244">
        <v>0</v>
      </c>
      <c r="BC410" s="244">
        <v>0</v>
      </c>
      <c r="BD410" s="244">
        <v>0</v>
      </c>
      <c r="BE410" s="244">
        <v>0</v>
      </c>
      <c r="BF410" s="244">
        <v>0</v>
      </c>
      <c r="BG410" s="244">
        <v>0</v>
      </c>
      <c r="BH410" s="245">
        <v>0</v>
      </c>
      <c r="BK410">
        <v>352</v>
      </c>
      <c r="BL410" s="281"/>
      <c r="BM410" s="281"/>
      <c r="BN410" s="282"/>
      <c r="BO410" s="282"/>
      <c r="BP410" s="282"/>
      <c r="BQ410" s="283"/>
      <c r="BR410" s="284"/>
      <c r="BS410" s="147"/>
      <c r="BT410" s="285"/>
      <c r="BU410" s="288"/>
      <c r="BV410" s="287"/>
      <c r="BW410" s="288"/>
      <c r="BX410" s="286"/>
      <c r="BY410" s="287"/>
      <c r="BZ410" s="288"/>
      <c r="CA410" s="286"/>
      <c r="CB410" s="286"/>
      <c r="CC410" s="287"/>
      <c r="CD410" s="286"/>
      <c r="CE410" s="286"/>
      <c r="CF410" s="286"/>
      <c r="CG410" s="287"/>
      <c r="CH410" s="288"/>
      <c r="CI410" s="286"/>
      <c r="CJ410" s="286"/>
      <c r="CK410" s="287"/>
      <c r="CL410" s="288"/>
      <c r="CM410" s="286"/>
      <c r="CN410" s="294"/>
      <c r="CO410" s="289"/>
      <c r="CP410" s="290"/>
      <c r="CQ410" s="289"/>
      <c r="CR410" s="290"/>
      <c r="CS410" s="284"/>
      <c r="CT410" s="147"/>
      <c r="CU410" s="291"/>
      <c r="CV410" s="292"/>
    </row>
    <row r="411" spans="2:100">
      <c r="B411">
        <v>353</v>
      </c>
      <c r="C411" s="243" t="str">
        <v/>
      </c>
      <c r="D411" s="592" t="str">
        <v/>
      </c>
      <c r="E411" s="245" t="str">
        <v/>
      </c>
      <c r="F411" s="243" t="str">
        <v/>
      </c>
      <c r="G411" s="245" t="str">
        <v/>
      </c>
      <c r="H411" s="243" t="str">
        <v/>
      </c>
      <c r="I411" s="245" t="str">
        <v/>
      </c>
      <c r="J411" s="242" t="str">
        <v/>
      </c>
      <c r="K411" s="242" t="str">
        <v/>
      </c>
      <c r="L411" s="242" t="str">
        <v/>
      </c>
      <c r="M411" s="243" t="str">
        <v/>
      </c>
      <c r="N411" s="592" t="str">
        <v/>
      </c>
      <c r="O411" s="245" t="str">
        <v/>
      </c>
      <c r="P411" s="245" t="str">
        <v/>
      </c>
      <c r="Q411" s="254" t="str">
        <v/>
      </c>
      <c r="R411" s="255" t="str">
        <v/>
      </c>
      <c r="S411" s="256" t="str">
        <v/>
      </c>
      <c r="T411" s="257" t="str">
        <v/>
      </c>
      <c r="U411" s="255" t="str">
        <v/>
      </c>
      <c r="V411" s="256" t="str">
        <v/>
      </c>
      <c r="W411" s="257" t="str">
        <v/>
      </c>
      <c r="X411" s="255" t="str">
        <v/>
      </c>
      <c r="Y411" s="256" t="str">
        <v/>
      </c>
      <c r="Z411" s="257" t="str">
        <v/>
      </c>
      <c r="AA411" s="255" t="str">
        <v/>
      </c>
      <c r="AB411" s="256" t="str">
        <v/>
      </c>
      <c r="AC411" s="257" t="str">
        <v/>
      </c>
      <c r="AD411" s="255" t="str">
        <v/>
      </c>
      <c r="AE411" s="256" t="str">
        <v/>
      </c>
      <c r="AF411" s="257" t="str">
        <v/>
      </c>
      <c r="AG411" s="255" t="str">
        <v/>
      </c>
      <c r="AH411" s="256" t="str">
        <v/>
      </c>
      <c r="AI411" s="257" t="str">
        <v/>
      </c>
      <c r="AJ411" s="255" t="str">
        <v/>
      </c>
      <c r="AK411" s="256" t="str">
        <v/>
      </c>
      <c r="AL411" s="257" t="str">
        <v/>
      </c>
      <c r="AM411" s="255" t="str">
        <v/>
      </c>
      <c r="AN411" s="256" t="str">
        <v/>
      </c>
      <c r="AO411" s="257" t="str">
        <v/>
      </c>
      <c r="AP411" s="255" t="str">
        <v/>
      </c>
      <c r="AQ411" s="256" t="str">
        <v/>
      </c>
      <c r="AR411" s="257" t="str">
        <v/>
      </c>
      <c r="AS411" s="255" t="str">
        <v/>
      </c>
      <c r="AT411" s="256" t="str">
        <v/>
      </c>
      <c r="AU411" s="257" t="str">
        <v/>
      </c>
      <c r="AV411" s="255" t="str">
        <v/>
      </c>
      <c r="AW411" s="256" t="str">
        <v/>
      </c>
      <c r="AX411" s="257" t="str">
        <v/>
      </c>
      <c r="AY411" s="243">
        <v>0</v>
      </c>
      <c r="AZ411" s="244">
        <v>0</v>
      </c>
      <c r="BA411" s="244">
        <v>0</v>
      </c>
      <c r="BB411" s="244">
        <v>0</v>
      </c>
      <c r="BC411" s="244">
        <v>0</v>
      </c>
      <c r="BD411" s="244">
        <v>0</v>
      </c>
      <c r="BE411" s="244">
        <v>0</v>
      </c>
      <c r="BF411" s="244">
        <v>0</v>
      </c>
      <c r="BG411" s="244">
        <v>0</v>
      </c>
      <c r="BH411" s="245">
        <v>0</v>
      </c>
      <c r="BK411">
        <v>353</v>
      </c>
      <c r="BL411" s="281"/>
      <c r="BM411" s="281"/>
      <c r="BN411" s="282"/>
      <c r="BO411" s="282"/>
      <c r="BP411" s="282"/>
      <c r="BQ411" s="283"/>
      <c r="BR411" s="284"/>
      <c r="BS411" s="147"/>
      <c r="BT411" s="285"/>
      <c r="BU411" s="288"/>
      <c r="BV411" s="287"/>
      <c r="BW411" s="288"/>
      <c r="BX411" s="286"/>
      <c r="BY411" s="287"/>
      <c r="BZ411" s="288"/>
      <c r="CA411" s="286"/>
      <c r="CB411" s="286"/>
      <c r="CC411" s="287"/>
      <c r="CD411" s="286"/>
      <c r="CE411" s="286"/>
      <c r="CF411" s="286"/>
      <c r="CG411" s="287"/>
      <c r="CH411" s="288"/>
      <c r="CI411" s="286"/>
      <c r="CJ411" s="286"/>
      <c r="CK411" s="287"/>
      <c r="CL411" s="288"/>
      <c r="CM411" s="286"/>
      <c r="CN411" s="294"/>
      <c r="CO411" s="289"/>
      <c r="CP411" s="290"/>
      <c r="CQ411" s="289"/>
      <c r="CR411" s="290"/>
      <c r="CS411" s="284"/>
      <c r="CT411" s="147"/>
      <c r="CU411" s="291"/>
      <c r="CV411" s="292"/>
    </row>
    <row r="412" spans="2:100">
      <c r="B412">
        <v>354</v>
      </c>
      <c r="C412" s="243" t="str">
        <v/>
      </c>
      <c r="D412" s="592" t="str">
        <v/>
      </c>
      <c r="E412" s="245" t="str">
        <v/>
      </c>
      <c r="F412" s="243" t="str">
        <v/>
      </c>
      <c r="G412" s="245" t="str">
        <v/>
      </c>
      <c r="H412" s="243" t="str">
        <v/>
      </c>
      <c r="I412" s="245" t="str">
        <v/>
      </c>
      <c r="J412" s="242" t="str">
        <v/>
      </c>
      <c r="K412" s="242" t="str">
        <v/>
      </c>
      <c r="L412" s="242" t="str">
        <v/>
      </c>
      <c r="M412" s="243" t="str">
        <v/>
      </c>
      <c r="N412" s="592" t="str">
        <v/>
      </c>
      <c r="O412" s="245" t="str">
        <v/>
      </c>
      <c r="P412" s="245" t="str">
        <v/>
      </c>
      <c r="Q412" s="254" t="str">
        <v/>
      </c>
      <c r="R412" s="255" t="str">
        <v/>
      </c>
      <c r="S412" s="256" t="str">
        <v/>
      </c>
      <c r="T412" s="257" t="str">
        <v/>
      </c>
      <c r="U412" s="255" t="str">
        <v/>
      </c>
      <c r="V412" s="256" t="str">
        <v/>
      </c>
      <c r="W412" s="257" t="str">
        <v/>
      </c>
      <c r="X412" s="255" t="str">
        <v/>
      </c>
      <c r="Y412" s="256" t="str">
        <v/>
      </c>
      <c r="Z412" s="257" t="str">
        <v/>
      </c>
      <c r="AA412" s="255" t="str">
        <v/>
      </c>
      <c r="AB412" s="256" t="str">
        <v/>
      </c>
      <c r="AC412" s="257" t="str">
        <v/>
      </c>
      <c r="AD412" s="255" t="str">
        <v/>
      </c>
      <c r="AE412" s="256" t="str">
        <v/>
      </c>
      <c r="AF412" s="257" t="str">
        <v/>
      </c>
      <c r="AG412" s="255" t="str">
        <v/>
      </c>
      <c r="AH412" s="256" t="str">
        <v/>
      </c>
      <c r="AI412" s="257" t="str">
        <v/>
      </c>
      <c r="AJ412" s="255" t="str">
        <v/>
      </c>
      <c r="AK412" s="256" t="str">
        <v/>
      </c>
      <c r="AL412" s="257" t="str">
        <v/>
      </c>
      <c r="AM412" s="255" t="str">
        <v/>
      </c>
      <c r="AN412" s="256" t="str">
        <v/>
      </c>
      <c r="AO412" s="257" t="str">
        <v/>
      </c>
      <c r="AP412" s="255" t="str">
        <v/>
      </c>
      <c r="AQ412" s="256" t="str">
        <v/>
      </c>
      <c r="AR412" s="257" t="str">
        <v/>
      </c>
      <c r="AS412" s="255" t="str">
        <v/>
      </c>
      <c r="AT412" s="256" t="str">
        <v/>
      </c>
      <c r="AU412" s="257" t="str">
        <v/>
      </c>
      <c r="AV412" s="255" t="str">
        <v/>
      </c>
      <c r="AW412" s="256" t="str">
        <v/>
      </c>
      <c r="AX412" s="257" t="str">
        <v/>
      </c>
      <c r="AY412" s="243">
        <v>0</v>
      </c>
      <c r="AZ412" s="244">
        <v>0</v>
      </c>
      <c r="BA412" s="244">
        <v>0</v>
      </c>
      <c r="BB412" s="244">
        <v>0</v>
      </c>
      <c r="BC412" s="244">
        <v>0</v>
      </c>
      <c r="BD412" s="244">
        <v>0</v>
      </c>
      <c r="BE412" s="244">
        <v>0</v>
      </c>
      <c r="BF412" s="244">
        <v>0</v>
      </c>
      <c r="BG412" s="244">
        <v>0</v>
      </c>
      <c r="BH412" s="245">
        <v>0</v>
      </c>
      <c r="BK412">
        <v>354</v>
      </c>
      <c r="BL412" s="281"/>
      <c r="BM412" s="281"/>
      <c r="BN412" s="282"/>
      <c r="BO412" s="282"/>
      <c r="BP412" s="282"/>
      <c r="BQ412" s="283"/>
      <c r="BR412" s="284"/>
      <c r="BS412" s="147"/>
      <c r="BT412" s="285"/>
      <c r="BU412" s="288"/>
      <c r="BV412" s="287"/>
      <c r="BW412" s="288"/>
      <c r="BX412" s="286"/>
      <c r="BY412" s="287"/>
      <c r="BZ412" s="288"/>
      <c r="CA412" s="286"/>
      <c r="CB412" s="286"/>
      <c r="CC412" s="287"/>
      <c r="CD412" s="286"/>
      <c r="CE412" s="286"/>
      <c r="CF412" s="286"/>
      <c r="CG412" s="287"/>
      <c r="CH412" s="288"/>
      <c r="CI412" s="286"/>
      <c r="CJ412" s="286"/>
      <c r="CK412" s="287"/>
      <c r="CL412" s="288"/>
      <c r="CM412" s="286"/>
      <c r="CN412" s="294"/>
      <c r="CO412" s="289"/>
      <c r="CP412" s="290"/>
      <c r="CQ412" s="289"/>
      <c r="CR412" s="290"/>
      <c r="CS412" s="284"/>
      <c r="CT412" s="147"/>
      <c r="CU412" s="291"/>
      <c r="CV412" s="292"/>
    </row>
    <row r="413" spans="2:100">
      <c r="B413">
        <v>355</v>
      </c>
      <c r="C413" s="243" t="str">
        <v/>
      </c>
      <c r="D413" s="592" t="str">
        <v/>
      </c>
      <c r="E413" s="245" t="str">
        <v/>
      </c>
      <c r="F413" s="243" t="str">
        <v/>
      </c>
      <c r="G413" s="245" t="str">
        <v/>
      </c>
      <c r="H413" s="243" t="str">
        <v/>
      </c>
      <c r="I413" s="245" t="str">
        <v/>
      </c>
      <c r="J413" s="242" t="str">
        <v/>
      </c>
      <c r="K413" s="242" t="str">
        <v/>
      </c>
      <c r="L413" s="242" t="str">
        <v/>
      </c>
      <c r="M413" s="243" t="str">
        <v/>
      </c>
      <c r="N413" s="592" t="str">
        <v/>
      </c>
      <c r="O413" s="245" t="str">
        <v/>
      </c>
      <c r="P413" s="245" t="str">
        <v/>
      </c>
      <c r="Q413" s="254" t="str">
        <v/>
      </c>
      <c r="R413" s="255" t="str">
        <v/>
      </c>
      <c r="S413" s="256" t="str">
        <v/>
      </c>
      <c r="T413" s="257" t="str">
        <v/>
      </c>
      <c r="U413" s="255" t="str">
        <v/>
      </c>
      <c r="V413" s="256" t="str">
        <v/>
      </c>
      <c r="W413" s="257" t="str">
        <v/>
      </c>
      <c r="X413" s="255" t="str">
        <v/>
      </c>
      <c r="Y413" s="256" t="str">
        <v/>
      </c>
      <c r="Z413" s="257" t="str">
        <v/>
      </c>
      <c r="AA413" s="255" t="str">
        <v/>
      </c>
      <c r="AB413" s="256" t="str">
        <v/>
      </c>
      <c r="AC413" s="257" t="str">
        <v/>
      </c>
      <c r="AD413" s="255" t="str">
        <v/>
      </c>
      <c r="AE413" s="256" t="str">
        <v/>
      </c>
      <c r="AF413" s="257" t="str">
        <v/>
      </c>
      <c r="AG413" s="255" t="str">
        <v/>
      </c>
      <c r="AH413" s="256" t="str">
        <v/>
      </c>
      <c r="AI413" s="257" t="str">
        <v/>
      </c>
      <c r="AJ413" s="255" t="str">
        <v/>
      </c>
      <c r="AK413" s="256" t="str">
        <v/>
      </c>
      <c r="AL413" s="257" t="str">
        <v/>
      </c>
      <c r="AM413" s="255" t="str">
        <v/>
      </c>
      <c r="AN413" s="256" t="str">
        <v/>
      </c>
      <c r="AO413" s="257" t="str">
        <v/>
      </c>
      <c r="AP413" s="255" t="str">
        <v/>
      </c>
      <c r="AQ413" s="256" t="str">
        <v/>
      </c>
      <c r="AR413" s="257" t="str">
        <v/>
      </c>
      <c r="AS413" s="255" t="str">
        <v/>
      </c>
      <c r="AT413" s="256" t="str">
        <v/>
      </c>
      <c r="AU413" s="257" t="str">
        <v/>
      </c>
      <c r="AV413" s="255" t="str">
        <v/>
      </c>
      <c r="AW413" s="256" t="str">
        <v/>
      </c>
      <c r="AX413" s="257" t="str">
        <v/>
      </c>
      <c r="AY413" s="243">
        <v>0</v>
      </c>
      <c r="AZ413" s="244">
        <v>0</v>
      </c>
      <c r="BA413" s="244">
        <v>0</v>
      </c>
      <c r="BB413" s="244">
        <v>0</v>
      </c>
      <c r="BC413" s="244">
        <v>0</v>
      </c>
      <c r="BD413" s="244">
        <v>0</v>
      </c>
      <c r="BE413" s="244">
        <v>0</v>
      </c>
      <c r="BF413" s="244">
        <v>0</v>
      </c>
      <c r="BG413" s="244">
        <v>0</v>
      </c>
      <c r="BH413" s="245">
        <v>0</v>
      </c>
      <c r="BK413">
        <v>355</v>
      </c>
      <c r="BL413" s="281"/>
      <c r="BM413" s="281"/>
      <c r="BN413" s="282"/>
      <c r="BO413" s="282"/>
      <c r="BP413" s="282"/>
      <c r="BQ413" s="283"/>
      <c r="BR413" s="284"/>
      <c r="BS413" s="147"/>
      <c r="BT413" s="285"/>
      <c r="BU413" s="288"/>
      <c r="BV413" s="287"/>
      <c r="BW413" s="288"/>
      <c r="BX413" s="286"/>
      <c r="BY413" s="287"/>
      <c r="BZ413" s="288"/>
      <c r="CA413" s="286"/>
      <c r="CB413" s="286"/>
      <c r="CC413" s="287"/>
      <c r="CD413" s="286"/>
      <c r="CE413" s="286"/>
      <c r="CF413" s="286"/>
      <c r="CG413" s="287"/>
      <c r="CH413" s="288"/>
      <c r="CI413" s="286"/>
      <c r="CJ413" s="286"/>
      <c r="CK413" s="287"/>
      <c r="CL413" s="288"/>
      <c r="CM413" s="286"/>
      <c r="CN413" s="294"/>
      <c r="CO413" s="289"/>
      <c r="CP413" s="290"/>
      <c r="CQ413" s="289"/>
      <c r="CR413" s="290"/>
      <c r="CS413" s="284"/>
      <c r="CT413" s="147"/>
      <c r="CU413" s="291"/>
      <c r="CV413" s="292"/>
    </row>
    <row r="414" spans="2:100">
      <c r="B414">
        <v>356</v>
      </c>
      <c r="C414" s="243" t="str">
        <v/>
      </c>
      <c r="D414" s="592" t="str">
        <v/>
      </c>
      <c r="E414" s="245" t="str">
        <v/>
      </c>
      <c r="F414" s="243" t="str">
        <v/>
      </c>
      <c r="G414" s="245" t="str">
        <v/>
      </c>
      <c r="H414" s="243" t="str">
        <v/>
      </c>
      <c r="I414" s="245" t="str">
        <v/>
      </c>
      <c r="J414" s="242" t="str">
        <v/>
      </c>
      <c r="K414" s="242" t="str">
        <v/>
      </c>
      <c r="L414" s="242" t="str">
        <v/>
      </c>
      <c r="M414" s="243" t="str">
        <v/>
      </c>
      <c r="N414" s="592" t="str">
        <v/>
      </c>
      <c r="O414" s="245" t="str">
        <v/>
      </c>
      <c r="P414" s="245" t="str">
        <v/>
      </c>
      <c r="Q414" s="254" t="str">
        <v/>
      </c>
      <c r="R414" s="255" t="str">
        <v/>
      </c>
      <c r="S414" s="256" t="str">
        <v/>
      </c>
      <c r="T414" s="257" t="str">
        <v/>
      </c>
      <c r="U414" s="255" t="str">
        <v/>
      </c>
      <c r="V414" s="256" t="str">
        <v/>
      </c>
      <c r="W414" s="257" t="str">
        <v/>
      </c>
      <c r="X414" s="255" t="str">
        <v/>
      </c>
      <c r="Y414" s="256" t="str">
        <v/>
      </c>
      <c r="Z414" s="257" t="str">
        <v/>
      </c>
      <c r="AA414" s="255" t="str">
        <v/>
      </c>
      <c r="AB414" s="256" t="str">
        <v/>
      </c>
      <c r="AC414" s="257" t="str">
        <v/>
      </c>
      <c r="AD414" s="255" t="str">
        <v/>
      </c>
      <c r="AE414" s="256" t="str">
        <v/>
      </c>
      <c r="AF414" s="257" t="str">
        <v/>
      </c>
      <c r="AG414" s="255" t="str">
        <v/>
      </c>
      <c r="AH414" s="256" t="str">
        <v/>
      </c>
      <c r="AI414" s="257" t="str">
        <v/>
      </c>
      <c r="AJ414" s="255" t="str">
        <v/>
      </c>
      <c r="AK414" s="256" t="str">
        <v/>
      </c>
      <c r="AL414" s="257" t="str">
        <v/>
      </c>
      <c r="AM414" s="255" t="str">
        <v/>
      </c>
      <c r="AN414" s="256" t="str">
        <v/>
      </c>
      <c r="AO414" s="257" t="str">
        <v/>
      </c>
      <c r="AP414" s="255" t="str">
        <v/>
      </c>
      <c r="AQ414" s="256" t="str">
        <v/>
      </c>
      <c r="AR414" s="257" t="str">
        <v/>
      </c>
      <c r="AS414" s="255" t="str">
        <v/>
      </c>
      <c r="AT414" s="256" t="str">
        <v/>
      </c>
      <c r="AU414" s="257" t="str">
        <v/>
      </c>
      <c r="AV414" s="255" t="str">
        <v/>
      </c>
      <c r="AW414" s="256" t="str">
        <v/>
      </c>
      <c r="AX414" s="257" t="str">
        <v/>
      </c>
      <c r="AY414" s="243">
        <v>0</v>
      </c>
      <c r="AZ414" s="244">
        <v>0</v>
      </c>
      <c r="BA414" s="244">
        <v>0</v>
      </c>
      <c r="BB414" s="244">
        <v>0</v>
      </c>
      <c r="BC414" s="244">
        <v>0</v>
      </c>
      <c r="BD414" s="244">
        <v>0</v>
      </c>
      <c r="BE414" s="244">
        <v>0</v>
      </c>
      <c r="BF414" s="244">
        <v>0</v>
      </c>
      <c r="BG414" s="244">
        <v>0</v>
      </c>
      <c r="BH414" s="245">
        <v>0</v>
      </c>
      <c r="BK414">
        <v>356</v>
      </c>
      <c r="BL414" s="281"/>
      <c r="BM414" s="281"/>
      <c r="BN414" s="282"/>
      <c r="BO414" s="282"/>
      <c r="BP414" s="282"/>
      <c r="BQ414" s="283"/>
      <c r="BR414" s="284"/>
      <c r="BS414" s="147"/>
      <c r="BT414" s="285"/>
      <c r="BU414" s="288"/>
      <c r="BV414" s="287"/>
      <c r="BW414" s="288"/>
      <c r="BX414" s="286"/>
      <c r="BY414" s="287"/>
      <c r="BZ414" s="288"/>
      <c r="CA414" s="286"/>
      <c r="CB414" s="286"/>
      <c r="CC414" s="287"/>
      <c r="CD414" s="286"/>
      <c r="CE414" s="286"/>
      <c r="CF414" s="286"/>
      <c r="CG414" s="287"/>
      <c r="CH414" s="288"/>
      <c r="CI414" s="286"/>
      <c r="CJ414" s="286"/>
      <c r="CK414" s="287"/>
      <c r="CL414" s="288"/>
      <c r="CM414" s="286"/>
      <c r="CN414" s="294"/>
      <c r="CO414" s="289"/>
      <c r="CP414" s="290"/>
      <c r="CQ414" s="289"/>
      <c r="CR414" s="290"/>
      <c r="CS414" s="284"/>
      <c r="CT414" s="147"/>
      <c r="CU414" s="291"/>
      <c r="CV414" s="292"/>
    </row>
    <row r="415" spans="2:100">
      <c r="B415">
        <v>357</v>
      </c>
      <c r="C415" s="243" t="str">
        <v/>
      </c>
      <c r="D415" s="592" t="str">
        <v/>
      </c>
      <c r="E415" s="245" t="str">
        <v/>
      </c>
      <c r="F415" s="243" t="str">
        <v/>
      </c>
      <c r="G415" s="245" t="str">
        <v/>
      </c>
      <c r="H415" s="243" t="str">
        <v/>
      </c>
      <c r="I415" s="245" t="str">
        <v/>
      </c>
      <c r="J415" s="242" t="str">
        <v/>
      </c>
      <c r="K415" s="242" t="str">
        <v/>
      </c>
      <c r="L415" s="242" t="str">
        <v/>
      </c>
      <c r="M415" s="243" t="str">
        <v/>
      </c>
      <c r="N415" s="592" t="str">
        <v/>
      </c>
      <c r="O415" s="245" t="str">
        <v/>
      </c>
      <c r="P415" s="245" t="str">
        <v/>
      </c>
      <c r="Q415" s="254" t="str">
        <v/>
      </c>
      <c r="R415" s="255" t="str">
        <v/>
      </c>
      <c r="S415" s="256" t="str">
        <v/>
      </c>
      <c r="T415" s="257" t="str">
        <v/>
      </c>
      <c r="U415" s="255" t="str">
        <v/>
      </c>
      <c r="V415" s="256" t="str">
        <v/>
      </c>
      <c r="W415" s="257" t="str">
        <v/>
      </c>
      <c r="X415" s="255" t="str">
        <v/>
      </c>
      <c r="Y415" s="256" t="str">
        <v/>
      </c>
      <c r="Z415" s="257" t="str">
        <v/>
      </c>
      <c r="AA415" s="255" t="str">
        <v/>
      </c>
      <c r="AB415" s="256" t="str">
        <v/>
      </c>
      <c r="AC415" s="257" t="str">
        <v/>
      </c>
      <c r="AD415" s="255" t="str">
        <v/>
      </c>
      <c r="AE415" s="256" t="str">
        <v/>
      </c>
      <c r="AF415" s="257" t="str">
        <v/>
      </c>
      <c r="AG415" s="255" t="str">
        <v/>
      </c>
      <c r="AH415" s="256" t="str">
        <v/>
      </c>
      <c r="AI415" s="257" t="str">
        <v/>
      </c>
      <c r="AJ415" s="255" t="str">
        <v/>
      </c>
      <c r="AK415" s="256" t="str">
        <v/>
      </c>
      <c r="AL415" s="257" t="str">
        <v/>
      </c>
      <c r="AM415" s="255" t="str">
        <v/>
      </c>
      <c r="AN415" s="256" t="str">
        <v/>
      </c>
      <c r="AO415" s="257" t="str">
        <v/>
      </c>
      <c r="AP415" s="255" t="str">
        <v/>
      </c>
      <c r="AQ415" s="256" t="str">
        <v/>
      </c>
      <c r="AR415" s="257" t="str">
        <v/>
      </c>
      <c r="AS415" s="255" t="str">
        <v/>
      </c>
      <c r="AT415" s="256" t="str">
        <v/>
      </c>
      <c r="AU415" s="257" t="str">
        <v/>
      </c>
      <c r="AV415" s="255" t="str">
        <v/>
      </c>
      <c r="AW415" s="256" t="str">
        <v/>
      </c>
      <c r="AX415" s="257" t="str">
        <v/>
      </c>
      <c r="AY415" s="243">
        <v>0</v>
      </c>
      <c r="AZ415" s="244">
        <v>0</v>
      </c>
      <c r="BA415" s="244">
        <v>0</v>
      </c>
      <c r="BB415" s="244">
        <v>0</v>
      </c>
      <c r="BC415" s="244">
        <v>0</v>
      </c>
      <c r="BD415" s="244">
        <v>0</v>
      </c>
      <c r="BE415" s="244">
        <v>0</v>
      </c>
      <c r="BF415" s="244">
        <v>0</v>
      </c>
      <c r="BG415" s="244">
        <v>0</v>
      </c>
      <c r="BH415" s="245">
        <v>0</v>
      </c>
      <c r="BK415">
        <v>357</v>
      </c>
      <c r="BL415" s="281"/>
      <c r="BM415" s="281"/>
      <c r="BN415" s="282"/>
      <c r="BO415" s="282"/>
      <c r="BP415" s="282"/>
      <c r="BQ415" s="283"/>
      <c r="BR415" s="284"/>
      <c r="BS415" s="147"/>
      <c r="BT415" s="285"/>
      <c r="BU415" s="288"/>
      <c r="BV415" s="287"/>
      <c r="BW415" s="288"/>
      <c r="BX415" s="286"/>
      <c r="BY415" s="287"/>
      <c r="BZ415" s="288"/>
      <c r="CA415" s="286"/>
      <c r="CB415" s="286"/>
      <c r="CC415" s="287"/>
      <c r="CD415" s="286"/>
      <c r="CE415" s="286"/>
      <c r="CF415" s="286"/>
      <c r="CG415" s="287"/>
      <c r="CH415" s="288"/>
      <c r="CI415" s="286"/>
      <c r="CJ415" s="286"/>
      <c r="CK415" s="287"/>
      <c r="CL415" s="288"/>
      <c r="CM415" s="286"/>
      <c r="CN415" s="294"/>
      <c r="CO415" s="289"/>
      <c r="CP415" s="290"/>
      <c r="CQ415" s="289"/>
      <c r="CR415" s="290"/>
      <c r="CS415" s="284"/>
      <c r="CT415" s="147"/>
      <c r="CU415" s="291"/>
      <c r="CV415" s="292"/>
    </row>
    <row r="416" spans="2:100">
      <c r="B416">
        <v>358</v>
      </c>
      <c r="C416" s="243" t="str">
        <v/>
      </c>
      <c r="D416" s="592" t="str">
        <v/>
      </c>
      <c r="E416" s="245" t="str">
        <v/>
      </c>
      <c r="F416" s="243" t="str">
        <v/>
      </c>
      <c r="G416" s="245" t="str">
        <v/>
      </c>
      <c r="H416" s="243" t="str">
        <v/>
      </c>
      <c r="I416" s="245" t="str">
        <v/>
      </c>
      <c r="J416" s="242" t="str">
        <v/>
      </c>
      <c r="K416" s="242" t="str">
        <v/>
      </c>
      <c r="L416" s="242" t="str">
        <v/>
      </c>
      <c r="M416" s="243" t="str">
        <v/>
      </c>
      <c r="N416" s="592" t="str">
        <v/>
      </c>
      <c r="O416" s="245" t="str">
        <v/>
      </c>
      <c r="P416" s="245" t="str">
        <v/>
      </c>
      <c r="Q416" s="254" t="str">
        <v/>
      </c>
      <c r="R416" s="255" t="str">
        <v/>
      </c>
      <c r="S416" s="256" t="str">
        <v/>
      </c>
      <c r="T416" s="257" t="str">
        <v/>
      </c>
      <c r="U416" s="255" t="str">
        <v/>
      </c>
      <c r="V416" s="256" t="str">
        <v/>
      </c>
      <c r="W416" s="257" t="str">
        <v/>
      </c>
      <c r="X416" s="255" t="str">
        <v/>
      </c>
      <c r="Y416" s="256" t="str">
        <v/>
      </c>
      <c r="Z416" s="257" t="str">
        <v/>
      </c>
      <c r="AA416" s="255" t="str">
        <v/>
      </c>
      <c r="AB416" s="256" t="str">
        <v/>
      </c>
      <c r="AC416" s="257" t="str">
        <v/>
      </c>
      <c r="AD416" s="255" t="str">
        <v/>
      </c>
      <c r="AE416" s="256" t="str">
        <v/>
      </c>
      <c r="AF416" s="257" t="str">
        <v/>
      </c>
      <c r="AG416" s="255" t="str">
        <v/>
      </c>
      <c r="AH416" s="256" t="str">
        <v/>
      </c>
      <c r="AI416" s="257" t="str">
        <v/>
      </c>
      <c r="AJ416" s="255" t="str">
        <v/>
      </c>
      <c r="AK416" s="256" t="str">
        <v/>
      </c>
      <c r="AL416" s="257" t="str">
        <v/>
      </c>
      <c r="AM416" s="255" t="str">
        <v/>
      </c>
      <c r="AN416" s="256" t="str">
        <v/>
      </c>
      <c r="AO416" s="257" t="str">
        <v/>
      </c>
      <c r="AP416" s="255" t="str">
        <v/>
      </c>
      <c r="AQ416" s="256" t="str">
        <v/>
      </c>
      <c r="AR416" s="257" t="str">
        <v/>
      </c>
      <c r="AS416" s="255" t="str">
        <v/>
      </c>
      <c r="AT416" s="256" t="str">
        <v/>
      </c>
      <c r="AU416" s="257" t="str">
        <v/>
      </c>
      <c r="AV416" s="255" t="str">
        <v/>
      </c>
      <c r="AW416" s="256" t="str">
        <v/>
      </c>
      <c r="AX416" s="257" t="str">
        <v/>
      </c>
      <c r="AY416" s="243">
        <v>0</v>
      </c>
      <c r="AZ416" s="244">
        <v>0</v>
      </c>
      <c r="BA416" s="244">
        <v>0</v>
      </c>
      <c r="BB416" s="244">
        <v>0</v>
      </c>
      <c r="BC416" s="244">
        <v>0</v>
      </c>
      <c r="BD416" s="244">
        <v>0</v>
      </c>
      <c r="BE416" s="244">
        <v>0</v>
      </c>
      <c r="BF416" s="244">
        <v>0</v>
      </c>
      <c r="BG416" s="244">
        <v>0</v>
      </c>
      <c r="BH416" s="245">
        <v>0</v>
      </c>
      <c r="BK416">
        <v>358</v>
      </c>
      <c r="BL416" s="281"/>
      <c r="BM416" s="281"/>
      <c r="BN416" s="282"/>
      <c r="BO416" s="282"/>
      <c r="BP416" s="282"/>
      <c r="BQ416" s="283"/>
      <c r="BR416" s="284"/>
      <c r="BS416" s="147"/>
      <c r="BT416" s="285"/>
      <c r="BU416" s="288"/>
      <c r="BV416" s="287"/>
      <c r="BW416" s="288"/>
      <c r="BX416" s="286"/>
      <c r="BY416" s="287"/>
      <c r="BZ416" s="288"/>
      <c r="CA416" s="286"/>
      <c r="CB416" s="286"/>
      <c r="CC416" s="287"/>
      <c r="CD416" s="286"/>
      <c r="CE416" s="286"/>
      <c r="CF416" s="286"/>
      <c r="CG416" s="287"/>
      <c r="CH416" s="288"/>
      <c r="CI416" s="286"/>
      <c r="CJ416" s="286"/>
      <c r="CK416" s="287"/>
      <c r="CL416" s="288"/>
      <c r="CM416" s="286"/>
      <c r="CN416" s="294"/>
      <c r="CO416" s="289"/>
      <c r="CP416" s="290"/>
      <c r="CQ416" s="289"/>
      <c r="CR416" s="290"/>
      <c r="CS416" s="284"/>
      <c r="CT416" s="147"/>
      <c r="CU416" s="291"/>
      <c r="CV416" s="292"/>
    </row>
    <row r="417" spans="2:100">
      <c r="B417">
        <v>359</v>
      </c>
      <c r="C417" s="243" t="str">
        <v/>
      </c>
      <c r="D417" s="592" t="str">
        <v/>
      </c>
      <c r="E417" s="245" t="str">
        <v/>
      </c>
      <c r="F417" s="243" t="str">
        <v/>
      </c>
      <c r="G417" s="245" t="str">
        <v/>
      </c>
      <c r="H417" s="243" t="str">
        <v/>
      </c>
      <c r="I417" s="245" t="str">
        <v/>
      </c>
      <c r="J417" s="242" t="str">
        <v/>
      </c>
      <c r="K417" s="242" t="str">
        <v/>
      </c>
      <c r="L417" s="242" t="str">
        <v/>
      </c>
      <c r="M417" s="243" t="str">
        <v/>
      </c>
      <c r="N417" s="592" t="str">
        <v/>
      </c>
      <c r="O417" s="245" t="str">
        <v/>
      </c>
      <c r="P417" s="245" t="str">
        <v/>
      </c>
      <c r="Q417" s="254" t="str">
        <v/>
      </c>
      <c r="R417" s="255" t="str">
        <v/>
      </c>
      <c r="S417" s="256" t="str">
        <v/>
      </c>
      <c r="T417" s="257" t="str">
        <v/>
      </c>
      <c r="U417" s="255" t="str">
        <v/>
      </c>
      <c r="V417" s="256" t="str">
        <v/>
      </c>
      <c r="W417" s="257" t="str">
        <v/>
      </c>
      <c r="X417" s="255" t="str">
        <v/>
      </c>
      <c r="Y417" s="256" t="str">
        <v/>
      </c>
      <c r="Z417" s="257" t="str">
        <v/>
      </c>
      <c r="AA417" s="255" t="str">
        <v/>
      </c>
      <c r="AB417" s="256" t="str">
        <v/>
      </c>
      <c r="AC417" s="257" t="str">
        <v/>
      </c>
      <c r="AD417" s="255" t="str">
        <v/>
      </c>
      <c r="AE417" s="256" t="str">
        <v/>
      </c>
      <c r="AF417" s="257" t="str">
        <v/>
      </c>
      <c r="AG417" s="255" t="str">
        <v/>
      </c>
      <c r="AH417" s="256" t="str">
        <v/>
      </c>
      <c r="AI417" s="257" t="str">
        <v/>
      </c>
      <c r="AJ417" s="255" t="str">
        <v/>
      </c>
      <c r="AK417" s="256" t="str">
        <v/>
      </c>
      <c r="AL417" s="257" t="str">
        <v/>
      </c>
      <c r="AM417" s="255" t="str">
        <v/>
      </c>
      <c r="AN417" s="256" t="str">
        <v/>
      </c>
      <c r="AO417" s="257" t="str">
        <v/>
      </c>
      <c r="AP417" s="255" t="str">
        <v/>
      </c>
      <c r="AQ417" s="256" t="str">
        <v/>
      </c>
      <c r="AR417" s="257" t="str">
        <v/>
      </c>
      <c r="AS417" s="255" t="str">
        <v/>
      </c>
      <c r="AT417" s="256" t="str">
        <v/>
      </c>
      <c r="AU417" s="257" t="str">
        <v/>
      </c>
      <c r="AV417" s="255" t="str">
        <v/>
      </c>
      <c r="AW417" s="256" t="str">
        <v/>
      </c>
      <c r="AX417" s="257" t="str">
        <v/>
      </c>
      <c r="AY417" s="243">
        <v>0</v>
      </c>
      <c r="AZ417" s="244">
        <v>0</v>
      </c>
      <c r="BA417" s="244">
        <v>0</v>
      </c>
      <c r="BB417" s="244">
        <v>0</v>
      </c>
      <c r="BC417" s="244">
        <v>0</v>
      </c>
      <c r="BD417" s="244">
        <v>0</v>
      </c>
      <c r="BE417" s="244">
        <v>0</v>
      </c>
      <c r="BF417" s="244">
        <v>0</v>
      </c>
      <c r="BG417" s="244">
        <v>0</v>
      </c>
      <c r="BH417" s="245">
        <v>0</v>
      </c>
      <c r="BK417">
        <v>359</v>
      </c>
      <c r="BL417" s="281"/>
      <c r="BM417" s="281"/>
      <c r="BN417" s="282"/>
      <c r="BO417" s="282"/>
      <c r="BP417" s="282"/>
      <c r="BQ417" s="283"/>
      <c r="BR417" s="284"/>
      <c r="BS417" s="147"/>
      <c r="BT417" s="285"/>
      <c r="BU417" s="288"/>
      <c r="BV417" s="287"/>
      <c r="BW417" s="288"/>
      <c r="BX417" s="286"/>
      <c r="BY417" s="287"/>
      <c r="BZ417" s="288"/>
      <c r="CA417" s="286"/>
      <c r="CB417" s="286"/>
      <c r="CC417" s="287"/>
      <c r="CD417" s="286"/>
      <c r="CE417" s="286"/>
      <c r="CF417" s="286"/>
      <c r="CG417" s="287"/>
      <c r="CH417" s="288"/>
      <c r="CI417" s="286"/>
      <c r="CJ417" s="286"/>
      <c r="CK417" s="287"/>
      <c r="CL417" s="288"/>
      <c r="CM417" s="286"/>
      <c r="CN417" s="294"/>
      <c r="CO417" s="289"/>
      <c r="CP417" s="290"/>
      <c r="CQ417" s="289"/>
      <c r="CR417" s="290"/>
      <c r="CS417" s="284"/>
      <c r="CT417" s="147"/>
      <c r="CU417" s="291"/>
      <c r="CV417" s="292"/>
    </row>
    <row r="418" spans="2:100">
      <c r="B418">
        <v>360</v>
      </c>
      <c r="C418" s="243" t="str">
        <v/>
      </c>
      <c r="D418" s="592" t="str">
        <v/>
      </c>
      <c r="E418" s="245" t="str">
        <v/>
      </c>
      <c r="F418" s="243" t="str">
        <v/>
      </c>
      <c r="G418" s="245" t="str">
        <v/>
      </c>
      <c r="H418" s="243" t="str">
        <v/>
      </c>
      <c r="I418" s="245" t="str">
        <v/>
      </c>
      <c r="J418" s="242" t="str">
        <v/>
      </c>
      <c r="K418" s="242" t="str">
        <v/>
      </c>
      <c r="L418" s="242" t="str">
        <v/>
      </c>
      <c r="M418" s="243" t="str">
        <v/>
      </c>
      <c r="N418" s="592" t="str">
        <v/>
      </c>
      <c r="O418" s="245" t="str">
        <v/>
      </c>
      <c r="P418" s="245" t="str">
        <v/>
      </c>
      <c r="Q418" s="254" t="str">
        <v/>
      </c>
      <c r="R418" s="255" t="str">
        <v/>
      </c>
      <c r="S418" s="256" t="str">
        <v/>
      </c>
      <c r="T418" s="257" t="str">
        <v/>
      </c>
      <c r="U418" s="255" t="str">
        <v/>
      </c>
      <c r="V418" s="256" t="str">
        <v/>
      </c>
      <c r="W418" s="257" t="str">
        <v/>
      </c>
      <c r="X418" s="255" t="str">
        <v/>
      </c>
      <c r="Y418" s="256" t="str">
        <v/>
      </c>
      <c r="Z418" s="257" t="str">
        <v/>
      </c>
      <c r="AA418" s="255" t="str">
        <v/>
      </c>
      <c r="AB418" s="256" t="str">
        <v/>
      </c>
      <c r="AC418" s="257" t="str">
        <v/>
      </c>
      <c r="AD418" s="255" t="str">
        <v/>
      </c>
      <c r="AE418" s="256" t="str">
        <v/>
      </c>
      <c r="AF418" s="257" t="str">
        <v/>
      </c>
      <c r="AG418" s="255" t="str">
        <v/>
      </c>
      <c r="AH418" s="256" t="str">
        <v/>
      </c>
      <c r="AI418" s="257" t="str">
        <v/>
      </c>
      <c r="AJ418" s="255" t="str">
        <v/>
      </c>
      <c r="AK418" s="256" t="str">
        <v/>
      </c>
      <c r="AL418" s="257" t="str">
        <v/>
      </c>
      <c r="AM418" s="255" t="str">
        <v/>
      </c>
      <c r="AN418" s="256" t="str">
        <v/>
      </c>
      <c r="AO418" s="257" t="str">
        <v/>
      </c>
      <c r="AP418" s="255" t="str">
        <v/>
      </c>
      <c r="AQ418" s="256" t="str">
        <v/>
      </c>
      <c r="AR418" s="257" t="str">
        <v/>
      </c>
      <c r="AS418" s="255" t="str">
        <v/>
      </c>
      <c r="AT418" s="256" t="str">
        <v/>
      </c>
      <c r="AU418" s="257" t="str">
        <v/>
      </c>
      <c r="AV418" s="255" t="str">
        <v/>
      </c>
      <c r="AW418" s="256" t="str">
        <v/>
      </c>
      <c r="AX418" s="257" t="str">
        <v/>
      </c>
      <c r="AY418" s="243">
        <v>0</v>
      </c>
      <c r="AZ418" s="244">
        <v>0</v>
      </c>
      <c r="BA418" s="244">
        <v>0</v>
      </c>
      <c r="BB418" s="244">
        <v>0</v>
      </c>
      <c r="BC418" s="244">
        <v>0</v>
      </c>
      <c r="BD418" s="244">
        <v>0</v>
      </c>
      <c r="BE418" s="244">
        <v>0</v>
      </c>
      <c r="BF418" s="244">
        <v>0</v>
      </c>
      <c r="BG418" s="244">
        <v>0</v>
      </c>
      <c r="BH418" s="245">
        <v>0</v>
      </c>
      <c r="BK418">
        <v>360</v>
      </c>
      <c r="BL418" s="281"/>
      <c r="BM418" s="281"/>
      <c r="BN418" s="282"/>
      <c r="BO418" s="282"/>
      <c r="BP418" s="282"/>
      <c r="BQ418" s="283"/>
      <c r="BR418" s="284"/>
      <c r="BS418" s="147"/>
      <c r="BT418" s="285"/>
      <c r="BU418" s="288"/>
      <c r="BV418" s="287"/>
      <c r="BW418" s="288"/>
      <c r="BX418" s="286"/>
      <c r="BY418" s="287"/>
      <c r="BZ418" s="288"/>
      <c r="CA418" s="286"/>
      <c r="CB418" s="286"/>
      <c r="CC418" s="287"/>
      <c r="CD418" s="286"/>
      <c r="CE418" s="286"/>
      <c r="CF418" s="286"/>
      <c r="CG418" s="287"/>
      <c r="CH418" s="288"/>
      <c r="CI418" s="286"/>
      <c r="CJ418" s="286"/>
      <c r="CK418" s="287"/>
      <c r="CL418" s="288"/>
      <c r="CM418" s="286"/>
      <c r="CN418" s="294"/>
      <c r="CO418" s="289"/>
      <c r="CP418" s="290"/>
      <c r="CQ418" s="289"/>
      <c r="CR418" s="290"/>
      <c r="CS418" s="284"/>
      <c r="CT418" s="147"/>
      <c r="CU418" s="291"/>
      <c r="CV418" s="292"/>
    </row>
    <row r="419" spans="2:100">
      <c r="B419">
        <v>361</v>
      </c>
      <c r="C419" s="243" t="str">
        <v/>
      </c>
      <c r="D419" s="592" t="str">
        <v/>
      </c>
      <c r="E419" s="245" t="str">
        <v/>
      </c>
      <c r="F419" s="243" t="str">
        <v/>
      </c>
      <c r="G419" s="245" t="str">
        <v/>
      </c>
      <c r="H419" s="243" t="str">
        <v/>
      </c>
      <c r="I419" s="245" t="str">
        <v/>
      </c>
      <c r="J419" s="242" t="str">
        <v/>
      </c>
      <c r="K419" s="242" t="str">
        <v/>
      </c>
      <c r="L419" s="242" t="str">
        <v/>
      </c>
      <c r="M419" s="243" t="str">
        <v/>
      </c>
      <c r="N419" s="592" t="str">
        <v/>
      </c>
      <c r="O419" s="245" t="str">
        <v/>
      </c>
      <c r="P419" s="245" t="str">
        <v/>
      </c>
      <c r="Q419" s="254" t="str">
        <v/>
      </c>
      <c r="R419" s="255" t="str">
        <v/>
      </c>
      <c r="S419" s="256" t="str">
        <v/>
      </c>
      <c r="T419" s="257" t="str">
        <v/>
      </c>
      <c r="U419" s="255" t="str">
        <v/>
      </c>
      <c r="V419" s="256" t="str">
        <v/>
      </c>
      <c r="W419" s="257" t="str">
        <v/>
      </c>
      <c r="X419" s="255" t="str">
        <v/>
      </c>
      <c r="Y419" s="256" t="str">
        <v/>
      </c>
      <c r="Z419" s="257" t="str">
        <v/>
      </c>
      <c r="AA419" s="255" t="str">
        <v/>
      </c>
      <c r="AB419" s="256" t="str">
        <v/>
      </c>
      <c r="AC419" s="257" t="str">
        <v/>
      </c>
      <c r="AD419" s="255" t="str">
        <v/>
      </c>
      <c r="AE419" s="256" t="str">
        <v/>
      </c>
      <c r="AF419" s="257" t="str">
        <v/>
      </c>
      <c r="AG419" s="255" t="str">
        <v/>
      </c>
      <c r="AH419" s="256" t="str">
        <v/>
      </c>
      <c r="AI419" s="257" t="str">
        <v/>
      </c>
      <c r="AJ419" s="255" t="str">
        <v/>
      </c>
      <c r="AK419" s="256" t="str">
        <v/>
      </c>
      <c r="AL419" s="257" t="str">
        <v/>
      </c>
      <c r="AM419" s="255" t="str">
        <v/>
      </c>
      <c r="AN419" s="256" t="str">
        <v/>
      </c>
      <c r="AO419" s="257" t="str">
        <v/>
      </c>
      <c r="AP419" s="255" t="str">
        <v/>
      </c>
      <c r="AQ419" s="256" t="str">
        <v/>
      </c>
      <c r="AR419" s="257" t="str">
        <v/>
      </c>
      <c r="AS419" s="255" t="str">
        <v/>
      </c>
      <c r="AT419" s="256" t="str">
        <v/>
      </c>
      <c r="AU419" s="257" t="str">
        <v/>
      </c>
      <c r="AV419" s="255" t="str">
        <v/>
      </c>
      <c r="AW419" s="256" t="str">
        <v/>
      </c>
      <c r="AX419" s="257" t="str">
        <v/>
      </c>
      <c r="AY419" s="243">
        <v>0</v>
      </c>
      <c r="AZ419" s="244">
        <v>0</v>
      </c>
      <c r="BA419" s="244">
        <v>0</v>
      </c>
      <c r="BB419" s="244">
        <v>0</v>
      </c>
      <c r="BC419" s="244">
        <v>0</v>
      </c>
      <c r="BD419" s="244">
        <v>0</v>
      </c>
      <c r="BE419" s="244">
        <v>0</v>
      </c>
      <c r="BF419" s="244">
        <v>0</v>
      </c>
      <c r="BG419" s="244">
        <v>0</v>
      </c>
      <c r="BH419" s="245">
        <v>0</v>
      </c>
      <c r="BK419">
        <v>361</v>
      </c>
      <c r="BL419" s="281"/>
      <c r="BM419" s="281"/>
      <c r="BN419" s="282"/>
      <c r="BO419" s="282"/>
      <c r="BP419" s="282"/>
      <c r="BQ419" s="283"/>
      <c r="BR419" s="284"/>
      <c r="BS419" s="147"/>
      <c r="BT419" s="285"/>
      <c r="BU419" s="288"/>
      <c r="BV419" s="287"/>
      <c r="BW419" s="288"/>
      <c r="BX419" s="286"/>
      <c r="BY419" s="287"/>
      <c r="BZ419" s="288"/>
      <c r="CA419" s="286"/>
      <c r="CB419" s="286"/>
      <c r="CC419" s="287"/>
      <c r="CD419" s="286"/>
      <c r="CE419" s="286"/>
      <c r="CF419" s="286"/>
      <c r="CG419" s="287"/>
      <c r="CH419" s="288"/>
      <c r="CI419" s="286"/>
      <c r="CJ419" s="286"/>
      <c r="CK419" s="287"/>
      <c r="CL419" s="288"/>
      <c r="CM419" s="286"/>
      <c r="CN419" s="294"/>
      <c r="CO419" s="289"/>
      <c r="CP419" s="290"/>
      <c r="CQ419" s="289"/>
      <c r="CR419" s="290"/>
      <c r="CS419" s="284"/>
      <c r="CT419" s="147"/>
      <c r="CU419" s="291"/>
      <c r="CV419" s="292"/>
    </row>
    <row r="420" spans="2:100">
      <c r="B420">
        <v>362</v>
      </c>
      <c r="C420" s="243" t="str">
        <v/>
      </c>
      <c r="D420" s="592" t="str">
        <v/>
      </c>
      <c r="E420" s="245" t="str">
        <v/>
      </c>
      <c r="F420" s="243" t="str">
        <v/>
      </c>
      <c r="G420" s="245" t="str">
        <v/>
      </c>
      <c r="H420" s="243" t="str">
        <v/>
      </c>
      <c r="I420" s="245" t="str">
        <v/>
      </c>
      <c r="J420" s="242" t="str">
        <v/>
      </c>
      <c r="K420" s="242" t="str">
        <v/>
      </c>
      <c r="L420" s="242" t="str">
        <v/>
      </c>
      <c r="M420" s="243" t="str">
        <v/>
      </c>
      <c r="N420" s="592" t="str">
        <v/>
      </c>
      <c r="O420" s="245" t="str">
        <v/>
      </c>
      <c r="P420" s="245" t="str">
        <v/>
      </c>
      <c r="Q420" s="254" t="str">
        <v/>
      </c>
      <c r="R420" s="255" t="str">
        <v/>
      </c>
      <c r="S420" s="256" t="str">
        <v/>
      </c>
      <c r="T420" s="257" t="str">
        <v/>
      </c>
      <c r="U420" s="255" t="str">
        <v/>
      </c>
      <c r="V420" s="256" t="str">
        <v/>
      </c>
      <c r="W420" s="257" t="str">
        <v/>
      </c>
      <c r="X420" s="255" t="str">
        <v/>
      </c>
      <c r="Y420" s="256" t="str">
        <v/>
      </c>
      <c r="Z420" s="257" t="str">
        <v/>
      </c>
      <c r="AA420" s="255" t="str">
        <v/>
      </c>
      <c r="AB420" s="256" t="str">
        <v/>
      </c>
      <c r="AC420" s="257" t="str">
        <v/>
      </c>
      <c r="AD420" s="255" t="str">
        <v/>
      </c>
      <c r="AE420" s="256" t="str">
        <v/>
      </c>
      <c r="AF420" s="257" t="str">
        <v/>
      </c>
      <c r="AG420" s="255" t="str">
        <v/>
      </c>
      <c r="AH420" s="256" t="str">
        <v/>
      </c>
      <c r="AI420" s="257" t="str">
        <v/>
      </c>
      <c r="AJ420" s="255" t="str">
        <v/>
      </c>
      <c r="AK420" s="256" t="str">
        <v/>
      </c>
      <c r="AL420" s="257" t="str">
        <v/>
      </c>
      <c r="AM420" s="255" t="str">
        <v/>
      </c>
      <c r="AN420" s="256" t="str">
        <v/>
      </c>
      <c r="AO420" s="257" t="str">
        <v/>
      </c>
      <c r="AP420" s="255" t="str">
        <v/>
      </c>
      <c r="AQ420" s="256" t="str">
        <v/>
      </c>
      <c r="AR420" s="257" t="str">
        <v/>
      </c>
      <c r="AS420" s="255" t="str">
        <v/>
      </c>
      <c r="AT420" s="256" t="str">
        <v/>
      </c>
      <c r="AU420" s="257" t="str">
        <v/>
      </c>
      <c r="AV420" s="255" t="str">
        <v/>
      </c>
      <c r="AW420" s="256" t="str">
        <v/>
      </c>
      <c r="AX420" s="257" t="str">
        <v/>
      </c>
      <c r="AY420" s="243">
        <v>0</v>
      </c>
      <c r="AZ420" s="244">
        <v>0</v>
      </c>
      <c r="BA420" s="244">
        <v>0</v>
      </c>
      <c r="BB420" s="244">
        <v>0</v>
      </c>
      <c r="BC420" s="244">
        <v>0</v>
      </c>
      <c r="BD420" s="244">
        <v>0</v>
      </c>
      <c r="BE420" s="244">
        <v>0</v>
      </c>
      <c r="BF420" s="244">
        <v>0</v>
      </c>
      <c r="BG420" s="244">
        <v>0</v>
      </c>
      <c r="BH420" s="245">
        <v>0</v>
      </c>
      <c r="BK420">
        <v>362</v>
      </c>
      <c r="BL420" s="281"/>
      <c r="BM420" s="281"/>
      <c r="BN420" s="282"/>
      <c r="BO420" s="282"/>
      <c r="BP420" s="282"/>
      <c r="BQ420" s="283"/>
      <c r="BR420" s="284"/>
      <c r="BS420" s="147"/>
      <c r="BT420" s="285"/>
      <c r="BU420" s="288"/>
      <c r="BV420" s="287"/>
      <c r="BW420" s="288"/>
      <c r="BX420" s="286"/>
      <c r="BY420" s="287"/>
      <c r="BZ420" s="288"/>
      <c r="CA420" s="286"/>
      <c r="CB420" s="286"/>
      <c r="CC420" s="287"/>
      <c r="CD420" s="286"/>
      <c r="CE420" s="286"/>
      <c r="CF420" s="286"/>
      <c r="CG420" s="287"/>
      <c r="CH420" s="288"/>
      <c r="CI420" s="286"/>
      <c r="CJ420" s="286"/>
      <c r="CK420" s="287"/>
      <c r="CL420" s="288"/>
      <c r="CM420" s="286"/>
      <c r="CN420" s="294"/>
      <c r="CO420" s="289"/>
      <c r="CP420" s="290"/>
      <c r="CQ420" s="289"/>
      <c r="CR420" s="290"/>
      <c r="CS420" s="284"/>
      <c r="CT420" s="147"/>
      <c r="CU420" s="291"/>
      <c r="CV420" s="292"/>
    </row>
    <row r="421" spans="2:100">
      <c r="B421">
        <v>363</v>
      </c>
      <c r="C421" s="243" t="str">
        <v/>
      </c>
      <c r="D421" s="592" t="str">
        <v/>
      </c>
      <c r="E421" s="245" t="str">
        <v/>
      </c>
      <c r="F421" s="243" t="str">
        <v/>
      </c>
      <c r="G421" s="245" t="str">
        <v/>
      </c>
      <c r="H421" s="243" t="str">
        <v/>
      </c>
      <c r="I421" s="245" t="str">
        <v/>
      </c>
      <c r="J421" s="242" t="str">
        <v/>
      </c>
      <c r="K421" s="242" t="str">
        <v/>
      </c>
      <c r="L421" s="242" t="str">
        <v/>
      </c>
      <c r="M421" s="243" t="str">
        <v/>
      </c>
      <c r="N421" s="592" t="str">
        <v/>
      </c>
      <c r="O421" s="245" t="str">
        <v/>
      </c>
      <c r="P421" s="245" t="str">
        <v/>
      </c>
      <c r="Q421" s="254" t="str">
        <v/>
      </c>
      <c r="R421" s="255" t="str">
        <v/>
      </c>
      <c r="S421" s="256" t="str">
        <v/>
      </c>
      <c r="T421" s="257" t="str">
        <v/>
      </c>
      <c r="U421" s="255" t="str">
        <v/>
      </c>
      <c r="V421" s="256" t="str">
        <v/>
      </c>
      <c r="W421" s="257" t="str">
        <v/>
      </c>
      <c r="X421" s="255" t="str">
        <v/>
      </c>
      <c r="Y421" s="256" t="str">
        <v/>
      </c>
      <c r="Z421" s="257" t="str">
        <v/>
      </c>
      <c r="AA421" s="255" t="str">
        <v/>
      </c>
      <c r="AB421" s="256" t="str">
        <v/>
      </c>
      <c r="AC421" s="257" t="str">
        <v/>
      </c>
      <c r="AD421" s="255" t="str">
        <v/>
      </c>
      <c r="AE421" s="256" t="str">
        <v/>
      </c>
      <c r="AF421" s="257" t="str">
        <v/>
      </c>
      <c r="AG421" s="255" t="str">
        <v/>
      </c>
      <c r="AH421" s="256" t="str">
        <v/>
      </c>
      <c r="AI421" s="257" t="str">
        <v/>
      </c>
      <c r="AJ421" s="255" t="str">
        <v/>
      </c>
      <c r="AK421" s="256" t="str">
        <v/>
      </c>
      <c r="AL421" s="257" t="str">
        <v/>
      </c>
      <c r="AM421" s="255" t="str">
        <v/>
      </c>
      <c r="AN421" s="256" t="str">
        <v/>
      </c>
      <c r="AO421" s="257" t="str">
        <v/>
      </c>
      <c r="AP421" s="255" t="str">
        <v/>
      </c>
      <c r="AQ421" s="256" t="str">
        <v/>
      </c>
      <c r="AR421" s="257" t="str">
        <v/>
      </c>
      <c r="AS421" s="255" t="str">
        <v/>
      </c>
      <c r="AT421" s="256" t="str">
        <v/>
      </c>
      <c r="AU421" s="257" t="str">
        <v/>
      </c>
      <c r="AV421" s="255" t="str">
        <v/>
      </c>
      <c r="AW421" s="256" t="str">
        <v/>
      </c>
      <c r="AX421" s="257" t="str">
        <v/>
      </c>
      <c r="AY421" s="243">
        <v>0</v>
      </c>
      <c r="AZ421" s="244">
        <v>0</v>
      </c>
      <c r="BA421" s="244">
        <v>0</v>
      </c>
      <c r="BB421" s="244">
        <v>0</v>
      </c>
      <c r="BC421" s="244">
        <v>0</v>
      </c>
      <c r="BD421" s="244">
        <v>0</v>
      </c>
      <c r="BE421" s="244">
        <v>0</v>
      </c>
      <c r="BF421" s="244">
        <v>0</v>
      </c>
      <c r="BG421" s="244">
        <v>0</v>
      </c>
      <c r="BH421" s="245">
        <v>0</v>
      </c>
      <c r="BK421">
        <v>363</v>
      </c>
      <c r="BL421" s="281"/>
      <c r="BM421" s="281"/>
      <c r="BN421" s="282"/>
      <c r="BO421" s="282"/>
      <c r="BP421" s="282"/>
      <c r="BQ421" s="283"/>
      <c r="BR421" s="284"/>
      <c r="BS421" s="147"/>
      <c r="BT421" s="285"/>
      <c r="BU421" s="288"/>
      <c r="BV421" s="287"/>
      <c r="BW421" s="288"/>
      <c r="BX421" s="286"/>
      <c r="BY421" s="287"/>
      <c r="BZ421" s="288"/>
      <c r="CA421" s="286"/>
      <c r="CB421" s="286"/>
      <c r="CC421" s="287"/>
      <c r="CD421" s="286"/>
      <c r="CE421" s="286"/>
      <c r="CF421" s="286"/>
      <c r="CG421" s="287"/>
      <c r="CH421" s="288"/>
      <c r="CI421" s="286"/>
      <c r="CJ421" s="286"/>
      <c r="CK421" s="287"/>
      <c r="CL421" s="288"/>
      <c r="CM421" s="286"/>
      <c r="CN421" s="294"/>
      <c r="CO421" s="289"/>
      <c r="CP421" s="290"/>
      <c r="CQ421" s="289"/>
      <c r="CR421" s="290"/>
      <c r="CS421" s="284"/>
      <c r="CT421" s="147"/>
      <c r="CU421" s="291"/>
      <c r="CV421" s="292"/>
    </row>
    <row r="422" spans="2:100">
      <c r="B422">
        <v>364</v>
      </c>
      <c r="C422" s="243" t="str">
        <v/>
      </c>
      <c r="D422" s="592" t="str">
        <v/>
      </c>
      <c r="E422" s="245" t="str">
        <v/>
      </c>
      <c r="F422" s="243" t="str">
        <v/>
      </c>
      <c r="G422" s="245" t="str">
        <v/>
      </c>
      <c r="H422" s="243" t="str">
        <v/>
      </c>
      <c r="I422" s="245" t="str">
        <v/>
      </c>
      <c r="J422" s="242" t="str">
        <v/>
      </c>
      <c r="K422" s="242" t="str">
        <v/>
      </c>
      <c r="L422" s="242" t="str">
        <v/>
      </c>
      <c r="M422" s="243" t="str">
        <v/>
      </c>
      <c r="N422" s="592" t="str">
        <v/>
      </c>
      <c r="O422" s="245" t="str">
        <v/>
      </c>
      <c r="P422" s="245" t="str">
        <v/>
      </c>
      <c r="Q422" s="254" t="str">
        <v/>
      </c>
      <c r="R422" s="255" t="str">
        <v/>
      </c>
      <c r="S422" s="256" t="str">
        <v/>
      </c>
      <c r="T422" s="257" t="str">
        <v/>
      </c>
      <c r="U422" s="255" t="str">
        <v/>
      </c>
      <c r="V422" s="256" t="str">
        <v/>
      </c>
      <c r="W422" s="257" t="str">
        <v/>
      </c>
      <c r="X422" s="255" t="str">
        <v/>
      </c>
      <c r="Y422" s="256" t="str">
        <v/>
      </c>
      <c r="Z422" s="257" t="str">
        <v/>
      </c>
      <c r="AA422" s="255" t="str">
        <v/>
      </c>
      <c r="AB422" s="256" t="str">
        <v/>
      </c>
      <c r="AC422" s="257" t="str">
        <v/>
      </c>
      <c r="AD422" s="255" t="str">
        <v/>
      </c>
      <c r="AE422" s="256" t="str">
        <v/>
      </c>
      <c r="AF422" s="257" t="str">
        <v/>
      </c>
      <c r="AG422" s="255" t="str">
        <v/>
      </c>
      <c r="AH422" s="256" t="str">
        <v/>
      </c>
      <c r="AI422" s="257" t="str">
        <v/>
      </c>
      <c r="AJ422" s="255" t="str">
        <v/>
      </c>
      <c r="AK422" s="256" t="str">
        <v/>
      </c>
      <c r="AL422" s="257" t="str">
        <v/>
      </c>
      <c r="AM422" s="255" t="str">
        <v/>
      </c>
      <c r="AN422" s="256" t="str">
        <v/>
      </c>
      <c r="AO422" s="257" t="str">
        <v/>
      </c>
      <c r="AP422" s="255" t="str">
        <v/>
      </c>
      <c r="AQ422" s="256" t="str">
        <v/>
      </c>
      <c r="AR422" s="257" t="str">
        <v/>
      </c>
      <c r="AS422" s="255" t="str">
        <v/>
      </c>
      <c r="AT422" s="256" t="str">
        <v/>
      </c>
      <c r="AU422" s="257" t="str">
        <v/>
      </c>
      <c r="AV422" s="255" t="str">
        <v/>
      </c>
      <c r="AW422" s="256" t="str">
        <v/>
      </c>
      <c r="AX422" s="257" t="str">
        <v/>
      </c>
      <c r="AY422" s="243">
        <v>0</v>
      </c>
      <c r="AZ422" s="244">
        <v>0</v>
      </c>
      <c r="BA422" s="244">
        <v>0</v>
      </c>
      <c r="BB422" s="244">
        <v>0</v>
      </c>
      <c r="BC422" s="244">
        <v>0</v>
      </c>
      <c r="BD422" s="244">
        <v>0</v>
      </c>
      <c r="BE422" s="244">
        <v>0</v>
      </c>
      <c r="BF422" s="244">
        <v>0</v>
      </c>
      <c r="BG422" s="244">
        <v>0</v>
      </c>
      <c r="BH422" s="245">
        <v>0</v>
      </c>
      <c r="BK422">
        <v>364</v>
      </c>
      <c r="BL422" s="281"/>
      <c r="BM422" s="281"/>
      <c r="BN422" s="282"/>
      <c r="BO422" s="282"/>
      <c r="BP422" s="282"/>
      <c r="BQ422" s="283"/>
      <c r="BR422" s="284"/>
      <c r="BS422" s="147"/>
      <c r="BT422" s="285"/>
      <c r="BU422" s="288"/>
      <c r="BV422" s="287"/>
      <c r="BW422" s="288"/>
      <c r="BX422" s="286"/>
      <c r="BY422" s="287"/>
      <c r="BZ422" s="288"/>
      <c r="CA422" s="286"/>
      <c r="CB422" s="286"/>
      <c r="CC422" s="287"/>
      <c r="CD422" s="286"/>
      <c r="CE422" s="286"/>
      <c r="CF422" s="286"/>
      <c r="CG422" s="287"/>
      <c r="CH422" s="288"/>
      <c r="CI422" s="286"/>
      <c r="CJ422" s="286"/>
      <c r="CK422" s="287"/>
      <c r="CL422" s="288"/>
      <c r="CM422" s="286"/>
      <c r="CN422" s="294"/>
      <c r="CO422" s="289"/>
      <c r="CP422" s="290"/>
      <c r="CQ422" s="289"/>
      <c r="CR422" s="290"/>
      <c r="CS422" s="284"/>
      <c r="CT422" s="147"/>
      <c r="CU422" s="291"/>
      <c r="CV422" s="292"/>
    </row>
    <row r="423" spans="2:100">
      <c r="B423">
        <v>365</v>
      </c>
      <c r="C423" s="243" t="str">
        <v/>
      </c>
      <c r="D423" s="592" t="str">
        <v/>
      </c>
      <c r="E423" s="245" t="str">
        <v/>
      </c>
      <c r="F423" s="243" t="str">
        <v/>
      </c>
      <c r="G423" s="245" t="str">
        <v/>
      </c>
      <c r="H423" s="243" t="str">
        <v/>
      </c>
      <c r="I423" s="245" t="str">
        <v/>
      </c>
      <c r="J423" s="242" t="str">
        <v/>
      </c>
      <c r="K423" s="242" t="str">
        <v/>
      </c>
      <c r="L423" s="242" t="str">
        <v/>
      </c>
      <c r="M423" s="243" t="str">
        <v/>
      </c>
      <c r="N423" s="592" t="str">
        <v/>
      </c>
      <c r="O423" s="245" t="str">
        <v/>
      </c>
      <c r="P423" s="245" t="str">
        <v/>
      </c>
      <c r="Q423" s="254" t="str">
        <v/>
      </c>
      <c r="R423" s="255" t="str">
        <v/>
      </c>
      <c r="S423" s="256" t="str">
        <v/>
      </c>
      <c r="T423" s="257" t="str">
        <v/>
      </c>
      <c r="U423" s="255" t="str">
        <v/>
      </c>
      <c r="V423" s="256" t="str">
        <v/>
      </c>
      <c r="W423" s="257" t="str">
        <v/>
      </c>
      <c r="X423" s="255" t="str">
        <v/>
      </c>
      <c r="Y423" s="256" t="str">
        <v/>
      </c>
      <c r="Z423" s="257" t="str">
        <v/>
      </c>
      <c r="AA423" s="255" t="str">
        <v/>
      </c>
      <c r="AB423" s="256" t="str">
        <v/>
      </c>
      <c r="AC423" s="257" t="str">
        <v/>
      </c>
      <c r="AD423" s="255" t="str">
        <v/>
      </c>
      <c r="AE423" s="256" t="str">
        <v/>
      </c>
      <c r="AF423" s="257" t="str">
        <v/>
      </c>
      <c r="AG423" s="255" t="str">
        <v/>
      </c>
      <c r="AH423" s="256" t="str">
        <v/>
      </c>
      <c r="AI423" s="257" t="str">
        <v/>
      </c>
      <c r="AJ423" s="255" t="str">
        <v/>
      </c>
      <c r="AK423" s="256" t="str">
        <v/>
      </c>
      <c r="AL423" s="257" t="str">
        <v/>
      </c>
      <c r="AM423" s="255" t="str">
        <v/>
      </c>
      <c r="AN423" s="256" t="str">
        <v/>
      </c>
      <c r="AO423" s="257" t="str">
        <v/>
      </c>
      <c r="AP423" s="255" t="str">
        <v/>
      </c>
      <c r="AQ423" s="256" t="str">
        <v/>
      </c>
      <c r="AR423" s="257" t="str">
        <v/>
      </c>
      <c r="AS423" s="255" t="str">
        <v/>
      </c>
      <c r="AT423" s="256" t="str">
        <v/>
      </c>
      <c r="AU423" s="257" t="str">
        <v/>
      </c>
      <c r="AV423" s="255" t="str">
        <v/>
      </c>
      <c r="AW423" s="256" t="str">
        <v/>
      </c>
      <c r="AX423" s="257" t="str">
        <v/>
      </c>
      <c r="AY423" s="243">
        <v>0</v>
      </c>
      <c r="AZ423" s="244">
        <v>0</v>
      </c>
      <c r="BA423" s="244">
        <v>0</v>
      </c>
      <c r="BB423" s="244">
        <v>0</v>
      </c>
      <c r="BC423" s="244">
        <v>0</v>
      </c>
      <c r="BD423" s="244">
        <v>0</v>
      </c>
      <c r="BE423" s="244">
        <v>0</v>
      </c>
      <c r="BF423" s="244">
        <v>0</v>
      </c>
      <c r="BG423" s="244">
        <v>0</v>
      </c>
      <c r="BH423" s="245">
        <v>0</v>
      </c>
      <c r="BK423">
        <v>365</v>
      </c>
      <c r="BL423" s="281"/>
      <c r="BM423" s="281"/>
      <c r="BN423" s="282"/>
      <c r="BO423" s="282"/>
      <c r="BP423" s="282"/>
      <c r="BQ423" s="283"/>
      <c r="BR423" s="284"/>
      <c r="BS423" s="147"/>
      <c r="BT423" s="285"/>
      <c r="BU423" s="288"/>
      <c r="BV423" s="287"/>
      <c r="BW423" s="288"/>
      <c r="BX423" s="286"/>
      <c r="BY423" s="287"/>
      <c r="BZ423" s="288"/>
      <c r="CA423" s="286"/>
      <c r="CB423" s="286"/>
      <c r="CC423" s="287"/>
      <c r="CD423" s="286"/>
      <c r="CE423" s="286"/>
      <c r="CF423" s="286"/>
      <c r="CG423" s="287"/>
      <c r="CH423" s="288"/>
      <c r="CI423" s="286"/>
      <c r="CJ423" s="286"/>
      <c r="CK423" s="287"/>
      <c r="CL423" s="288"/>
      <c r="CM423" s="286"/>
      <c r="CN423" s="294"/>
      <c r="CO423" s="289"/>
      <c r="CP423" s="290"/>
      <c r="CQ423" s="289"/>
      <c r="CR423" s="290"/>
      <c r="CS423" s="284"/>
      <c r="CT423" s="147"/>
      <c r="CU423" s="291"/>
      <c r="CV423" s="292"/>
    </row>
    <row r="424" spans="2:100">
      <c r="B424">
        <v>366</v>
      </c>
      <c r="C424" s="243" t="str">
        <v/>
      </c>
      <c r="D424" s="592" t="str">
        <v/>
      </c>
      <c r="E424" s="245" t="str">
        <v/>
      </c>
      <c r="F424" s="243" t="str">
        <v/>
      </c>
      <c r="G424" s="245" t="str">
        <v/>
      </c>
      <c r="H424" s="243" t="str">
        <v/>
      </c>
      <c r="I424" s="245" t="str">
        <v/>
      </c>
      <c r="J424" s="242" t="str">
        <v/>
      </c>
      <c r="K424" s="242" t="str">
        <v/>
      </c>
      <c r="L424" s="242" t="str">
        <v/>
      </c>
      <c r="M424" s="243" t="str">
        <v/>
      </c>
      <c r="N424" s="592" t="str">
        <v/>
      </c>
      <c r="O424" s="245" t="str">
        <v/>
      </c>
      <c r="P424" s="245" t="str">
        <v/>
      </c>
      <c r="Q424" s="254" t="str">
        <v/>
      </c>
      <c r="R424" s="255" t="str">
        <v/>
      </c>
      <c r="S424" s="256" t="str">
        <v/>
      </c>
      <c r="T424" s="257" t="str">
        <v/>
      </c>
      <c r="U424" s="255" t="str">
        <v/>
      </c>
      <c r="V424" s="256" t="str">
        <v/>
      </c>
      <c r="W424" s="257" t="str">
        <v/>
      </c>
      <c r="X424" s="255" t="str">
        <v/>
      </c>
      <c r="Y424" s="256" t="str">
        <v/>
      </c>
      <c r="Z424" s="257" t="str">
        <v/>
      </c>
      <c r="AA424" s="255" t="str">
        <v/>
      </c>
      <c r="AB424" s="256" t="str">
        <v/>
      </c>
      <c r="AC424" s="257" t="str">
        <v/>
      </c>
      <c r="AD424" s="255" t="str">
        <v/>
      </c>
      <c r="AE424" s="256" t="str">
        <v/>
      </c>
      <c r="AF424" s="257" t="str">
        <v/>
      </c>
      <c r="AG424" s="255" t="str">
        <v/>
      </c>
      <c r="AH424" s="256" t="str">
        <v/>
      </c>
      <c r="AI424" s="257" t="str">
        <v/>
      </c>
      <c r="AJ424" s="255" t="str">
        <v/>
      </c>
      <c r="AK424" s="256" t="str">
        <v/>
      </c>
      <c r="AL424" s="257" t="str">
        <v/>
      </c>
      <c r="AM424" s="255" t="str">
        <v/>
      </c>
      <c r="AN424" s="256" t="str">
        <v/>
      </c>
      <c r="AO424" s="257" t="str">
        <v/>
      </c>
      <c r="AP424" s="255" t="str">
        <v/>
      </c>
      <c r="AQ424" s="256" t="str">
        <v/>
      </c>
      <c r="AR424" s="257" t="str">
        <v/>
      </c>
      <c r="AS424" s="255" t="str">
        <v/>
      </c>
      <c r="AT424" s="256" t="str">
        <v/>
      </c>
      <c r="AU424" s="257" t="str">
        <v/>
      </c>
      <c r="AV424" s="255" t="str">
        <v/>
      </c>
      <c r="AW424" s="256" t="str">
        <v/>
      </c>
      <c r="AX424" s="257" t="str">
        <v/>
      </c>
      <c r="AY424" s="243">
        <v>0</v>
      </c>
      <c r="AZ424" s="244">
        <v>0</v>
      </c>
      <c r="BA424" s="244">
        <v>0</v>
      </c>
      <c r="BB424" s="244">
        <v>0</v>
      </c>
      <c r="BC424" s="244">
        <v>0</v>
      </c>
      <c r="BD424" s="244">
        <v>0</v>
      </c>
      <c r="BE424" s="244">
        <v>0</v>
      </c>
      <c r="BF424" s="244">
        <v>0</v>
      </c>
      <c r="BG424" s="244">
        <v>0</v>
      </c>
      <c r="BH424" s="245">
        <v>0</v>
      </c>
      <c r="BK424">
        <v>366</v>
      </c>
      <c r="BL424" s="281"/>
      <c r="BM424" s="281"/>
      <c r="BN424" s="282"/>
      <c r="BO424" s="282"/>
      <c r="BP424" s="282"/>
      <c r="BQ424" s="283"/>
      <c r="BR424" s="284"/>
      <c r="BS424" s="147"/>
      <c r="BT424" s="285"/>
      <c r="BU424" s="288"/>
      <c r="BV424" s="287"/>
      <c r="BW424" s="288"/>
      <c r="BX424" s="286"/>
      <c r="BY424" s="287"/>
      <c r="BZ424" s="288"/>
      <c r="CA424" s="286"/>
      <c r="CB424" s="286"/>
      <c r="CC424" s="287"/>
      <c r="CD424" s="286"/>
      <c r="CE424" s="286"/>
      <c r="CF424" s="286"/>
      <c r="CG424" s="287"/>
      <c r="CH424" s="288"/>
      <c r="CI424" s="286"/>
      <c r="CJ424" s="286"/>
      <c r="CK424" s="287"/>
      <c r="CL424" s="288"/>
      <c r="CM424" s="286"/>
      <c r="CN424" s="294"/>
      <c r="CO424" s="289"/>
      <c r="CP424" s="290"/>
      <c r="CQ424" s="289"/>
      <c r="CR424" s="290"/>
      <c r="CS424" s="284"/>
      <c r="CT424" s="147"/>
      <c r="CU424" s="291"/>
      <c r="CV424" s="292"/>
    </row>
    <row r="425" spans="2:100">
      <c r="B425">
        <v>367</v>
      </c>
      <c r="C425" s="243" t="str">
        <v/>
      </c>
      <c r="D425" s="592" t="str">
        <v/>
      </c>
      <c r="E425" s="245" t="str">
        <v/>
      </c>
      <c r="F425" s="243" t="str">
        <v/>
      </c>
      <c r="G425" s="245" t="str">
        <v/>
      </c>
      <c r="H425" s="243" t="str">
        <v/>
      </c>
      <c r="I425" s="245" t="str">
        <v/>
      </c>
      <c r="J425" s="242" t="str">
        <v/>
      </c>
      <c r="K425" s="242" t="str">
        <v/>
      </c>
      <c r="L425" s="242" t="str">
        <v/>
      </c>
      <c r="M425" s="243" t="str">
        <v/>
      </c>
      <c r="N425" s="592" t="str">
        <v/>
      </c>
      <c r="O425" s="245" t="str">
        <v/>
      </c>
      <c r="P425" s="245" t="str">
        <v/>
      </c>
      <c r="Q425" s="254" t="str">
        <v/>
      </c>
      <c r="R425" s="255" t="str">
        <v/>
      </c>
      <c r="S425" s="256" t="str">
        <v/>
      </c>
      <c r="T425" s="257" t="str">
        <v/>
      </c>
      <c r="U425" s="255" t="str">
        <v/>
      </c>
      <c r="V425" s="256" t="str">
        <v/>
      </c>
      <c r="W425" s="257" t="str">
        <v/>
      </c>
      <c r="X425" s="255" t="str">
        <v/>
      </c>
      <c r="Y425" s="256" t="str">
        <v/>
      </c>
      <c r="Z425" s="257" t="str">
        <v/>
      </c>
      <c r="AA425" s="255" t="str">
        <v/>
      </c>
      <c r="AB425" s="256" t="str">
        <v/>
      </c>
      <c r="AC425" s="257" t="str">
        <v/>
      </c>
      <c r="AD425" s="255" t="str">
        <v/>
      </c>
      <c r="AE425" s="256" t="str">
        <v/>
      </c>
      <c r="AF425" s="257" t="str">
        <v/>
      </c>
      <c r="AG425" s="255" t="str">
        <v/>
      </c>
      <c r="AH425" s="256" t="str">
        <v/>
      </c>
      <c r="AI425" s="257" t="str">
        <v/>
      </c>
      <c r="AJ425" s="255" t="str">
        <v/>
      </c>
      <c r="AK425" s="256" t="str">
        <v/>
      </c>
      <c r="AL425" s="257" t="str">
        <v/>
      </c>
      <c r="AM425" s="255" t="str">
        <v/>
      </c>
      <c r="AN425" s="256" t="str">
        <v/>
      </c>
      <c r="AO425" s="257" t="str">
        <v/>
      </c>
      <c r="AP425" s="255" t="str">
        <v/>
      </c>
      <c r="AQ425" s="256" t="str">
        <v/>
      </c>
      <c r="AR425" s="257" t="str">
        <v/>
      </c>
      <c r="AS425" s="255" t="str">
        <v/>
      </c>
      <c r="AT425" s="256" t="str">
        <v/>
      </c>
      <c r="AU425" s="257" t="str">
        <v/>
      </c>
      <c r="AV425" s="255" t="str">
        <v/>
      </c>
      <c r="AW425" s="256" t="str">
        <v/>
      </c>
      <c r="AX425" s="257" t="str">
        <v/>
      </c>
      <c r="AY425" s="243">
        <v>0</v>
      </c>
      <c r="AZ425" s="244">
        <v>0</v>
      </c>
      <c r="BA425" s="244">
        <v>0</v>
      </c>
      <c r="BB425" s="244">
        <v>0</v>
      </c>
      <c r="BC425" s="244">
        <v>0</v>
      </c>
      <c r="BD425" s="244">
        <v>0</v>
      </c>
      <c r="BE425" s="244">
        <v>0</v>
      </c>
      <c r="BF425" s="244">
        <v>0</v>
      </c>
      <c r="BG425" s="244">
        <v>0</v>
      </c>
      <c r="BH425" s="245">
        <v>0</v>
      </c>
      <c r="BK425">
        <v>367</v>
      </c>
      <c r="BL425" s="281"/>
      <c r="BM425" s="281"/>
      <c r="BN425" s="282"/>
      <c r="BO425" s="282"/>
      <c r="BP425" s="282"/>
      <c r="BQ425" s="283"/>
      <c r="BR425" s="284"/>
      <c r="BS425" s="147"/>
      <c r="BT425" s="285"/>
      <c r="BU425" s="288"/>
      <c r="BV425" s="287"/>
      <c r="BW425" s="288"/>
      <c r="BX425" s="286"/>
      <c r="BY425" s="287"/>
      <c r="BZ425" s="288"/>
      <c r="CA425" s="286"/>
      <c r="CB425" s="286"/>
      <c r="CC425" s="287"/>
      <c r="CD425" s="286"/>
      <c r="CE425" s="286"/>
      <c r="CF425" s="286"/>
      <c r="CG425" s="287"/>
      <c r="CH425" s="288"/>
      <c r="CI425" s="286"/>
      <c r="CJ425" s="286"/>
      <c r="CK425" s="287"/>
      <c r="CL425" s="288"/>
      <c r="CM425" s="286"/>
      <c r="CN425" s="294"/>
      <c r="CO425" s="289"/>
      <c r="CP425" s="290"/>
      <c r="CQ425" s="289"/>
      <c r="CR425" s="290"/>
      <c r="CS425" s="284"/>
      <c r="CT425" s="147"/>
      <c r="CU425" s="291"/>
      <c r="CV425" s="292"/>
    </row>
    <row r="426" spans="2:100">
      <c r="B426">
        <v>368</v>
      </c>
      <c r="C426" s="243" t="str">
        <v/>
      </c>
      <c r="D426" s="592" t="str">
        <v/>
      </c>
      <c r="E426" s="245" t="str">
        <v/>
      </c>
      <c r="F426" s="243" t="str">
        <v/>
      </c>
      <c r="G426" s="245" t="str">
        <v/>
      </c>
      <c r="H426" s="243" t="str">
        <v/>
      </c>
      <c r="I426" s="245" t="str">
        <v/>
      </c>
      <c r="J426" s="242" t="str">
        <v/>
      </c>
      <c r="K426" s="242" t="str">
        <v/>
      </c>
      <c r="L426" s="242" t="str">
        <v/>
      </c>
      <c r="M426" s="243" t="str">
        <v/>
      </c>
      <c r="N426" s="592" t="str">
        <v/>
      </c>
      <c r="O426" s="245" t="str">
        <v/>
      </c>
      <c r="P426" s="245" t="str">
        <v/>
      </c>
      <c r="Q426" s="254" t="str">
        <v/>
      </c>
      <c r="R426" s="255" t="str">
        <v/>
      </c>
      <c r="S426" s="256" t="str">
        <v/>
      </c>
      <c r="T426" s="257" t="str">
        <v/>
      </c>
      <c r="U426" s="255" t="str">
        <v/>
      </c>
      <c r="V426" s="256" t="str">
        <v/>
      </c>
      <c r="W426" s="257" t="str">
        <v/>
      </c>
      <c r="X426" s="255" t="str">
        <v/>
      </c>
      <c r="Y426" s="256" t="str">
        <v/>
      </c>
      <c r="Z426" s="257" t="str">
        <v/>
      </c>
      <c r="AA426" s="255" t="str">
        <v/>
      </c>
      <c r="AB426" s="256" t="str">
        <v/>
      </c>
      <c r="AC426" s="257" t="str">
        <v/>
      </c>
      <c r="AD426" s="255" t="str">
        <v/>
      </c>
      <c r="AE426" s="256" t="str">
        <v/>
      </c>
      <c r="AF426" s="257" t="str">
        <v/>
      </c>
      <c r="AG426" s="255" t="str">
        <v/>
      </c>
      <c r="AH426" s="256" t="str">
        <v/>
      </c>
      <c r="AI426" s="257" t="str">
        <v/>
      </c>
      <c r="AJ426" s="255" t="str">
        <v/>
      </c>
      <c r="AK426" s="256" t="str">
        <v/>
      </c>
      <c r="AL426" s="257" t="str">
        <v/>
      </c>
      <c r="AM426" s="255" t="str">
        <v/>
      </c>
      <c r="AN426" s="256" t="str">
        <v/>
      </c>
      <c r="AO426" s="257" t="str">
        <v/>
      </c>
      <c r="AP426" s="255" t="str">
        <v/>
      </c>
      <c r="AQ426" s="256" t="str">
        <v/>
      </c>
      <c r="AR426" s="257" t="str">
        <v/>
      </c>
      <c r="AS426" s="255" t="str">
        <v/>
      </c>
      <c r="AT426" s="256" t="str">
        <v/>
      </c>
      <c r="AU426" s="257" t="str">
        <v/>
      </c>
      <c r="AV426" s="255" t="str">
        <v/>
      </c>
      <c r="AW426" s="256" t="str">
        <v/>
      </c>
      <c r="AX426" s="257" t="str">
        <v/>
      </c>
      <c r="AY426" s="243">
        <v>0</v>
      </c>
      <c r="AZ426" s="244">
        <v>0</v>
      </c>
      <c r="BA426" s="244">
        <v>0</v>
      </c>
      <c r="BB426" s="244">
        <v>0</v>
      </c>
      <c r="BC426" s="244">
        <v>0</v>
      </c>
      <c r="BD426" s="244">
        <v>0</v>
      </c>
      <c r="BE426" s="244">
        <v>0</v>
      </c>
      <c r="BF426" s="244">
        <v>0</v>
      </c>
      <c r="BG426" s="244">
        <v>0</v>
      </c>
      <c r="BH426" s="245">
        <v>0</v>
      </c>
      <c r="BK426">
        <v>368</v>
      </c>
      <c r="BL426" s="281"/>
      <c r="BM426" s="281"/>
      <c r="BN426" s="282"/>
      <c r="BO426" s="282"/>
      <c r="BP426" s="282"/>
      <c r="BQ426" s="283"/>
      <c r="BR426" s="284"/>
      <c r="BS426" s="147"/>
      <c r="BT426" s="285"/>
      <c r="BU426" s="288"/>
      <c r="BV426" s="287"/>
      <c r="BW426" s="288"/>
      <c r="BX426" s="286"/>
      <c r="BY426" s="287"/>
      <c r="BZ426" s="288"/>
      <c r="CA426" s="286"/>
      <c r="CB426" s="286"/>
      <c r="CC426" s="287"/>
      <c r="CD426" s="286"/>
      <c r="CE426" s="286"/>
      <c r="CF426" s="286"/>
      <c r="CG426" s="287"/>
      <c r="CH426" s="288"/>
      <c r="CI426" s="286"/>
      <c r="CJ426" s="286"/>
      <c r="CK426" s="287"/>
      <c r="CL426" s="288"/>
      <c r="CM426" s="286"/>
      <c r="CN426" s="294"/>
      <c r="CO426" s="289"/>
      <c r="CP426" s="290"/>
      <c r="CQ426" s="289"/>
      <c r="CR426" s="290"/>
      <c r="CS426" s="284"/>
      <c r="CT426" s="147"/>
      <c r="CU426" s="291"/>
      <c r="CV426" s="292"/>
    </row>
    <row r="427" spans="2:100">
      <c r="B427">
        <v>369</v>
      </c>
      <c r="C427" s="243" t="str">
        <v/>
      </c>
      <c r="D427" s="592" t="str">
        <v/>
      </c>
      <c r="E427" s="245" t="str">
        <v/>
      </c>
      <c r="F427" s="243" t="str">
        <v/>
      </c>
      <c r="G427" s="245" t="str">
        <v/>
      </c>
      <c r="H427" s="243" t="str">
        <v/>
      </c>
      <c r="I427" s="245" t="str">
        <v/>
      </c>
      <c r="J427" s="242" t="str">
        <v/>
      </c>
      <c r="K427" s="242" t="str">
        <v/>
      </c>
      <c r="L427" s="242" t="str">
        <v/>
      </c>
      <c r="M427" s="243" t="str">
        <v/>
      </c>
      <c r="N427" s="592" t="str">
        <v/>
      </c>
      <c r="O427" s="245" t="str">
        <v/>
      </c>
      <c r="P427" s="245" t="str">
        <v/>
      </c>
      <c r="Q427" s="254" t="str">
        <v/>
      </c>
      <c r="R427" s="255" t="str">
        <v/>
      </c>
      <c r="S427" s="256" t="str">
        <v/>
      </c>
      <c r="T427" s="257" t="str">
        <v/>
      </c>
      <c r="U427" s="255" t="str">
        <v/>
      </c>
      <c r="V427" s="256" t="str">
        <v/>
      </c>
      <c r="W427" s="257" t="str">
        <v/>
      </c>
      <c r="X427" s="255" t="str">
        <v/>
      </c>
      <c r="Y427" s="256" t="str">
        <v/>
      </c>
      <c r="Z427" s="257" t="str">
        <v/>
      </c>
      <c r="AA427" s="255" t="str">
        <v/>
      </c>
      <c r="AB427" s="256" t="str">
        <v/>
      </c>
      <c r="AC427" s="257" t="str">
        <v/>
      </c>
      <c r="AD427" s="255" t="str">
        <v/>
      </c>
      <c r="AE427" s="256" t="str">
        <v/>
      </c>
      <c r="AF427" s="257" t="str">
        <v/>
      </c>
      <c r="AG427" s="255" t="str">
        <v/>
      </c>
      <c r="AH427" s="256" t="str">
        <v/>
      </c>
      <c r="AI427" s="257" t="str">
        <v/>
      </c>
      <c r="AJ427" s="255" t="str">
        <v/>
      </c>
      <c r="AK427" s="256" t="str">
        <v/>
      </c>
      <c r="AL427" s="257" t="str">
        <v/>
      </c>
      <c r="AM427" s="255" t="str">
        <v/>
      </c>
      <c r="AN427" s="256" t="str">
        <v/>
      </c>
      <c r="AO427" s="257" t="str">
        <v/>
      </c>
      <c r="AP427" s="255" t="str">
        <v/>
      </c>
      <c r="AQ427" s="256" t="str">
        <v/>
      </c>
      <c r="AR427" s="257" t="str">
        <v/>
      </c>
      <c r="AS427" s="255" t="str">
        <v/>
      </c>
      <c r="AT427" s="256" t="str">
        <v/>
      </c>
      <c r="AU427" s="257" t="str">
        <v/>
      </c>
      <c r="AV427" s="255" t="str">
        <v/>
      </c>
      <c r="AW427" s="256" t="str">
        <v/>
      </c>
      <c r="AX427" s="257" t="str">
        <v/>
      </c>
      <c r="AY427" s="243">
        <v>0</v>
      </c>
      <c r="AZ427" s="244">
        <v>0</v>
      </c>
      <c r="BA427" s="244">
        <v>0</v>
      </c>
      <c r="BB427" s="244">
        <v>0</v>
      </c>
      <c r="BC427" s="244">
        <v>0</v>
      </c>
      <c r="BD427" s="244">
        <v>0</v>
      </c>
      <c r="BE427" s="244">
        <v>0</v>
      </c>
      <c r="BF427" s="244">
        <v>0</v>
      </c>
      <c r="BG427" s="244">
        <v>0</v>
      </c>
      <c r="BH427" s="245">
        <v>0</v>
      </c>
      <c r="BK427">
        <v>369</v>
      </c>
      <c r="BL427" s="281"/>
      <c r="BM427" s="281"/>
      <c r="BN427" s="282"/>
      <c r="BO427" s="282"/>
      <c r="BP427" s="282"/>
      <c r="BQ427" s="283"/>
      <c r="BR427" s="284"/>
      <c r="BS427" s="147"/>
      <c r="BT427" s="285"/>
      <c r="BU427" s="288"/>
      <c r="BV427" s="287"/>
      <c r="BW427" s="288"/>
      <c r="BX427" s="286"/>
      <c r="BY427" s="287"/>
      <c r="BZ427" s="288"/>
      <c r="CA427" s="286"/>
      <c r="CB427" s="286"/>
      <c r="CC427" s="287"/>
      <c r="CD427" s="286"/>
      <c r="CE427" s="286"/>
      <c r="CF427" s="286"/>
      <c r="CG427" s="287"/>
      <c r="CH427" s="288"/>
      <c r="CI427" s="286"/>
      <c r="CJ427" s="286"/>
      <c r="CK427" s="287"/>
      <c r="CL427" s="288"/>
      <c r="CM427" s="286"/>
      <c r="CN427" s="294"/>
      <c r="CO427" s="289"/>
      <c r="CP427" s="290"/>
      <c r="CQ427" s="289"/>
      <c r="CR427" s="290"/>
      <c r="CS427" s="284"/>
      <c r="CT427" s="147"/>
      <c r="CU427" s="291"/>
      <c r="CV427" s="292"/>
    </row>
    <row r="428" spans="2:100">
      <c r="B428">
        <v>370</v>
      </c>
      <c r="C428" s="243" t="str">
        <v/>
      </c>
      <c r="D428" s="592" t="str">
        <v/>
      </c>
      <c r="E428" s="245" t="str">
        <v/>
      </c>
      <c r="F428" s="243" t="str">
        <v/>
      </c>
      <c r="G428" s="245" t="str">
        <v/>
      </c>
      <c r="H428" s="243" t="str">
        <v/>
      </c>
      <c r="I428" s="245" t="str">
        <v/>
      </c>
      <c r="J428" s="242" t="str">
        <v/>
      </c>
      <c r="K428" s="242" t="str">
        <v/>
      </c>
      <c r="L428" s="242" t="str">
        <v/>
      </c>
      <c r="M428" s="243" t="str">
        <v/>
      </c>
      <c r="N428" s="592" t="str">
        <v/>
      </c>
      <c r="O428" s="245" t="str">
        <v/>
      </c>
      <c r="P428" s="245" t="str">
        <v/>
      </c>
      <c r="Q428" s="254" t="str">
        <v/>
      </c>
      <c r="R428" s="255" t="str">
        <v/>
      </c>
      <c r="S428" s="256" t="str">
        <v/>
      </c>
      <c r="T428" s="257" t="str">
        <v/>
      </c>
      <c r="U428" s="255" t="str">
        <v/>
      </c>
      <c r="V428" s="256" t="str">
        <v/>
      </c>
      <c r="W428" s="257" t="str">
        <v/>
      </c>
      <c r="X428" s="255" t="str">
        <v/>
      </c>
      <c r="Y428" s="256" t="str">
        <v/>
      </c>
      <c r="Z428" s="257" t="str">
        <v/>
      </c>
      <c r="AA428" s="255" t="str">
        <v/>
      </c>
      <c r="AB428" s="256" t="str">
        <v/>
      </c>
      <c r="AC428" s="257" t="str">
        <v/>
      </c>
      <c r="AD428" s="255" t="str">
        <v/>
      </c>
      <c r="AE428" s="256" t="str">
        <v/>
      </c>
      <c r="AF428" s="257" t="str">
        <v/>
      </c>
      <c r="AG428" s="255" t="str">
        <v/>
      </c>
      <c r="AH428" s="256" t="str">
        <v/>
      </c>
      <c r="AI428" s="257" t="str">
        <v/>
      </c>
      <c r="AJ428" s="255" t="str">
        <v/>
      </c>
      <c r="AK428" s="256" t="str">
        <v/>
      </c>
      <c r="AL428" s="257" t="str">
        <v/>
      </c>
      <c r="AM428" s="255" t="str">
        <v/>
      </c>
      <c r="AN428" s="256" t="str">
        <v/>
      </c>
      <c r="AO428" s="257" t="str">
        <v/>
      </c>
      <c r="AP428" s="255" t="str">
        <v/>
      </c>
      <c r="AQ428" s="256" t="str">
        <v/>
      </c>
      <c r="AR428" s="257" t="str">
        <v/>
      </c>
      <c r="AS428" s="255" t="str">
        <v/>
      </c>
      <c r="AT428" s="256" t="str">
        <v/>
      </c>
      <c r="AU428" s="257" t="str">
        <v/>
      </c>
      <c r="AV428" s="255" t="str">
        <v/>
      </c>
      <c r="AW428" s="256" t="str">
        <v/>
      </c>
      <c r="AX428" s="257" t="str">
        <v/>
      </c>
      <c r="AY428" s="243">
        <v>0</v>
      </c>
      <c r="AZ428" s="244">
        <v>0</v>
      </c>
      <c r="BA428" s="244">
        <v>0</v>
      </c>
      <c r="BB428" s="244">
        <v>0</v>
      </c>
      <c r="BC428" s="244">
        <v>0</v>
      </c>
      <c r="BD428" s="244">
        <v>0</v>
      </c>
      <c r="BE428" s="244">
        <v>0</v>
      </c>
      <c r="BF428" s="244">
        <v>0</v>
      </c>
      <c r="BG428" s="244">
        <v>0</v>
      </c>
      <c r="BH428" s="245">
        <v>0</v>
      </c>
      <c r="BK428">
        <v>370</v>
      </c>
      <c r="BL428" s="281"/>
      <c r="BM428" s="281"/>
      <c r="BN428" s="282"/>
      <c r="BO428" s="282"/>
      <c r="BP428" s="282"/>
      <c r="BQ428" s="283"/>
      <c r="BR428" s="284"/>
      <c r="BS428" s="147"/>
      <c r="BT428" s="285"/>
      <c r="BU428" s="288"/>
      <c r="BV428" s="287"/>
      <c r="BW428" s="288"/>
      <c r="BX428" s="286"/>
      <c r="BY428" s="287"/>
      <c r="BZ428" s="288"/>
      <c r="CA428" s="286"/>
      <c r="CB428" s="286"/>
      <c r="CC428" s="287"/>
      <c r="CD428" s="286"/>
      <c r="CE428" s="286"/>
      <c r="CF428" s="286"/>
      <c r="CG428" s="287"/>
      <c r="CH428" s="288"/>
      <c r="CI428" s="286"/>
      <c r="CJ428" s="286"/>
      <c r="CK428" s="287"/>
      <c r="CL428" s="288"/>
      <c r="CM428" s="286"/>
      <c r="CN428" s="294"/>
      <c r="CO428" s="289"/>
      <c r="CP428" s="290"/>
      <c r="CQ428" s="289"/>
      <c r="CR428" s="290"/>
      <c r="CS428" s="284"/>
      <c r="CT428" s="147"/>
      <c r="CU428" s="291"/>
      <c r="CV428" s="292"/>
    </row>
    <row r="429" spans="2:100">
      <c r="B429">
        <v>371</v>
      </c>
      <c r="C429" s="243" t="str">
        <v/>
      </c>
      <c r="D429" s="592" t="str">
        <v/>
      </c>
      <c r="E429" s="245" t="str">
        <v/>
      </c>
      <c r="F429" s="243" t="str">
        <v/>
      </c>
      <c r="G429" s="245" t="str">
        <v/>
      </c>
      <c r="H429" s="243" t="str">
        <v/>
      </c>
      <c r="I429" s="245" t="str">
        <v/>
      </c>
      <c r="J429" s="242" t="str">
        <v/>
      </c>
      <c r="K429" s="242" t="str">
        <v/>
      </c>
      <c r="L429" s="242" t="str">
        <v/>
      </c>
      <c r="M429" s="243" t="str">
        <v/>
      </c>
      <c r="N429" s="592" t="str">
        <v/>
      </c>
      <c r="O429" s="245" t="str">
        <v/>
      </c>
      <c r="P429" s="245" t="str">
        <v/>
      </c>
      <c r="Q429" s="254" t="str">
        <v/>
      </c>
      <c r="R429" s="255" t="str">
        <v/>
      </c>
      <c r="S429" s="256" t="str">
        <v/>
      </c>
      <c r="T429" s="257" t="str">
        <v/>
      </c>
      <c r="U429" s="255" t="str">
        <v/>
      </c>
      <c r="V429" s="256" t="str">
        <v/>
      </c>
      <c r="W429" s="257" t="str">
        <v/>
      </c>
      <c r="X429" s="255" t="str">
        <v/>
      </c>
      <c r="Y429" s="256" t="str">
        <v/>
      </c>
      <c r="Z429" s="257" t="str">
        <v/>
      </c>
      <c r="AA429" s="255" t="str">
        <v/>
      </c>
      <c r="AB429" s="256" t="str">
        <v/>
      </c>
      <c r="AC429" s="257" t="str">
        <v/>
      </c>
      <c r="AD429" s="255" t="str">
        <v/>
      </c>
      <c r="AE429" s="256" t="str">
        <v/>
      </c>
      <c r="AF429" s="257" t="str">
        <v/>
      </c>
      <c r="AG429" s="255" t="str">
        <v/>
      </c>
      <c r="AH429" s="256" t="str">
        <v/>
      </c>
      <c r="AI429" s="257" t="str">
        <v/>
      </c>
      <c r="AJ429" s="255" t="str">
        <v/>
      </c>
      <c r="AK429" s="256" t="str">
        <v/>
      </c>
      <c r="AL429" s="257" t="str">
        <v/>
      </c>
      <c r="AM429" s="255" t="str">
        <v/>
      </c>
      <c r="AN429" s="256" t="str">
        <v/>
      </c>
      <c r="AO429" s="257" t="str">
        <v/>
      </c>
      <c r="AP429" s="255" t="str">
        <v/>
      </c>
      <c r="AQ429" s="256" t="str">
        <v/>
      </c>
      <c r="AR429" s="257" t="str">
        <v/>
      </c>
      <c r="AS429" s="255" t="str">
        <v/>
      </c>
      <c r="AT429" s="256" t="str">
        <v/>
      </c>
      <c r="AU429" s="257" t="str">
        <v/>
      </c>
      <c r="AV429" s="255" t="str">
        <v/>
      </c>
      <c r="AW429" s="256" t="str">
        <v/>
      </c>
      <c r="AX429" s="257" t="str">
        <v/>
      </c>
      <c r="AY429" s="243">
        <v>0</v>
      </c>
      <c r="AZ429" s="244">
        <v>0</v>
      </c>
      <c r="BA429" s="244">
        <v>0</v>
      </c>
      <c r="BB429" s="244">
        <v>0</v>
      </c>
      <c r="BC429" s="244">
        <v>0</v>
      </c>
      <c r="BD429" s="244">
        <v>0</v>
      </c>
      <c r="BE429" s="244">
        <v>0</v>
      </c>
      <c r="BF429" s="244">
        <v>0</v>
      </c>
      <c r="BG429" s="244">
        <v>0</v>
      </c>
      <c r="BH429" s="245">
        <v>0</v>
      </c>
      <c r="BK429">
        <v>371</v>
      </c>
      <c r="BL429" s="281"/>
      <c r="BM429" s="281"/>
      <c r="BN429" s="282"/>
      <c r="BO429" s="282"/>
      <c r="BP429" s="282"/>
      <c r="BQ429" s="283"/>
      <c r="BR429" s="284"/>
      <c r="BS429" s="147"/>
      <c r="BT429" s="285"/>
      <c r="BU429" s="288"/>
      <c r="BV429" s="287"/>
      <c r="BW429" s="288"/>
      <c r="BX429" s="286"/>
      <c r="BY429" s="287"/>
      <c r="BZ429" s="288"/>
      <c r="CA429" s="286"/>
      <c r="CB429" s="286"/>
      <c r="CC429" s="287"/>
      <c r="CD429" s="286"/>
      <c r="CE429" s="286"/>
      <c r="CF429" s="286"/>
      <c r="CG429" s="287"/>
      <c r="CH429" s="288"/>
      <c r="CI429" s="286"/>
      <c r="CJ429" s="286"/>
      <c r="CK429" s="287"/>
      <c r="CL429" s="288"/>
      <c r="CM429" s="286"/>
      <c r="CN429" s="294"/>
      <c r="CO429" s="289"/>
      <c r="CP429" s="290"/>
      <c r="CQ429" s="289"/>
      <c r="CR429" s="290"/>
      <c r="CS429" s="284"/>
      <c r="CT429" s="147"/>
      <c r="CU429" s="291"/>
      <c r="CV429" s="292"/>
    </row>
    <row r="430" spans="2:100">
      <c r="B430">
        <v>372</v>
      </c>
      <c r="C430" s="243" t="str">
        <v/>
      </c>
      <c r="D430" s="592" t="str">
        <v/>
      </c>
      <c r="E430" s="245" t="str">
        <v/>
      </c>
      <c r="F430" s="243" t="str">
        <v/>
      </c>
      <c r="G430" s="245" t="str">
        <v/>
      </c>
      <c r="H430" s="243" t="str">
        <v/>
      </c>
      <c r="I430" s="245" t="str">
        <v/>
      </c>
      <c r="J430" s="242" t="str">
        <v/>
      </c>
      <c r="K430" s="242" t="str">
        <v/>
      </c>
      <c r="L430" s="242" t="str">
        <v/>
      </c>
      <c r="M430" s="243" t="str">
        <v/>
      </c>
      <c r="N430" s="592" t="str">
        <v/>
      </c>
      <c r="O430" s="245" t="str">
        <v/>
      </c>
      <c r="P430" s="245" t="str">
        <v/>
      </c>
      <c r="Q430" s="254" t="str">
        <v/>
      </c>
      <c r="R430" s="255" t="str">
        <v/>
      </c>
      <c r="S430" s="256" t="str">
        <v/>
      </c>
      <c r="T430" s="257" t="str">
        <v/>
      </c>
      <c r="U430" s="255" t="str">
        <v/>
      </c>
      <c r="V430" s="256" t="str">
        <v/>
      </c>
      <c r="W430" s="257" t="str">
        <v/>
      </c>
      <c r="X430" s="255" t="str">
        <v/>
      </c>
      <c r="Y430" s="256" t="str">
        <v/>
      </c>
      <c r="Z430" s="257" t="str">
        <v/>
      </c>
      <c r="AA430" s="255" t="str">
        <v/>
      </c>
      <c r="AB430" s="256" t="str">
        <v/>
      </c>
      <c r="AC430" s="257" t="str">
        <v/>
      </c>
      <c r="AD430" s="255" t="str">
        <v/>
      </c>
      <c r="AE430" s="256" t="str">
        <v/>
      </c>
      <c r="AF430" s="257" t="str">
        <v/>
      </c>
      <c r="AG430" s="255" t="str">
        <v/>
      </c>
      <c r="AH430" s="256" t="str">
        <v/>
      </c>
      <c r="AI430" s="257" t="str">
        <v/>
      </c>
      <c r="AJ430" s="255" t="str">
        <v/>
      </c>
      <c r="AK430" s="256" t="str">
        <v/>
      </c>
      <c r="AL430" s="257" t="str">
        <v/>
      </c>
      <c r="AM430" s="255" t="str">
        <v/>
      </c>
      <c r="AN430" s="256" t="str">
        <v/>
      </c>
      <c r="AO430" s="257" t="str">
        <v/>
      </c>
      <c r="AP430" s="255" t="str">
        <v/>
      </c>
      <c r="AQ430" s="256" t="str">
        <v/>
      </c>
      <c r="AR430" s="257" t="str">
        <v/>
      </c>
      <c r="AS430" s="255" t="str">
        <v/>
      </c>
      <c r="AT430" s="256" t="str">
        <v/>
      </c>
      <c r="AU430" s="257" t="str">
        <v/>
      </c>
      <c r="AV430" s="255" t="str">
        <v/>
      </c>
      <c r="AW430" s="256" t="str">
        <v/>
      </c>
      <c r="AX430" s="257" t="str">
        <v/>
      </c>
      <c r="AY430" s="243">
        <v>0</v>
      </c>
      <c r="AZ430" s="244">
        <v>0</v>
      </c>
      <c r="BA430" s="244">
        <v>0</v>
      </c>
      <c r="BB430" s="244">
        <v>0</v>
      </c>
      <c r="BC430" s="244">
        <v>0</v>
      </c>
      <c r="BD430" s="244">
        <v>0</v>
      </c>
      <c r="BE430" s="244">
        <v>0</v>
      </c>
      <c r="BF430" s="244">
        <v>0</v>
      </c>
      <c r="BG430" s="244">
        <v>0</v>
      </c>
      <c r="BH430" s="245">
        <v>0</v>
      </c>
      <c r="BK430">
        <v>372</v>
      </c>
      <c r="BL430" s="281"/>
      <c r="BM430" s="281"/>
      <c r="BN430" s="282"/>
      <c r="BO430" s="282"/>
      <c r="BP430" s="282"/>
      <c r="BQ430" s="283"/>
      <c r="BR430" s="284"/>
      <c r="BS430" s="147"/>
      <c r="BT430" s="285"/>
      <c r="BU430" s="288"/>
      <c r="BV430" s="287"/>
      <c r="BW430" s="288"/>
      <c r="BX430" s="286"/>
      <c r="BY430" s="287"/>
      <c r="BZ430" s="288"/>
      <c r="CA430" s="286"/>
      <c r="CB430" s="286"/>
      <c r="CC430" s="287"/>
      <c r="CD430" s="286"/>
      <c r="CE430" s="286"/>
      <c r="CF430" s="286"/>
      <c r="CG430" s="287"/>
      <c r="CH430" s="288"/>
      <c r="CI430" s="286"/>
      <c r="CJ430" s="286"/>
      <c r="CK430" s="287"/>
      <c r="CL430" s="288"/>
      <c r="CM430" s="286"/>
      <c r="CN430" s="294"/>
      <c r="CO430" s="289"/>
      <c r="CP430" s="290"/>
      <c r="CQ430" s="289"/>
      <c r="CR430" s="290"/>
      <c r="CS430" s="284"/>
      <c r="CT430" s="147"/>
      <c r="CU430" s="291"/>
      <c r="CV430" s="292"/>
    </row>
    <row r="431" spans="2:100">
      <c r="B431">
        <v>373</v>
      </c>
      <c r="C431" s="243" t="str">
        <v/>
      </c>
      <c r="D431" s="592" t="str">
        <v/>
      </c>
      <c r="E431" s="245" t="str">
        <v/>
      </c>
      <c r="F431" s="243" t="str">
        <v/>
      </c>
      <c r="G431" s="245" t="str">
        <v/>
      </c>
      <c r="H431" s="243" t="str">
        <v/>
      </c>
      <c r="I431" s="245" t="str">
        <v/>
      </c>
      <c r="J431" s="242" t="str">
        <v/>
      </c>
      <c r="K431" s="242" t="str">
        <v/>
      </c>
      <c r="L431" s="242" t="str">
        <v/>
      </c>
      <c r="M431" s="243" t="str">
        <v/>
      </c>
      <c r="N431" s="592" t="str">
        <v/>
      </c>
      <c r="O431" s="245" t="str">
        <v/>
      </c>
      <c r="P431" s="245" t="str">
        <v/>
      </c>
      <c r="Q431" s="254" t="str">
        <v/>
      </c>
      <c r="R431" s="255" t="str">
        <v/>
      </c>
      <c r="S431" s="256" t="str">
        <v/>
      </c>
      <c r="T431" s="257" t="str">
        <v/>
      </c>
      <c r="U431" s="255" t="str">
        <v/>
      </c>
      <c r="V431" s="256" t="str">
        <v/>
      </c>
      <c r="W431" s="257" t="str">
        <v/>
      </c>
      <c r="X431" s="255" t="str">
        <v/>
      </c>
      <c r="Y431" s="256" t="str">
        <v/>
      </c>
      <c r="Z431" s="257" t="str">
        <v/>
      </c>
      <c r="AA431" s="255" t="str">
        <v/>
      </c>
      <c r="AB431" s="256" t="str">
        <v/>
      </c>
      <c r="AC431" s="257" t="str">
        <v/>
      </c>
      <c r="AD431" s="255" t="str">
        <v/>
      </c>
      <c r="AE431" s="256" t="str">
        <v/>
      </c>
      <c r="AF431" s="257" t="str">
        <v/>
      </c>
      <c r="AG431" s="255" t="str">
        <v/>
      </c>
      <c r="AH431" s="256" t="str">
        <v/>
      </c>
      <c r="AI431" s="257" t="str">
        <v/>
      </c>
      <c r="AJ431" s="255" t="str">
        <v/>
      </c>
      <c r="AK431" s="256" t="str">
        <v/>
      </c>
      <c r="AL431" s="257" t="str">
        <v/>
      </c>
      <c r="AM431" s="255" t="str">
        <v/>
      </c>
      <c r="AN431" s="256" t="str">
        <v/>
      </c>
      <c r="AO431" s="257" t="str">
        <v/>
      </c>
      <c r="AP431" s="255" t="str">
        <v/>
      </c>
      <c r="AQ431" s="256" t="str">
        <v/>
      </c>
      <c r="AR431" s="257" t="str">
        <v/>
      </c>
      <c r="AS431" s="255" t="str">
        <v/>
      </c>
      <c r="AT431" s="256" t="str">
        <v/>
      </c>
      <c r="AU431" s="257" t="str">
        <v/>
      </c>
      <c r="AV431" s="255" t="str">
        <v/>
      </c>
      <c r="AW431" s="256" t="str">
        <v/>
      </c>
      <c r="AX431" s="257" t="str">
        <v/>
      </c>
      <c r="AY431" s="243">
        <v>0</v>
      </c>
      <c r="AZ431" s="244">
        <v>0</v>
      </c>
      <c r="BA431" s="244">
        <v>0</v>
      </c>
      <c r="BB431" s="244">
        <v>0</v>
      </c>
      <c r="BC431" s="244">
        <v>0</v>
      </c>
      <c r="BD431" s="244">
        <v>0</v>
      </c>
      <c r="BE431" s="244">
        <v>0</v>
      </c>
      <c r="BF431" s="244">
        <v>0</v>
      </c>
      <c r="BG431" s="244">
        <v>0</v>
      </c>
      <c r="BH431" s="245">
        <v>0</v>
      </c>
      <c r="BK431">
        <v>373</v>
      </c>
      <c r="BL431" s="281"/>
      <c r="BM431" s="281"/>
      <c r="BN431" s="282"/>
      <c r="BO431" s="282"/>
      <c r="BP431" s="282"/>
      <c r="BQ431" s="283"/>
      <c r="BR431" s="284"/>
      <c r="BS431" s="147"/>
      <c r="BT431" s="285"/>
      <c r="BU431" s="288"/>
      <c r="BV431" s="287"/>
      <c r="BW431" s="288"/>
      <c r="BX431" s="286"/>
      <c r="BY431" s="287"/>
      <c r="BZ431" s="288"/>
      <c r="CA431" s="286"/>
      <c r="CB431" s="286"/>
      <c r="CC431" s="287"/>
      <c r="CD431" s="286"/>
      <c r="CE431" s="286"/>
      <c r="CF431" s="286"/>
      <c r="CG431" s="287"/>
      <c r="CH431" s="288"/>
      <c r="CI431" s="286"/>
      <c r="CJ431" s="286"/>
      <c r="CK431" s="287"/>
      <c r="CL431" s="288"/>
      <c r="CM431" s="286"/>
      <c r="CN431" s="294"/>
      <c r="CO431" s="289"/>
      <c r="CP431" s="290"/>
      <c r="CQ431" s="289"/>
      <c r="CR431" s="290"/>
      <c r="CS431" s="284"/>
      <c r="CT431" s="147"/>
      <c r="CU431" s="291"/>
      <c r="CV431" s="292"/>
    </row>
    <row r="432" spans="2:100">
      <c r="B432">
        <v>374</v>
      </c>
      <c r="C432" s="243" t="str">
        <v/>
      </c>
      <c r="D432" s="592" t="str">
        <v/>
      </c>
      <c r="E432" s="245" t="str">
        <v/>
      </c>
      <c r="F432" s="243" t="str">
        <v/>
      </c>
      <c r="G432" s="245" t="str">
        <v/>
      </c>
      <c r="H432" s="243" t="str">
        <v/>
      </c>
      <c r="I432" s="245" t="str">
        <v/>
      </c>
      <c r="J432" s="242" t="str">
        <v/>
      </c>
      <c r="K432" s="242" t="str">
        <v/>
      </c>
      <c r="L432" s="242" t="str">
        <v/>
      </c>
      <c r="M432" s="243" t="str">
        <v/>
      </c>
      <c r="N432" s="592" t="str">
        <v/>
      </c>
      <c r="O432" s="245" t="str">
        <v/>
      </c>
      <c r="P432" s="245" t="str">
        <v/>
      </c>
      <c r="Q432" s="254" t="str">
        <v/>
      </c>
      <c r="R432" s="255" t="str">
        <v/>
      </c>
      <c r="S432" s="256" t="str">
        <v/>
      </c>
      <c r="T432" s="257" t="str">
        <v/>
      </c>
      <c r="U432" s="255" t="str">
        <v/>
      </c>
      <c r="V432" s="256" t="str">
        <v/>
      </c>
      <c r="W432" s="257" t="str">
        <v/>
      </c>
      <c r="X432" s="255" t="str">
        <v/>
      </c>
      <c r="Y432" s="256" t="str">
        <v/>
      </c>
      <c r="Z432" s="257" t="str">
        <v/>
      </c>
      <c r="AA432" s="255" t="str">
        <v/>
      </c>
      <c r="AB432" s="256" t="str">
        <v/>
      </c>
      <c r="AC432" s="257" t="str">
        <v/>
      </c>
      <c r="AD432" s="255" t="str">
        <v/>
      </c>
      <c r="AE432" s="256" t="str">
        <v/>
      </c>
      <c r="AF432" s="257" t="str">
        <v/>
      </c>
      <c r="AG432" s="255" t="str">
        <v/>
      </c>
      <c r="AH432" s="256" t="str">
        <v/>
      </c>
      <c r="AI432" s="257" t="str">
        <v/>
      </c>
      <c r="AJ432" s="255" t="str">
        <v/>
      </c>
      <c r="AK432" s="256" t="str">
        <v/>
      </c>
      <c r="AL432" s="257" t="str">
        <v/>
      </c>
      <c r="AM432" s="255" t="str">
        <v/>
      </c>
      <c r="AN432" s="256" t="str">
        <v/>
      </c>
      <c r="AO432" s="257" t="str">
        <v/>
      </c>
      <c r="AP432" s="255" t="str">
        <v/>
      </c>
      <c r="AQ432" s="256" t="str">
        <v/>
      </c>
      <c r="AR432" s="257" t="str">
        <v/>
      </c>
      <c r="AS432" s="255" t="str">
        <v/>
      </c>
      <c r="AT432" s="256" t="str">
        <v/>
      </c>
      <c r="AU432" s="257" t="str">
        <v/>
      </c>
      <c r="AV432" s="255" t="str">
        <v/>
      </c>
      <c r="AW432" s="256" t="str">
        <v/>
      </c>
      <c r="AX432" s="257" t="str">
        <v/>
      </c>
      <c r="AY432" s="243">
        <v>0</v>
      </c>
      <c r="AZ432" s="244">
        <v>0</v>
      </c>
      <c r="BA432" s="244">
        <v>0</v>
      </c>
      <c r="BB432" s="244">
        <v>0</v>
      </c>
      <c r="BC432" s="244">
        <v>0</v>
      </c>
      <c r="BD432" s="244">
        <v>0</v>
      </c>
      <c r="BE432" s="244">
        <v>0</v>
      </c>
      <c r="BF432" s="244">
        <v>0</v>
      </c>
      <c r="BG432" s="244">
        <v>0</v>
      </c>
      <c r="BH432" s="245">
        <v>0</v>
      </c>
      <c r="BK432">
        <v>374</v>
      </c>
      <c r="BL432" s="281"/>
      <c r="BM432" s="281"/>
      <c r="BN432" s="282"/>
      <c r="BO432" s="282"/>
      <c r="BP432" s="282"/>
      <c r="BQ432" s="283"/>
      <c r="BR432" s="284"/>
      <c r="BS432" s="147"/>
      <c r="BT432" s="285"/>
      <c r="BU432" s="288"/>
      <c r="BV432" s="287"/>
      <c r="BW432" s="288"/>
      <c r="BX432" s="286"/>
      <c r="BY432" s="287"/>
      <c r="BZ432" s="288"/>
      <c r="CA432" s="286"/>
      <c r="CB432" s="286"/>
      <c r="CC432" s="287"/>
      <c r="CD432" s="286"/>
      <c r="CE432" s="286"/>
      <c r="CF432" s="286"/>
      <c r="CG432" s="287"/>
      <c r="CH432" s="288"/>
      <c r="CI432" s="286"/>
      <c r="CJ432" s="286"/>
      <c r="CK432" s="287"/>
      <c r="CL432" s="288"/>
      <c r="CM432" s="286"/>
      <c r="CN432" s="294"/>
      <c r="CO432" s="289"/>
      <c r="CP432" s="290"/>
      <c r="CQ432" s="289"/>
      <c r="CR432" s="290"/>
      <c r="CS432" s="284"/>
      <c r="CT432" s="147"/>
      <c r="CU432" s="291"/>
      <c r="CV432" s="292"/>
    </row>
    <row r="433" spans="2:100">
      <c r="B433">
        <v>375</v>
      </c>
      <c r="C433" s="243" t="str">
        <v/>
      </c>
      <c r="D433" s="592" t="str">
        <v/>
      </c>
      <c r="E433" s="245" t="str">
        <v/>
      </c>
      <c r="F433" s="243" t="str">
        <v/>
      </c>
      <c r="G433" s="245" t="str">
        <v/>
      </c>
      <c r="H433" s="243" t="str">
        <v/>
      </c>
      <c r="I433" s="245" t="str">
        <v/>
      </c>
      <c r="J433" s="242" t="str">
        <v/>
      </c>
      <c r="K433" s="242" t="str">
        <v/>
      </c>
      <c r="L433" s="242" t="str">
        <v/>
      </c>
      <c r="M433" s="243" t="str">
        <v/>
      </c>
      <c r="N433" s="592" t="str">
        <v/>
      </c>
      <c r="O433" s="245" t="str">
        <v/>
      </c>
      <c r="P433" s="245" t="str">
        <v/>
      </c>
      <c r="Q433" s="254" t="str">
        <v/>
      </c>
      <c r="R433" s="255" t="str">
        <v/>
      </c>
      <c r="S433" s="256" t="str">
        <v/>
      </c>
      <c r="T433" s="257" t="str">
        <v/>
      </c>
      <c r="U433" s="255" t="str">
        <v/>
      </c>
      <c r="V433" s="256" t="str">
        <v/>
      </c>
      <c r="W433" s="257" t="str">
        <v/>
      </c>
      <c r="X433" s="255" t="str">
        <v/>
      </c>
      <c r="Y433" s="256" t="str">
        <v/>
      </c>
      <c r="Z433" s="257" t="str">
        <v/>
      </c>
      <c r="AA433" s="255" t="str">
        <v/>
      </c>
      <c r="AB433" s="256" t="str">
        <v/>
      </c>
      <c r="AC433" s="257" t="str">
        <v/>
      </c>
      <c r="AD433" s="255" t="str">
        <v/>
      </c>
      <c r="AE433" s="256" t="str">
        <v/>
      </c>
      <c r="AF433" s="257" t="str">
        <v/>
      </c>
      <c r="AG433" s="255" t="str">
        <v/>
      </c>
      <c r="AH433" s="256" t="str">
        <v/>
      </c>
      <c r="AI433" s="257" t="str">
        <v/>
      </c>
      <c r="AJ433" s="255" t="str">
        <v/>
      </c>
      <c r="AK433" s="256" t="str">
        <v/>
      </c>
      <c r="AL433" s="257" t="str">
        <v/>
      </c>
      <c r="AM433" s="255" t="str">
        <v/>
      </c>
      <c r="AN433" s="256" t="str">
        <v/>
      </c>
      <c r="AO433" s="257" t="str">
        <v/>
      </c>
      <c r="AP433" s="255" t="str">
        <v/>
      </c>
      <c r="AQ433" s="256" t="str">
        <v/>
      </c>
      <c r="AR433" s="257" t="str">
        <v/>
      </c>
      <c r="AS433" s="255" t="str">
        <v/>
      </c>
      <c r="AT433" s="256" t="str">
        <v/>
      </c>
      <c r="AU433" s="257" t="str">
        <v/>
      </c>
      <c r="AV433" s="255" t="str">
        <v/>
      </c>
      <c r="AW433" s="256" t="str">
        <v/>
      </c>
      <c r="AX433" s="257" t="str">
        <v/>
      </c>
      <c r="AY433" s="243">
        <v>0</v>
      </c>
      <c r="AZ433" s="244">
        <v>0</v>
      </c>
      <c r="BA433" s="244">
        <v>0</v>
      </c>
      <c r="BB433" s="244">
        <v>0</v>
      </c>
      <c r="BC433" s="244">
        <v>0</v>
      </c>
      <c r="BD433" s="244">
        <v>0</v>
      </c>
      <c r="BE433" s="244">
        <v>0</v>
      </c>
      <c r="BF433" s="244">
        <v>0</v>
      </c>
      <c r="BG433" s="244">
        <v>0</v>
      </c>
      <c r="BH433" s="245">
        <v>0</v>
      </c>
      <c r="BK433">
        <v>375</v>
      </c>
      <c r="BL433" s="281"/>
      <c r="BM433" s="281"/>
      <c r="BN433" s="282"/>
      <c r="BO433" s="282"/>
      <c r="BP433" s="282"/>
      <c r="BQ433" s="283"/>
      <c r="BR433" s="284"/>
      <c r="BS433" s="147"/>
      <c r="BT433" s="285"/>
      <c r="BU433" s="288"/>
      <c r="BV433" s="287"/>
      <c r="BW433" s="288"/>
      <c r="BX433" s="286"/>
      <c r="BY433" s="287"/>
      <c r="BZ433" s="288"/>
      <c r="CA433" s="286"/>
      <c r="CB433" s="286"/>
      <c r="CC433" s="287"/>
      <c r="CD433" s="286"/>
      <c r="CE433" s="286"/>
      <c r="CF433" s="286"/>
      <c r="CG433" s="287"/>
      <c r="CH433" s="288"/>
      <c r="CI433" s="286"/>
      <c r="CJ433" s="286"/>
      <c r="CK433" s="287"/>
      <c r="CL433" s="288"/>
      <c r="CM433" s="286"/>
      <c r="CN433" s="294"/>
      <c r="CO433" s="289"/>
      <c r="CP433" s="290"/>
      <c r="CQ433" s="289"/>
      <c r="CR433" s="290"/>
      <c r="CS433" s="284"/>
      <c r="CT433" s="147"/>
      <c r="CU433" s="291"/>
      <c r="CV433" s="292"/>
    </row>
    <row r="434" spans="2:100">
      <c r="B434">
        <v>376</v>
      </c>
      <c r="C434" s="243" t="str">
        <v/>
      </c>
      <c r="D434" s="592" t="str">
        <v/>
      </c>
      <c r="E434" s="245" t="str">
        <v/>
      </c>
      <c r="F434" s="243" t="str">
        <v/>
      </c>
      <c r="G434" s="245" t="str">
        <v/>
      </c>
      <c r="H434" s="243" t="str">
        <v/>
      </c>
      <c r="I434" s="245" t="str">
        <v/>
      </c>
      <c r="J434" s="242" t="str">
        <v/>
      </c>
      <c r="K434" s="242" t="str">
        <v/>
      </c>
      <c r="L434" s="242" t="str">
        <v/>
      </c>
      <c r="M434" s="243" t="str">
        <v/>
      </c>
      <c r="N434" s="592" t="str">
        <v/>
      </c>
      <c r="O434" s="245" t="str">
        <v/>
      </c>
      <c r="P434" s="245" t="str">
        <v/>
      </c>
      <c r="Q434" s="254" t="str">
        <v/>
      </c>
      <c r="R434" s="255" t="str">
        <v/>
      </c>
      <c r="S434" s="256" t="str">
        <v/>
      </c>
      <c r="T434" s="257" t="str">
        <v/>
      </c>
      <c r="U434" s="255" t="str">
        <v/>
      </c>
      <c r="V434" s="256" t="str">
        <v/>
      </c>
      <c r="W434" s="257" t="str">
        <v/>
      </c>
      <c r="X434" s="255" t="str">
        <v/>
      </c>
      <c r="Y434" s="256" t="str">
        <v/>
      </c>
      <c r="Z434" s="257" t="str">
        <v/>
      </c>
      <c r="AA434" s="255" t="str">
        <v/>
      </c>
      <c r="AB434" s="256" t="str">
        <v/>
      </c>
      <c r="AC434" s="257" t="str">
        <v/>
      </c>
      <c r="AD434" s="255" t="str">
        <v/>
      </c>
      <c r="AE434" s="256" t="str">
        <v/>
      </c>
      <c r="AF434" s="257" t="str">
        <v/>
      </c>
      <c r="AG434" s="255" t="str">
        <v/>
      </c>
      <c r="AH434" s="256" t="str">
        <v/>
      </c>
      <c r="AI434" s="257" t="str">
        <v/>
      </c>
      <c r="AJ434" s="255" t="str">
        <v/>
      </c>
      <c r="AK434" s="256" t="str">
        <v/>
      </c>
      <c r="AL434" s="257" t="str">
        <v/>
      </c>
      <c r="AM434" s="255" t="str">
        <v/>
      </c>
      <c r="AN434" s="256" t="str">
        <v/>
      </c>
      <c r="AO434" s="257" t="str">
        <v/>
      </c>
      <c r="AP434" s="255" t="str">
        <v/>
      </c>
      <c r="AQ434" s="256" t="str">
        <v/>
      </c>
      <c r="AR434" s="257" t="str">
        <v/>
      </c>
      <c r="AS434" s="255" t="str">
        <v/>
      </c>
      <c r="AT434" s="256" t="str">
        <v/>
      </c>
      <c r="AU434" s="257" t="str">
        <v/>
      </c>
      <c r="AV434" s="255" t="str">
        <v/>
      </c>
      <c r="AW434" s="256" t="str">
        <v/>
      </c>
      <c r="AX434" s="257" t="str">
        <v/>
      </c>
      <c r="AY434" s="243">
        <v>0</v>
      </c>
      <c r="AZ434" s="244">
        <v>0</v>
      </c>
      <c r="BA434" s="244">
        <v>0</v>
      </c>
      <c r="BB434" s="244">
        <v>0</v>
      </c>
      <c r="BC434" s="244">
        <v>0</v>
      </c>
      <c r="BD434" s="244">
        <v>0</v>
      </c>
      <c r="BE434" s="244">
        <v>0</v>
      </c>
      <c r="BF434" s="244">
        <v>0</v>
      </c>
      <c r="BG434" s="244">
        <v>0</v>
      </c>
      <c r="BH434" s="245">
        <v>0</v>
      </c>
      <c r="BK434">
        <v>376</v>
      </c>
      <c r="BL434" s="281"/>
      <c r="BM434" s="281"/>
      <c r="BN434" s="282"/>
      <c r="BO434" s="282"/>
      <c r="BP434" s="282"/>
      <c r="BQ434" s="283"/>
      <c r="BR434" s="284"/>
      <c r="BS434" s="147"/>
      <c r="BT434" s="285"/>
      <c r="BU434" s="288"/>
      <c r="BV434" s="287"/>
      <c r="BW434" s="288"/>
      <c r="BX434" s="286"/>
      <c r="BY434" s="287"/>
      <c r="BZ434" s="288"/>
      <c r="CA434" s="286"/>
      <c r="CB434" s="286"/>
      <c r="CC434" s="287"/>
      <c r="CD434" s="286"/>
      <c r="CE434" s="286"/>
      <c r="CF434" s="286"/>
      <c r="CG434" s="287"/>
      <c r="CH434" s="288"/>
      <c r="CI434" s="286"/>
      <c r="CJ434" s="286"/>
      <c r="CK434" s="287"/>
      <c r="CL434" s="288"/>
      <c r="CM434" s="286"/>
      <c r="CN434" s="294"/>
      <c r="CO434" s="289"/>
      <c r="CP434" s="290"/>
      <c r="CQ434" s="289"/>
      <c r="CR434" s="290"/>
      <c r="CS434" s="284"/>
      <c r="CT434" s="147"/>
      <c r="CU434" s="291"/>
      <c r="CV434" s="292"/>
    </row>
    <row r="435" spans="2:100">
      <c r="B435">
        <v>377</v>
      </c>
      <c r="C435" s="243" t="str">
        <v/>
      </c>
      <c r="D435" s="592" t="str">
        <v/>
      </c>
      <c r="E435" s="245" t="str">
        <v/>
      </c>
      <c r="F435" s="243" t="str">
        <v/>
      </c>
      <c r="G435" s="245" t="str">
        <v/>
      </c>
      <c r="H435" s="243" t="str">
        <v/>
      </c>
      <c r="I435" s="245" t="str">
        <v/>
      </c>
      <c r="J435" s="242" t="str">
        <v/>
      </c>
      <c r="K435" s="242" t="str">
        <v/>
      </c>
      <c r="L435" s="242" t="str">
        <v/>
      </c>
      <c r="M435" s="243" t="str">
        <v/>
      </c>
      <c r="N435" s="592" t="str">
        <v/>
      </c>
      <c r="O435" s="245" t="str">
        <v/>
      </c>
      <c r="P435" s="245" t="str">
        <v/>
      </c>
      <c r="Q435" s="254" t="str">
        <v/>
      </c>
      <c r="R435" s="255" t="str">
        <v/>
      </c>
      <c r="S435" s="256" t="str">
        <v/>
      </c>
      <c r="T435" s="257" t="str">
        <v/>
      </c>
      <c r="U435" s="255" t="str">
        <v/>
      </c>
      <c r="V435" s="256" t="str">
        <v/>
      </c>
      <c r="W435" s="257" t="str">
        <v/>
      </c>
      <c r="X435" s="255" t="str">
        <v/>
      </c>
      <c r="Y435" s="256" t="str">
        <v/>
      </c>
      <c r="Z435" s="257" t="str">
        <v/>
      </c>
      <c r="AA435" s="255" t="str">
        <v/>
      </c>
      <c r="AB435" s="256" t="str">
        <v/>
      </c>
      <c r="AC435" s="257" t="str">
        <v/>
      </c>
      <c r="AD435" s="255" t="str">
        <v/>
      </c>
      <c r="AE435" s="256" t="str">
        <v/>
      </c>
      <c r="AF435" s="257" t="str">
        <v/>
      </c>
      <c r="AG435" s="255" t="str">
        <v/>
      </c>
      <c r="AH435" s="256" t="str">
        <v/>
      </c>
      <c r="AI435" s="257" t="str">
        <v/>
      </c>
      <c r="AJ435" s="255" t="str">
        <v/>
      </c>
      <c r="AK435" s="256" t="str">
        <v/>
      </c>
      <c r="AL435" s="257" t="str">
        <v/>
      </c>
      <c r="AM435" s="255" t="str">
        <v/>
      </c>
      <c r="AN435" s="256" t="str">
        <v/>
      </c>
      <c r="AO435" s="257" t="str">
        <v/>
      </c>
      <c r="AP435" s="255" t="str">
        <v/>
      </c>
      <c r="AQ435" s="256" t="str">
        <v/>
      </c>
      <c r="AR435" s="257" t="str">
        <v/>
      </c>
      <c r="AS435" s="255" t="str">
        <v/>
      </c>
      <c r="AT435" s="256" t="str">
        <v/>
      </c>
      <c r="AU435" s="257" t="str">
        <v/>
      </c>
      <c r="AV435" s="255" t="str">
        <v/>
      </c>
      <c r="AW435" s="256" t="str">
        <v/>
      </c>
      <c r="AX435" s="257" t="str">
        <v/>
      </c>
      <c r="AY435" s="243">
        <v>0</v>
      </c>
      <c r="AZ435" s="244">
        <v>0</v>
      </c>
      <c r="BA435" s="244">
        <v>0</v>
      </c>
      <c r="BB435" s="244">
        <v>0</v>
      </c>
      <c r="BC435" s="244">
        <v>0</v>
      </c>
      <c r="BD435" s="244">
        <v>0</v>
      </c>
      <c r="BE435" s="244">
        <v>0</v>
      </c>
      <c r="BF435" s="244">
        <v>0</v>
      </c>
      <c r="BG435" s="244">
        <v>0</v>
      </c>
      <c r="BH435" s="245">
        <v>0</v>
      </c>
      <c r="BK435">
        <v>377</v>
      </c>
      <c r="BL435" s="281"/>
      <c r="BM435" s="281"/>
      <c r="BN435" s="282"/>
      <c r="BO435" s="282"/>
      <c r="BP435" s="282"/>
      <c r="BQ435" s="283"/>
      <c r="BR435" s="284"/>
      <c r="BS435" s="147"/>
      <c r="BT435" s="285"/>
      <c r="BU435" s="288"/>
      <c r="BV435" s="287"/>
      <c r="BW435" s="288"/>
      <c r="BX435" s="286"/>
      <c r="BY435" s="287"/>
      <c r="BZ435" s="288"/>
      <c r="CA435" s="286"/>
      <c r="CB435" s="286"/>
      <c r="CC435" s="287"/>
      <c r="CD435" s="286"/>
      <c r="CE435" s="286"/>
      <c r="CF435" s="286"/>
      <c r="CG435" s="287"/>
      <c r="CH435" s="288"/>
      <c r="CI435" s="286"/>
      <c r="CJ435" s="286"/>
      <c r="CK435" s="287"/>
      <c r="CL435" s="288"/>
      <c r="CM435" s="286"/>
      <c r="CN435" s="294"/>
      <c r="CO435" s="289"/>
      <c r="CP435" s="290"/>
      <c r="CQ435" s="289"/>
      <c r="CR435" s="290"/>
      <c r="CS435" s="284"/>
      <c r="CT435" s="147"/>
      <c r="CU435" s="291"/>
      <c r="CV435" s="292"/>
    </row>
    <row r="436" spans="2:100">
      <c r="B436">
        <v>378</v>
      </c>
      <c r="C436" s="243" t="str">
        <v/>
      </c>
      <c r="D436" s="592" t="str">
        <v/>
      </c>
      <c r="E436" s="245" t="str">
        <v/>
      </c>
      <c r="F436" s="243" t="str">
        <v/>
      </c>
      <c r="G436" s="245" t="str">
        <v/>
      </c>
      <c r="H436" s="243" t="str">
        <v/>
      </c>
      <c r="I436" s="245" t="str">
        <v/>
      </c>
      <c r="J436" s="242" t="str">
        <v/>
      </c>
      <c r="K436" s="242" t="str">
        <v/>
      </c>
      <c r="L436" s="242" t="str">
        <v/>
      </c>
      <c r="M436" s="243" t="str">
        <v/>
      </c>
      <c r="N436" s="592" t="str">
        <v/>
      </c>
      <c r="O436" s="245" t="str">
        <v/>
      </c>
      <c r="P436" s="245" t="str">
        <v/>
      </c>
      <c r="Q436" s="254" t="str">
        <v/>
      </c>
      <c r="R436" s="255" t="str">
        <v/>
      </c>
      <c r="S436" s="256" t="str">
        <v/>
      </c>
      <c r="T436" s="257" t="str">
        <v/>
      </c>
      <c r="U436" s="255" t="str">
        <v/>
      </c>
      <c r="V436" s="256" t="str">
        <v/>
      </c>
      <c r="W436" s="257" t="str">
        <v/>
      </c>
      <c r="X436" s="255" t="str">
        <v/>
      </c>
      <c r="Y436" s="256" t="str">
        <v/>
      </c>
      <c r="Z436" s="257" t="str">
        <v/>
      </c>
      <c r="AA436" s="255" t="str">
        <v/>
      </c>
      <c r="AB436" s="256" t="str">
        <v/>
      </c>
      <c r="AC436" s="257" t="str">
        <v/>
      </c>
      <c r="AD436" s="255" t="str">
        <v/>
      </c>
      <c r="AE436" s="256" t="str">
        <v/>
      </c>
      <c r="AF436" s="257" t="str">
        <v/>
      </c>
      <c r="AG436" s="255" t="str">
        <v/>
      </c>
      <c r="AH436" s="256" t="str">
        <v/>
      </c>
      <c r="AI436" s="257" t="str">
        <v/>
      </c>
      <c r="AJ436" s="255" t="str">
        <v/>
      </c>
      <c r="AK436" s="256" t="str">
        <v/>
      </c>
      <c r="AL436" s="257" t="str">
        <v/>
      </c>
      <c r="AM436" s="255" t="str">
        <v/>
      </c>
      <c r="AN436" s="256" t="str">
        <v/>
      </c>
      <c r="AO436" s="257" t="str">
        <v/>
      </c>
      <c r="AP436" s="255" t="str">
        <v/>
      </c>
      <c r="AQ436" s="256" t="str">
        <v/>
      </c>
      <c r="AR436" s="257" t="str">
        <v/>
      </c>
      <c r="AS436" s="255" t="str">
        <v/>
      </c>
      <c r="AT436" s="256" t="str">
        <v/>
      </c>
      <c r="AU436" s="257" t="str">
        <v/>
      </c>
      <c r="AV436" s="255" t="str">
        <v/>
      </c>
      <c r="AW436" s="256" t="str">
        <v/>
      </c>
      <c r="AX436" s="257" t="str">
        <v/>
      </c>
      <c r="AY436" s="243">
        <v>0</v>
      </c>
      <c r="AZ436" s="244">
        <v>0</v>
      </c>
      <c r="BA436" s="244">
        <v>0</v>
      </c>
      <c r="BB436" s="244">
        <v>0</v>
      </c>
      <c r="BC436" s="244">
        <v>0</v>
      </c>
      <c r="BD436" s="244">
        <v>0</v>
      </c>
      <c r="BE436" s="244">
        <v>0</v>
      </c>
      <c r="BF436" s="244">
        <v>0</v>
      </c>
      <c r="BG436" s="244">
        <v>0</v>
      </c>
      <c r="BH436" s="245">
        <v>0</v>
      </c>
      <c r="BK436">
        <v>378</v>
      </c>
      <c r="BL436" s="281"/>
      <c r="BM436" s="281"/>
      <c r="BN436" s="282"/>
      <c r="BO436" s="282"/>
      <c r="BP436" s="282"/>
      <c r="BQ436" s="283"/>
      <c r="BR436" s="284"/>
      <c r="BS436" s="147"/>
      <c r="BT436" s="285"/>
      <c r="BU436" s="288"/>
      <c r="BV436" s="287"/>
      <c r="BW436" s="288"/>
      <c r="BX436" s="286"/>
      <c r="BY436" s="287"/>
      <c r="BZ436" s="288"/>
      <c r="CA436" s="286"/>
      <c r="CB436" s="286"/>
      <c r="CC436" s="287"/>
      <c r="CD436" s="286"/>
      <c r="CE436" s="286"/>
      <c r="CF436" s="286"/>
      <c r="CG436" s="287"/>
      <c r="CH436" s="288"/>
      <c r="CI436" s="286"/>
      <c r="CJ436" s="286"/>
      <c r="CK436" s="287"/>
      <c r="CL436" s="288"/>
      <c r="CM436" s="286"/>
      <c r="CN436" s="294"/>
      <c r="CO436" s="289"/>
      <c r="CP436" s="290"/>
      <c r="CQ436" s="289"/>
      <c r="CR436" s="290"/>
      <c r="CS436" s="284"/>
      <c r="CT436" s="147"/>
      <c r="CU436" s="291"/>
      <c r="CV436" s="292"/>
    </row>
    <row r="437" spans="2:100">
      <c r="B437">
        <v>379</v>
      </c>
      <c r="C437" s="243" t="str">
        <v/>
      </c>
      <c r="D437" s="592" t="str">
        <v/>
      </c>
      <c r="E437" s="245" t="str">
        <v/>
      </c>
      <c r="F437" s="243" t="str">
        <v/>
      </c>
      <c r="G437" s="245" t="str">
        <v/>
      </c>
      <c r="H437" s="243" t="str">
        <v/>
      </c>
      <c r="I437" s="245" t="str">
        <v/>
      </c>
      <c r="J437" s="242" t="str">
        <v/>
      </c>
      <c r="K437" s="242" t="str">
        <v/>
      </c>
      <c r="L437" s="242" t="str">
        <v/>
      </c>
      <c r="M437" s="243" t="str">
        <v/>
      </c>
      <c r="N437" s="592" t="str">
        <v/>
      </c>
      <c r="O437" s="245" t="str">
        <v/>
      </c>
      <c r="P437" s="245" t="str">
        <v/>
      </c>
      <c r="Q437" s="254" t="str">
        <v/>
      </c>
      <c r="R437" s="255" t="str">
        <v/>
      </c>
      <c r="S437" s="256" t="str">
        <v/>
      </c>
      <c r="T437" s="257" t="str">
        <v/>
      </c>
      <c r="U437" s="255" t="str">
        <v/>
      </c>
      <c r="V437" s="256" t="str">
        <v/>
      </c>
      <c r="W437" s="257" t="str">
        <v/>
      </c>
      <c r="X437" s="255" t="str">
        <v/>
      </c>
      <c r="Y437" s="256" t="str">
        <v/>
      </c>
      <c r="Z437" s="257" t="str">
        <v/>
      </c>
      <c r="AA437" s="255" t="str">
        <v/>
      </c>
      <c r="AB437" s="256" t="str">
        <v/>
      </c>
      <c r="AC437" s="257" t="str">
        <v/>
      </c>
      <c r="AD437" s="255" t="str">
        <v/>
      </c>
      <c r="AE437" s="256" t="str">
        <v/>
      </c>
      <c r="AF437" s="257" t="str">
        <v/>
      </c>
      <c r="AG437" s="255" t="str">
        <v/>
      </c>
      <c r="AH437" s="256" t="str">
        <v/>
      </c>
      <c r="AI437" s="257" t="str">
        <v/>
      </c>
      <c r="AJ437" s="255" t="str">
        <v/>
      </c>
      <c r="AK437" s="256" t="str">
        <v/>
      </c>
      <c r="AL437" s="257" t="str">
        <v/>
      </c>
      <c r="AM437" s="255" t="str">
        <v/>
      </c>
      <c r="AN437" s="256" t="str">
        <v/>
      </c>
      <c r="AO437" s="257" t="str">
        <v/>
      </c>
      <c r="AP437" s="255" t="str">
        <v/>
      </c>
      <c r="AQ437" s="256" t="str">
        <v/>
      </c>
      <c r="AR437" s="257" t="str">
        <v/>
      </c>
      <c r="AS437" s="255" t="str">
        <v/>
      </c>
      <c r="AT437" s="256" t="str">
        <v/>
      </c>
      <c r="AU437" s="257" t="str">
        <v/>
      </c>
      <c r="AV437" s="255" t="str">
        <v/>
      </c>
      <c r="AW437" s="256" t="str">
        <v/>
      </c>
      <c r="AX437" s="257" t="str">
        <v/>
      </c>
      <c r="AY437" s="243">
        <v>0</v>
      </c>
      <c r="AZ437" s="244">
        <v>0</v>
      </c>
      <c r="BA437" s="244">
        <v>0</v>
      </c>
      <c r="BB437" s="244">
        <v>0</v>
      </c>
      <c r="BC437" s="244">
        <v>0</v>
      </c>
      <c r="BD437" s="244">
        <v>0</v>
      </c>
      <c r="BE437" s="244">
        <v>0</v>
      </c>
      <c r="BF437" s="244">
        <v>0</v>
      </c>
      <c r="BG437" s="244">
        <v>0</v>
      </c>
      <c r="BH437" s="245">
        <v>0</v>
      </c>
      <c r="BK437">
        <v>379</v>
      </c>
      <c r="BL437" s="281"/>
      <c r="BM437" s="281"/>
      <c r="BN437" s="282"/>
      <c r="BO437" s="282"/>
      <c r="BP437" s="282"/>
      <c r="BQ437" s="283"/>
      <c r="BR437" s="284"/>
      <c r="BS437" s="147"/>
      <c r="BT437" s="285"/>
      <c r="BU437" s="288"/>
      <c r="BV437" s="287"/>
      <c r="BW437" s="288"/>
      <c r="BX437" s="286"/>
      <c r="BY437" s="287"/>
      <c r="BZ437" s="288"/>
      <c r="CA437" s="286"/>
      <c r="CB437" s="286"/>
      <c r="CC437" s="287"/>
      <c r="CD437" s="286"/>
      <c r="CE437" s="286"/>
      <c r="CF437" s="286"/>
      <c r="CG437" s="287"/>
      <c r="CH437" s="288"/>
      <c r="CI437" s="286"/>
      <c r="CJ437" s="286"/>
      <c r="CK437" s="287"/>
      <c r="CL437" s="288"/>
      <c r="CM437" s="286"/>
      <c r="CN437" s="294"/>
      <c r="CO437" s="289"/>
      <c r="CP437" s="290"/>
      <c r="CQ437" s="289"/>
      <c r="CR437" s="290"/>
      <c r="CS437" s="284"/>
      <c r="CT437" s="147"/>
      <c r="CU437" s="291"/>
      <c r="CV437" s="292"/>
    </row>
    <row r="438" spans="2:100">
      <c r="B438">
        <v>380</v>
      </c>
      <c r="C438" s="243" t="str">
        <v/>
      </c>
      <c r="D438" s="592" t="str">
        <v/>
      </c>
      <c r="E438" s="245" t="str">
        <v/>
      </c>
      <c r="F438" s="243" t="str">
        <v/>
      </c>
      <c r="G438" s="245" t="str">
        <v/>
      </c>
      <c r="H438" s="243" t="str">
        <v/>
      </c>
      <c r="I438" s="245" t="str">
        <v/>
      </c>
      <c r="J438" s="242" t="str">
        <v/>
      </c>
      <c r="K438" s="242" t="str">
        <v/>
      </c>
      <c r="L438" s="242" t="str">
        <v/>
      </c>
      <c r="M438" s="243" t="str">
        <v/>
      </c>
      <c r="N438" s="592" t="str">
        <v/>
      </c>
      <c r="O438" s="245" t="str">
        <v/>
      </c>
      <c r="P438" s="245" t="str">
        <v/>
      </c>
      <c r="Q438" s="254" t="str">
        <v/>
      </c>
      <c r="R438" s="255" t="str">
        <v/>
      </c>
      <c r="S438" s="256" t="str">
        <v/>
      </c>
      <c r="T438" s="257" t="str">
        <v/>
      </c>
      <c r="U438" s="255" t="str">
        <v/>
      </c>
      <c r="V438" s="256" t="str">
        <v/>
      </c>
      <c r="W438" s="257" t="str">
        <v/>
      </c>
      <c r="X438" s="255" t="str">
        <v/>
      </c>
      <c r="Y438" s="256" t="str">
        <v/>
      </c>
      <c r="Z438" s="257" t="str">
        <v/>
      </c>
      <c r="AA438" s="255" t="str">
        <v/>
      </c>
      <c r="AB438" s="256" t="str">
        <v/>
      </c>
      <c r="AC438" s="257" t="str">
        <v/>
      </c>
      <c r="AD438" s="255" t="str">
        <v/>
      </c>
      <c r="AE438" s="256" t="str">
        <v/>
      </c>
      <c r="AF438" s="257" t="str">
        <v/>
      </c>
      <c r="AG438" s="255" t="str">
        <v/>
      </c>
      <c r="AH438" s="256" t="str">
        <v/>
      </c>
      <c r="AI438" s="257" t="str">
        <v/>
      </c>
      <c r="AJ438" s="255" t="str">
        <v/>
      </c>
      <c r="AK438" s="256" t="str">
        <v/>
      </c>
      <c r="AL438" s="257" t="str">
        <v/>
      </c>
      <c r="AM438" s="255" t="str">
        <v/>
      </c>
      <c r="AN438" s="256" t="str">
        <v/>
      </c>
      <c r="AO438" s="257" t="str">
        <v/>
      </c>
      <c r="AP438" s="255" t="str">
        <v/>
      </c>
      <c r="AQ438" s="256" t="str">
        <v/>
      </c>
      <c r="AR438" s="257" t="str">
        <v/>
      </c>
      <c r="AS438" s="255" t="str">
        <v/>
      </c>
      <c r="AT438" s="256" t="str">
        <v/>
      </c>
      <c r="AU438" s="257" t="str">
        <v/>
      </c>
      <c r="AV438" s="255" t="str">
        <v/>
      </c>
      <c r="AW438" s="256" t="str">
        <v/>
      </c>
      <c r="AX438" s="257" t="str">
        <v/>
      </c>
      <c r="AY438" s="243">
        <v>0</v>
      </c>
      <c r="AZ438" s="244">
        <v>0</v>
      </c>
      <c r="BA438" s="244">
        <v>0</v>
      </c>
      <c r="BB438" s="244">
        <v>0</v>
      </c>
      <c r="BC438" s="244">
        <v>0</v>
      </c>
      <c r="BD438" s="244">
        <v>0</v>
      </c>
      <c r="BE438" s="244">
        <v>0</v>
      </c>
      <c r="BF438" s="244">
        <v>0</v>
      </c>
      <c r="BG438" s="244">
        <v>0</v>
      </c>
      <c r="BH438" s="245">
        <v>0</v>
      </c>
      <c r="BK438">
        <v>380</v>
      </c>
      <c r="BL438" s="281"/>
      <c r="BM438" s="281"/>
      <c r="BN438" s="282"/>
      <c r="BO438" s="282"/>
      <c r="BP438" s="282"/>
      <c r="BQ438" s="283"/>
      <c r="BR438" s="284"/>
      <c r="BS438" s="147"/>
      <c r="BT438" s="285"/>
      <c r="BU438" s="288"/>
      <c r="BV438" s="287"/>
      <c r="BW438" s="288"/>
      <c r="BX438" s="286"/>
      <c r="BY438" s="287"/>
      <c r="BZ438" s="288"/>
      <c r="CA438" s="286"/>
      <c r="CB438" s="286"/>
      <c r="CC438" s="287"/>
      <c r="CD438" s="286"/>
      <c r="CE438" s="286"/>
      <c r="CF438" s="286"/>
      <c r="CG438" s="287"/>
      <c r="CH438" s="288"/>
      <c r="CI438" s="286"/>
      <c r="CJ438" s="286"/>
      <c r="CK438" s="287"/>
      <c r="CL438" s="288"/>
      <c r="CM438" s="286"/>
      <c r="CN438" s="294"/>
      <c r="CO438" s="289"/>
      <c r="CP438" s="290"/>
      <c r="CQ438" s="289"/>
      <c r="CR438" s="290"/>
      <c r="CS438" s="284"/>
      <c r="CT438" s="147"/>
      <c r="CU438" s="291"/>
      <c r="CV438" s="292"/>
    </row>
    <row r="439" spans="2:100">
      <c r="B439">
        <v>381</v>
      </c>
      <c r="C439" s="243" t="str">
        <v/>
      </c>
      <c r="D439" s="592" t="str">
        <v/>
      </c>
      <c r="E439" s="245" t="str">
        <v/>
      </c>
      <c r="F439" s="243" t="str">
        <v/>
      </c>
      <c r="G439" s="245" t="str">
        <v/>
      </c>
      <c r="H439" s="243" t="str">
        <v/>
      </c>
      <c r="I439" s="245" t="str">
        <v/>
      </c>
      <c r="J439" s="242" t="str">
        <v/>
      </c>
      <c r="K439" s="242" t="str">
        <v/>
      </c>
      <c r="L439" s="242" t="str">
        <v/>
      </c>
      <c r="M439" s="243" t="str">
        <v/>
      </c>
      <c r="N439" s="592" t="str">
        <v/>
      </c>
      <c r="O439" s="245" t="str">
        <v/>
      </c>
      <c r="P439" s="245" t="str">
        <v/>
      </c>
      <c r="Q439" s="254" t="str">
        <v/>
      </c>
      <c r="R439" s="255" t="str">
        <v/>
      </c>
      <c r="S439" s="256" t="str">
        <v/>
      </c>
      <c r="T439" s="257" t="str">
        <v/>
      </c>
      <c r="U439" s="255" t="str">
        <v/>
      </c>
      <c r="V439" s="256" t="str">
        <v/>
      </c>
      <c r="W439" s="257" t="str">
        <v/>
      </c>
      <c r="X439" s="255" t="str">
        <v/>
      </c>
      <c r="Y439" s="256" t="str">
        <v/>
      </c>
      <c r="Z439" s="257" t="str">
        <v/>
      </c>
      <c r="AA439" s="255" t="str">
        <v/>
      </c>
      <c r="AB439" s="256" t="str">
        <v/>
      </c>
      <c r="AC439" s="257" t="str">
        <v/>
      </c>
      <c r="AD439" s="255" t="str">
        <v/>
      </c>
      <c r="AE439" s="256" t="str">
        <v/>
      </c>
      <c r="AF439" s="257" t="str">
        <v/>
      </c>
      <c r="AG439" s="255" t="str">
        <v/>
      </c>
      <c r="AH439" s="256" t="str">
        <v/>
      </c>
      <c r="AI439" s="257" t="str">
        <v/>
      </c>
      <c r="AJ439" s="255" t="str">
        <v/>
      </c>
      <c r="AK439" s="256" t="str">
        <v/>
      </c>
      <c r="AL439" s="257" t="str">
        <v/>
      </c>
      <c r="AM439" s="255" t="str">
        <v/>
      </c>
      <c r="AN439" s="256" t="str">
        <v/>
      </c>
      <c r="AO439" s="257" t="str">
        <v/>
      </c>
      <c r="AP439" s="255" t="str">
        <v/>
      </c>
      <c r="AQ439" s="256" t="str">
        <v/>
      </c>
      <c r="AR439" s="257" t="str">
        <v/>
      </c>
      <c r="AS439" s="255" t="str">
        <v/>
      </c>
      <c r="AT439" s="256" t="str">
        <v/>
      </c>
      <c r="AU439" s="257" t="str">
        <v/>
      </c>
      <c r="AV439" s="255" t="str">
        <v/>
      </c>
      <c r="AW439" s="256" t="str">
        <v/>
      </c>
      <c r="AX439" s="257" t="str">
        <v/>
      </c>
      <c r="AY439" s="243">
        <v>0</v>
      </c>
      <c r="AZ439" s="244">
        <v>0</v>
      </c>
      <c r="BA439" s="244">
        <v>0</v>
      </c>
      <c r="BB439" s="244">
        <v>0</v>
      </c>
      <c r="BC439" s="244">
        <v>0</v>
      </c>
      <c r="BD439" s="244">
        <v>0</v>
      </c>
      <c r="BE439" s="244">
        <v>0</v>
      </c>
      <c r="BF439" s="244">
        <v>0</v>
      </c>
      <c r="BG439" s="244">
        <v>0</v>
      </c>
      <c r="BH439" s="245">
        <v>0</v>
      </c>
      <c r="BK439">
        <v>381</v>
      </c>
      <c r="BL439" s="281"/>
      <c r="BM439" s="281"/>
      <c r="BN439" s="282"/>
      <c r="BO439" s="282"/>
      <c r="BP439" s="282"/>
      <c r="BQ439" s="283"/>
      <c r="BR439" s="284"/>
      <c r="BS439" s="147"/>
      <c r="BT439" s="285"/>
      <c r="BU439" s="288"/>
      <c r="BV439" s="287"/>
      <c r="BW439" s="288"/>
      <c r="BX439" s="286"/>
      <c r="BY439" s="287"/>
      <c r="BZ439" s="288"/>
      <c r="CA439" s="286"/>
      <c r="CB439" s="286"/>
      <c r="CC439" s="287"/>
      <c r="CD439" s="286"/>
      <c r="CE439" s="286"/>
      <c r="CF439" s="286"/>
      <c r="CG439" s="287"/>
      <c r="CH439" s="288"/>
      <c r="CI439" s="286"/>
      <c r="CJ439" s="286"/>
      <c r="CK439" s="287"/>
      <c r="CL439" s="288"/>
      <c r="CM439" s="286"/>
      <c r="CN439" s="294"/>
      <c r="CO439" s="289"/>
      <c r="CP439" s="290"/>
      <c r="CQ439" s="289"/>
      <c r="CR439" s="290"/>
      <c r="CS439" s="284"/>
      <c r="CT439" s="147"/>
      <c r="CU439" s="291"/>
      <c r="CV439" s="292"/>
    </row>
    <row r="440" spans="2:100">
      <c r="B440">
        <v>382</v>
      </c>
      <c r="C440" s="243" t="str">
        <v/>
      </c>
      <c r="D440" s="592" t="str">
        <v/>
      </c>
      <c r="E440" s="245" t="str">
        <v/>
      </c>
      <c r="F440" s="243" t="str">
        <v/>
      </c>
      <c r="G440" s="245" t="str">
        <v/>
      </c>
      <c r="H440" s="243" t="str">
        <v/>
      </c>
      <c r="I440" s="245" t="str">
        <v/>
      </c>
      <c r="J440" s="242" t="str">
        <v/>
      </c>
      <c r="K440" s="242" t="str">
        <v/>
      </c>
      <c r="L440" s="242" t="str">
        <v/>
      </c>
      <c r="M440" s="243" t="str">
        <v/>
      </c>
      <c r="N440" s="592" t="str">
        <v/>
      </c>
      <c r="O440" s="245" t="str">
        <v/>
      </c>
      <c r="P440" s="245" t="str">
        <v/>
      </c>
      <c r="Q440" s="254" t="str">
        <v/>
      </c>
      <c r="R440" s="255" t="str">
        <v/>
      </c>
      <c r="S440" s="256" t="str">
        <v/>
      </c>
      <c r="T440" s="257" t="str">
        <v/>
      </c>
      <c r="U440" s="255" t="str">
        <v/>
      </c>
      <c r="V440" s="256" t="str">
        <v/>
      </c>
      <c r="W440" s="257" t="str">
        <v/>
      </c>
      <c r="X440" s="255" t="str">
        <v/>
      </c>
      <c r="Y440" s="256" t="str">
        <v/>
      </c>
      <c r="Z440" s="257" t="str">
        <v/>
      </c>
      <c r="AA440" s="255" t="str">
        <v/>
      </c>
      <c r="AB440" s="256" t="str">
        <v/>
      </c>
      <c r="AC440" s="257" t="str">
        <v/>
      </c>
      <c r="AD440" s="255" t="str">
        <v/>
      </c>
      <c r="AE440" s="256" t="str">
        <v/>
      </c>
      <c r="AF440" s="257" t="str">
        <v/>
      </c>
      <c r="AG440" s="255" t="str">
        <v/>
      </c>
      <c r="AH440" s="256" t="str">
        <v/>
      </c>
      <c r="AI440" s="257" t="str">
        <v/>
      </c>
      <c r="AJ440" s="255" t="str">
        <v/>
      </c>
      <c r="AK440" s="256" t="str">
        <v/>
      </c>
      <c r="AL440" s="257" t="str">
        <v/>
      </c>
      <c r="AM440" s="255" t="str">
        <v/>
      </c>
      <c r="AN440" s="256" t="str">
        <v/>
      </c>
      <c r="AO440" s="257" t="str">
        <v/>
      </c>
      <c r="AP440" s="255" t="str">
        <v/>
      </c>
      <c r="AQ440" s="256" t="str">
        <v/>
      </c>
      <c r="AR440" s="257" t="str">
        <v/>
      </c>
      <c r="AS440" s="255" t="str">
        <v/>
      </c>
      <c r="AT440" s="256" t="str">
        <v/>
      </c>
      <c r="AU440" s="257" t="str">
        <v/>
      </c>
      <c r="AV440" s="255" t="str">
        <v/>
      </c>
      <c r="AW440" s="256" t="str">
        <v/>
      </c>
      <c r="AX440" s="257" t="str">
        <v/>
      </c>
      <c r="AY440" s="243">
        <v>0</v>
      </c>
      <c r="AZ440" s="244">
        <v>0</v>
      </c>
      <c r="BA440" s="244">
        <v>0</v>
      </c>
      <c r="BB440" s="244">
        <v>0</v>
      </c>
      <c r="BC440" s="244">
        <v>0</v>
      </c>
      <c r="BD440" s="244">
        <v>0</v>
      </c>
      <c r="BE440" s="244">
        <v>0</v>
      </c>
      <c r="BF440" s="244">
        <v>0</v>
      </c>
      <c r="BG440" s="244">
        <v>0</v>
      </c>
      <c r="BH440" s="245">
        <v>0</v>
      </c>
      <c r="BK440">
        <v>382</v>
      </c>
      <c r="BL440" s="281"/>
      <c r="BM440" s="281"/>
      <c r="BN440" s="282"/>
      <c r="BO440" s="282"/>
      <c r="BP440" s="282"/>
      <c r="BQ440" s="283"/>
      <c r="BR440" s="284"/>
      <c r="BS440" s="147"/>
      <c r="BT440" s="285"/>
      <c r="BU440" s="288"/>
      <c r="BV440" s="287"/>
      <c r="BW440" s="288"/>
      <c r="BX440" s="286"/>
      <c r="BY440" s="287"/>
      <c r="BZ440" s="288"/>
      <c r="CA440" s="286"/>
      <c r="CB440" s="286"/>
      <c r="CC440" s="287"/>
      <c r="CD440" s="286"/>
      <c r="CE440" s="286"/>
      <c r="CF440" s="286"/>
      <c r="CG440" s="287"/>
      <c r="CH440" s="288"/>
      <c r="CI440" s="286"/>
      <c r="CJ440" s="286"/>
      <c r="CK440" s="287"/>
      <c r="CL440" s="288"/>
      <c r="CM440" s="286"/>
      <c r="CN440" s="294"/>
      <c r="CO440" s="289"/>
      <c r="CP440" s="290"/>
      <c r="CQ440" s="289"/>
      <c r="CR440" s="290"/>
      <c r="CS440" s="284"/>
      <c r="CT440" s="147"/>
      <c r="CU440" s="291"/>
      <c r="CV440" s="292"/>
    </row>
    <row r="441" spans="2:100">
      <c r="B441">
        <v>383</v>
      </c>
      <c r="C441" s="243" t="str">
        <v/>
      </c>
      <c r="D441" s="592" t="str">
        <v/>
      </c>
      <c r="E441" s="245" t="str">
        <v/>
      </c>
      <c r="F441" s="243" t="str">
        <v/>
      </c>
      <c r="G441" s="245" t="str">
        <v/>
      </c>
      <c r="H441" s="243" t="str">
        <v/>
      </c>
      <c r="I441" s="245" t="str">
        <v/>
      </c>
      <c r="J441" s="242" t="str">
        <v/>
      </c>
      <c r="K441" s="242" t="str">
        <v/>
      </c>
      <c r="L441" s="242" t="str">
        <v/>
      </c>
      <c r="M441" s="243" t="str">
        <v/>
      </c>
      <c r="N441" s="592" t="str">
        <v/>
      </c>
      <c r="O441" s="245" t="str">
        <v/>
      </c>
      <c r="P441" s="245" t="str">
        <v/>
      </c>
      <c r="Q441" s="254" t="str">
        <v/>
      </c>
      <c r="R441" s="255" t="str">
        <v/>
      </c>
      <c r="S441" s="256" t="str">
        <v/>
      </c>
      <c r="T441" s="257" t="str">
        <v/>
      </c>
      <c r="U441" s="255" t="str">
        <v/>
      </c>
      <c r="V441" s="256" t="str">
        <v/>
      </c>
      <c r="W441" s="257" t="str">
        <v/>
      </c>
      <c r="X441" s="255" t="str">
        <v/>
      </c>
      <c r="Y441" s="256" t="str">
        <v/>
      </c>
      <c r="Z441" s="257" t="str">
        <v/>
      </c>
      <c r="AA441" s="255" t="str">
        <v/>
      </c>
      <c r="AB441" s="256" t="str">
        <v/>
      </c>
      <c r="AC441" s="257" t="str">
        <v/>
      </c>
      <c r="AD441" s="255" t="str">
        <v/>
      </c>
      <c r="AE441" s="256" t="str">
        <v/>
      </c>
      <c r="AF441" s="257" t="str">
        <v/>
      </c>
      <c r="AG441" s="255" t="str">
        <v/>
      </c>
      <c r="AH441" s="256" t="str">
        <v/>
      </c>
      <c r="AI441" s="257" t="str">
        <v/>
      </c>
      <c r="AJ441" s="255" t="str">
        <v/>
      </c>
      <c r="AK441" s="256" t="str">
        <v/>
      </c>
      <c r="AL441" s="257" t="str">
        <v/>
      </c>
      <c r="AM441" s="255" t="str">
        <v/>
      </c>
      <c r="AN441" s="256" t="str">
        <v/>
      </c>
      <c r="AO441" s="257" t="str">
        <v/>
      </c>
      <c r="AP441" s="255" t="str">
        <v/>
      </c>
      <c r="AQ441" s="256" t="str">
        <v/>
      </c>
      <c r="AR441" s="257" t="str">
        <v/>
      </c>
      <c r="AS441" s="255" t="str">
        <v/>
      </c>
      <c r="AT441" s="256" t="str">
        <v/>
      </c>
      <c r="AU441" s="257" t="str">
        <v/>
      </c>
      <c r="AV441" s="255" t="str">
        <v/>
      </c>
      <c r="AW441" s="256" t="str">
        <v/>
      </c>
      <c r="AX441" s="257" t="str">
        <v/>
      </c>
      <c r="AY441" s="243">
        <v>0</v>
      </c>
      <c r="AZ441" s="244">
        <v>0</v>
      </c>
      <c r="BA441" s="244">
        <v>0</v>
      </c>
      <c r="BB441" s="244">
        <v>0</v>
      </c>
      <c r="BC441" s="244">
        <v>0</v>
      </c>
      <c r="BD441" s="244">
        <v>0</v>
      </c>
      <c r="BE441" s="244">
        <v>0</v>
      </c>
      <c r="BF441" s="244">
        <v>0</v>
      </c>
      <c r="BG441" s="244">
        <v>0</v>
      </c>
      <c r="BH441" s="245">
        <v>0</v>
      </c>
      <c r="BK441">
        <v>383</v>
      </c>
      <c r="BL441" s="281"/>
      <c r="BM441" s="281"/>
      <c r="BN441" s="282"/>
      <c r="BO441" s="282"/>
      <c r="BP441" s="282"/>
      <c r="BQ441" s="283"/>
      <c r="BR441" s="284"/>
      <c r="BS441" s="147"/>
      <c r="BT441" s="285"/>
      <c r="BU441" s="288"/>
      <c r="BV441" s="287"/>
      <c r="BW441" s="288"/>
      <c r="BX441" s="286"/>
      <c r="BY441" s="287"/>
      <c r="BZ441" s="288"/>
      <c r="CA441" s="286"/>
      <c r="CB441" s="286"/>
      <c r="CC441" s="287"/>
      <c r="CD441" s="286"/>
      <c r="CE441" s="286"/>
      <c r="CF441" s="286"/>
      <c r="CG441" s="287"/>
      <c r="CH441" s="288"/>
      <c r="CI441" s="286"/>
      <c r="CJ441" s="286"/>
      <c r="CK441" s="287"/>
      <c r="CL441" s="288"/>
      <c r="CM441" s="286"/>
      <c r="CN441" s="294"/>
      <c r="CO441" s="289"/>
      <c r="CP441" s="290"/>
      <c r="CQ441" s="289"/>
      <c r="CR441" s="290"/>
      <c r="CS441" s="284"/>
      <c r="CT441" s="147"/>
      <c r="CU441" s="291"/>
      <c r="CV441" s="292"/>
    </row>
    <row r="442" spans="2:100">
      <c r="B442">
        <v>384</v>
      </c>
      <c r="C442" s="243" t="str">
        <v/>
      </c>
      <c r="D442" s="592" t="str">
        <v/>
      </c>
      <c r="E442" s="245" t="str">
        <v/>
      </c>
      <c r="F442" s="243" t="str">
        <v/>
      </c>
      <c r="G442" s="245" t="str">
        <v/>
      </c>
      <c r="H442" s="243" t="str">
        <v/>
      </c>
      <c r="I442" s="245" t="str">
        <v/>
      </c>
      <c r="J442" s="242" t="str">
        <v/>
      </c>
      <c r="K442" s="242" t="str">
        <v/>
      </c>
      <c r="L442" s="242" t="str">
        <v/>
      </c>
      <c r="M442" s="243" t="str">
        <v/>
      </c>
      <c r="N442" s="592" t="str">
        <v/>
      </c>
      <c r="O442" s="245" t="str">
        <v/>
      </c>
      <c r="P442" s="245" t="str">
        <v/>
      </c>
      <c r="Q442" s="254" t="str">
        <v/>
      </c>
      <c r="R442" s="255" t="str">
        <v/>
      </c>
      <c r="S442" s="256" t="str">
        <v/>
      </c>
      <c r="T442" s="257" t="str">
        <v/>
      </c>
      <c r="U442" s="255" t="str">
        <v/>
      </c>
      <c r="V442" s="256" t="str">
        <v/>
      </c>
      <c r="W442" s="257" t="str">
        <v/>
      </c>
      <c r="X442" s="255" t="str">
        <v/>
      </c>
      <c r="Y442" s="256" t="str">
        <v/>
      </c>
      <c r="Z442" s="257" t="str">
        <v/>
      </c>
      <c r="AA442" s="255" t="str">
        <v/>
      </c>
      <c r="AB442" s="256" t="str">
        <v/>
      </c>
      <c r="AC442" s="257" t="str">
        <v/>
      </c>
      <c r="AD442" s="255" t="str">
        <v/>
      </c>
      <c r="AE442" s="256" t="str">
        <v/>
      </c>
      <c r="AF442" s="257" t="str">
        <v/>
      </c>
      <c r="AG442" s="255" t="str">
        <v/>
      </c>
      <c r="AH442" s="256" t="str">
        <v/>
      </c>
      <c r="AI442" s="257" t="str">
        <v/>
      </c>
      <c r="AJ442" s="255" t="str">
        <v/>
      </c>
      <c r="AK442" s="256" t="str">
        <v/>
      </c>
      <c r="AL442" s="257" t="str">
        <v/>
      </c>
      <c r="AM442" s="255" t="str">
        <v/>
      </c>
      <c r="AN442" s="256" t="str">
        <v/>
      </c>
      <c r="AO442" s="257" t="str">
        <v/>
      </c>
      <c r="AP442" s="255" t="str">
        <v/>
      </c>
      <c r="AQ442" s="256" t="str">
        <v/>
      </c>
      <c r="AR442" s="257" t="str">
        <v/>
      </c>
      <c r="AS442" s="255" t="str">
        <v/>
      </c>
      <c r="AT442" s="256" t="str">
        <v/>
      </c>
      <c r="AU442" s="257" t="str">
        <v/>
      </c>
      <c r="AV442" s="255" t="str">
        <v/>
      </c>
      <c r="AW442" s="256" t="str">
        <v/>
      </c>
      <c r="AX442" s="257" t="str">
        <v/>
      </c>
      <c r="AY442" s="243">
        <v>0</v>
      </c>
      <c r="AZ442" s="244">
        <v>0</v>
      </c>
      <c r="BA442" s="244">
        <v>0</v>
      </c>
      <c r="BB442" s="244">
        <v>0</v>
      </c>
      <c r="BC442" s="244">
        <v>0</v>
      </c>
      <c r="BD442" s="244">
        <v>0</v>
      </c>
      <c r="BE442" s="244">
        <v>0</v>
      </c>
      <c r="BF442" s="244">
        <v>0</v>
      </c>
      <c r="BG442" s="244">
        <v>0</v>
      </c>
      <c r="BH442" s="245">
        <v>0</v>
      </c>
      <c r="BK442">
        <v>384</v>
      </c>
      <c r="BL442" s="281"/>
      <c r="BM442" s="281"/>
      <c r="BN442" s="282"/>
      <c r="BO442" s="282"/>
      <c r="BP442" s="282"/>
      <c r="BQ442" s="283"/>
      <c r="BR442" s="284"/>
      <c r="BS442" s="147"/>
      <c r="BT442" s="285"/>
      <c r="BU442" s="288"/>
      <c r="BV442" s="287"/>
      <c r="BW442" s="288"/>
      <c r="BX442" s="286"/>
      <c r="BY442" s="287"/>
      <c r="BZ442" s="288"/>
      <c r="CA442" s="286"/>
      <c r="CB442" s="286"/>
      <c r="CC442" s="287"/>
      <c r="CD442" s="286"/>
      <c r="CE442" s="286"/>
      <c r="CF442" s="286"/>
      <c r="CG442" s="287"/>
      <c r="CH442" s="288"/>
      <c r="CI442" s="286"/>
      <c r="CJ442" s="286"/>
      <c r="CK442" s="287"/>
      <c r="CL442" s="288"/>
      <c r="CM442" s="286"/>
      <c r="CN442" s="294"/>
      <c r="CO442" s="289"/>
      <c r="CP442" s="290"/>
      <c r="CQ442" s="289"/>
      <c r="CR442" s="290"/>
      <c r="CS442" s="284"/>
      <c r="CT442" s="147"/>
      <c r="CU442" s="291"/>
      <c r="CV442" s="292"/>
    </row>
    <row r="443" spans="2:100">
      <c r="B443">
        <v>385</v>
      </c>
      <c r="C443" s="243" t="str">
        <v/>
      </c>
      <c r="D443" s="592" t="str">
        <v/>
      </c>
      <c r="E443" s="245" t="str">
        <v/>
      </c>
      <c r="F443" s="243" t="str">
        <v/>
      </c>
      <c r="G443" s="245" t="str">
        <v/>
      </c>
      <c r="H443" s="243" t="str">
        <v/>
      </c>
      <c r="I443" s="245" t="str">
        <v/>
      </c>
      <c r="J443" s="242" t="str">
        <v/>
      </c>
      <c r="K443" s="242" t="str">
        <v/>
      </c>
      <c r="L443" s="242" t="str">
        <v/>
      </c>
      <c r="M443" s="243" t="str">
        <v/>
      </c>
      <c r="N443" s="592" t="str">
        <v/>
      </c>
      <c r="O443" s="245" t="str">
        <v/>
      </c>
      <c r="P443" s="245" t="str">
        <v/>
      </c>
      <c r="Q443" s="254" t="str">
        <v/>
      </c>
      <c r="R443" s="255" t="str">
        <v/>
      </c>
      <c r="S443" s="256" t="str">
        <v/>
      </c>
      <c r="T443" s="257" t="str">
        <v/>
      </c>
      <c r="U443" s="255" t="str">
        <v/>
      </c>
      <c r="V443" s="256" t="str">
        <v/>
      </c>
      <c r="W443" s="257" t="str">
        <v/>
      </c>
      <c r="X443" s="255" t="str">
        <v/>
      </c>
      <c r="Y443" s="256" t="str">
        <v/>
      </c>
      <c r="Z443" s="257" t="str">
        <v/>
      </c>
      <c r="AA443" s="255" t="str">
        <v/>
      </c>
      <c r="AB443" s="256" t="str">
        <v/>
      </c>
      <c r="AC443" s="257" t="str">
        <v/>
      </c>
      <c r="AD443" s="255" t="str">
        <v/>
      </c>
      <c r="AE443" s="256" t="str">
        <v/>
      </c>
      <c r="AF443" s="257" t="str">
        <v/>
      </c>
      <c r="AG443" s="255" t="str">
        <v/>
      </c>
      <c r="AH443" s="256" t="str">
        <v/>
      </c>
      <c r="AI443" s="257" t="str">
        <v/>
      </c>
      <c r="AJ443" s="255" t="str">
        <v/>
      </c>
      <c r="AK443" s="256" t="str">
        <v/>
      </c>
      <c r="AL443" s="257" t="str">
        <v/>
      </c>
      <c r="AM443" s="255" t="str">
        <v/>
      </c>
      <c r="AN443" s="256" t="str">
        <v/>
      </c>
      <c r="AO443" s="257" t="str">
        <v/>
      </c>
      <c r="AP443" s="255" t="str">
        <v/>
      </c>
      <c r="AQ443" s="256" t="str">
        <v/>
      </c>
      <c r="AR443" s="257" t="str">
        <v/>
      </c>
      <c r="AS443" s="255" t="str">
        <v/>
      </c>
      <c r="AT443" s="256" t="str">
        <v/>
      </c>
      <c r="AU443" s="257" t="str">
        <v/>
      </c>
      <c r="AV443" s="255" t="str">
        <v/>
      </c>
      <c r="AW443" s="256" t="str">
        <v/>
      </c>
      <c r="AX443" s="257" t="str">
        <v/>
      </c>
      <c r="AY443" s="243">
        <v>0</v>
      </c>
      <c r="AZ443" s="244">
        <v>0</v>
      </c>
      <c r="BA443" s="244">
        <v>0</v>
      </c>
      <c r="BB443" s="244">
        <v>0</v>
      </c>
      <c r="BC443" s="244">
        <v>0</v>
      </c>
      <c r="BD443" s="244">
        <v>0</v>
      </c>
      <c r="BE443" s="244">
        <v>0</v>
      </c>
      <c r="BF443" s="244">
        <v>0</v>
      </c>
      <c r="BG443" s="244">
        <v>0</v>
      </c>
      <c r="BH443" s="245">
        <v>0</v>
      </c>
      <c r="BK443">
        <v>385</v>
      </c>
      <c r="BL443" s="281"/>
      <c r="BM443" s="281"/>
      <c r="BN443" s="282"/>
      <c r="BO443" s="282"/>
      <c r="BP443" s="282"/>
      <c r="BQ443" s="283"/>
      <c r="BR443" s="284"/>
      <c r="BS443" s="147"/>
      <c r="BT443" s="285"/>
      <c r="BU443" s="288"/>
      <c r="BV443" s="287"/>
      <c r="BW443" s="288"/>
      <c r="BX443" s="286"/>
      <c r="BY443" s="287"/>
      <c r="BZ443" s="288"/>
      <c r="CA443" s="286"/>
      <c r="CB443" s="286"/>
      <c r="CC443" s="287"/>
      <c r="CD443" s="286"/>
      <c r="CE443" s="286"/>
      <c r="CF443" s="286"/>
      <c r="CG443" s="287"/>
      <c r="CH443" s="288"/>
      <c r="CI443" s="286"/>
      <c r="CJ443" s="286"/>
      <c r="CK443" s="287"/>
      <c r="CL443" s="288"/>
      <c r="CM443" s="286"/>
      <c r="CN443" s="294"/>
      <c r="CO443" s="289"/>
      <c r="CP443" s="290"/>
      <c r="CQ443" s="289"/>
      <c r="CR443" s="290"/>
      <c r="CS443" s="284"/>
      <c r="CT443" s="147"/>
      <c r="CU443" s="291"/>
      <c r="CV443" s="292"/>
    </row>
    <row r="444" spans="2:100">
      <c r="B444">
        <v>386</v>
      </c>
      <c r="C444" s="243" t="str">
        <v/>
      </c>
      <c r="D444" s="592" t="str">
        <v/>
      </c>
      <c r="E444" s="245" t="str">
        <v/>
      </c>
      <c r="F444" s="243" t="str">
        <v/>
      </c>
      <c r="G444" s="245" t="str">
        <v/>
      </c>
      <c r="H444" s="243" t="str">
        <v/>
      </c>
      <c r="I444" s="245" t="str">
        <v/>
      </c>
      <c r="J444" s="242" t="str">
        <v/>
      </c>
      <c r="K444" s="242" t="str">
        <v/>
      </c>
      <c r="L444" s="242" t="str">
        <v/>
      </c>
      <c r="M444" s="243" t="str">
        <v/>
      </c>
      <c r="N444" s="592" t="str">
        <v/>
      </c>
      <c r="O444" s="245" t="str">
        <v/>
      </c>
      <c r="P444" s="245" t="str">
        <v/>
      </c>
      <c r="Q444" s="254" t="str">
        <v/>
      </c>
      <c r="R444" s="255" t="str">
        <v/>
      </c>
      <c r="S444" s="256" t="str">
        <v/>
      </c>
      <c r="T444" s="257" t="str">
        <v/>
      </c>
      <c r="U444" s="255" t="str">
        <v/>
      </c>
      <c r="V444" s="256" t="str">
        <v/>
      </c>
      <c r="W444" s="257" t="str">
        <v/>
      </c>
      <c r="X444" s="255" t="str">
        <v/>
      </c>
      <c r="Y444" s="256" t="str">
        <v/>
      </c>
      <c r="Z444" s="257" t="str">
        <v/>
      </c>
      <c r="AA444" s="255" t="str">
        <v/>
      </c>
      <c r="AB444" s="256" t="str">
        <v/>
      </c>
      <c r="AC444" s="257" t="str">
        <v/>
      </c>
      <c r="AD444" s="255" t="str">
        <v/>
      </c>
      <c r="AE444" s="256" t="str">
        <v/>
      </c>
      <c r="AF444" s="257" t="str">
        <v/>
      </c>
      <c r="AG444" s="255" t="str">
        <v/>
      </c>
      <c r="AH444" s="256" t="str">
        <v/>
      </c>
      <c r="AI444" s="257" t="str">
        <v/>
      </c>
      <c r="AJ444" s="255" t="str">
        <v/>
      </c>
      <c r="AK444" s="256" t="str">
        <v/>
      </c>
      <c r="AL444" s="257" t="str">
        <v/>
      </c>
      <c r="AM444" s="255" t="str">
        <v/>
      </c>
      <c r="AN444" s="256" t="str">
        <v/>
      </c>
      <c r="AO444" s="257" t="str">
        <v/>
      </c>
      <c r="AP444" s="255" t="str">
        <v/>
      </c>
      <c r="AQ444" s="256" t="str">
        <v/>
      </c>
      <c r="AR444" s="257" t="str">
        <v/>
      </c>
      <c r="AS444" s="255" t="str">
        <v/>
      </c>
      <c r="AT444" s="256" t="str">
        <v/>
      </c>
      <c r="AU444" s="257" t="str">
        <v/>
      </c>
      <c r="AV444" s="255" t="str">
        <v/>
      </c>
      <c r="AW444" s="256" t="str">
        <v/>
      </c>
      <c r="AX444" s="257" t="str">
        <v/>
      </c>
      <c r="AY444" s="243">
        <v>0</v>
      </c>
      <c r="AZ444" s="244">
        <v>0</v>
      </c>
      <c r="BA444" s="244">
        <v>0</v>
      </c>
      <c r="BB444" s="244">
        <v>0</v>
      </c>
      <c r="BC444" s="244">
        <v>0</v>
      </c>
      <c r="BD444" s="244">
        <v>0</v>
      </c>
      <c r="BE444" s="244">
        <v>0</v>
      </c>
      <c r="BF444" s="244">
        <v>0</v>
      </c>
      <c r="BG444" s="244">
        <v>0</v>
      </c>
      <c r="BH444" s="245">
        <v>0</v>
      </c>
      <c r="BK444">
        <v>386</v>
      </c>
      <c r="BL444" s="281"/>
      <c r="BM444" s="281"/>
      <c r="BN444" s="282"/>
      <c r="BO444" s="282"/>
      <c r="BP444" s="282"/>
      <c r="BQ444" s="283"/>
      <c r="BR444" s="284"/>
      <c r="BS444" s="147"/>
      <c r="BT444" s="285"/>
      <c r="BU444" s="288"/>
      <c r="BV444" s="287"/>
      <c r="BW444" s="288"/>
      <c r="BX444" s="286"/>
      <c r="BY444" s="287"/>
      <c r="BZ444" s="288"/>
      <c r="CA444" s="286"/>
      <c r="CB444" s="286"/>
      <c r="CC444" s="287"/>
      <c r="CD444" s="286"/>
      <c r="CE444" s="286"/>
      <c r="CF444" s="286"/>
      <c r="CG444" s="287"/>
      <c r="CH444" s="288"/>
      <c r="CI444" s="286"/>
      <c r="CJ444" s="286"/>
      <c r="CK444" s="287"/>
      <c r="CL444" s="288"/>
      <c r="CM444" s="286"/>
      <c r="CN444" s="294"/>
      <c r="CO444" s="289"/>
      <c r="CP444" s="290"/>
      <c r="CQ444" s="289"/>
      <c r="CR444" s="290"/>
      <c r="CS444" s="284"/>
      <c r="CT444" s="147"/>
      <c r="CU444" s="291"/>
      <c r="CV444" s="292"/>
    </row>
    <row r="445" spans="2:100">
      <c r="B445">
        <v>387</v>
      </c>
      <c r="C445" s="243" t="str">
        <v/>
      </c>
      <c r="D445" s="592" t="str">
        <v/>
      </c>
      <c r="E445" s="245" t="str">
        <v/>
      </c>
      <c r="F445" s="243" t="str">
        <v/>
      </c>
      <c r="G445" s="245" t="str">
        <v/>
      </c>
      <c r="H445" s="243" t="str">
        <v/>
      </c>
      <c r="I445" s="245" t="str">
        <v/>
      </c>
      <c r="J445" s="242" t="str">
        <v/>
      </c>
      <c r="K445" s="242" t="str">
        <v/>
      </c>
      <c r="L445" s="242" t="str">
        <v/>
      </c>
      <c r="M445" s="243" t="str">
        <v/>
      </c>
      <c r="N445" s="592" t="str">
        <v/>
      </c>
      <c r="O445" s="245" t="str">
        <v/>
      </c>
      <c r="P445" s="245" t="str">
        <v/>
      </c>
      <c r="Q445" s="254" t="str">
        <v/>
      </c>
      <c r="R445" s="255" t="str">
        <v/>
      </c>
      <c r="S445" s="256" t="str">
        <v/>
      </c>
      <c r="T445" s="257" t="str">
        <v/>
      </c>
      <c r="U445" s="255" t="str">
        <v/>
      </c>
      <c r="V445" s="256" t="str">
        <v/>
      </c>
      <c r="W445" s="257" t="str">
        <v/>
      </c>
      <c r="X445" s="255" t="str">
        <v/>
      </c>
      <c r="Y445" s="256" t="str">
        <v/>
      </c>
      <c r="Z445" s="257" t="str">
        <v/>
      </c>
      <c r="AA445" s="255" t="str">
        <v/>
      </c>
      <c r="AB445" s="256" t="str">
        <v/>
      </c>
      <c r="AC445" s="257" t="str">
        <v/>
      </c>
      <c r="AD445" s="255" t="str">
        <v/>
      </c>
      <c r="AE445" s="256" t="str">
        <v/>
      </c>
      <c r="AF445" s="257" t="str">
        <v/>
      </c>
      <c r="AG445" s="255" t="str">
        <v/>
      </c>
      <c r="AH445" s="256" t="str">
        <v/>
      </c>
      <c r="AI445" s="257" t="str">
        <v/>
      </c>
      <c r="AJ445" s="255" t="str">
        <v/>
      </c>
      <c r="AK445" s="256" t="str">
        <v/>
      </c>
      <c r="AL445" s="257" t="str">
        <v/>
      </c>
      <c r="AM445" s="255" t="str">
        <v/>
      </c>
      <c r="AN445" s="256" t="str">
        <v/>
      </c>
      <c r="AO445" s="257" t="str">
        <v/>
      </c>
      <c r="AP445" s="255" t="str">
        <v/>
      </c>
      <c r="AQ445" s="256" t="str">
        <v/>
      </c>
      <c r="AR445" s="257" t="str">
        <v/>
      </c>
      <c r="AS445" s="255" t="str">
        <v/>
      </c>
      <c r="AT445" s="256" t="str">
        <v/>
      </c>
      <c r="AU445" s="257" t="str">
        <v/>
      </c>
      <c r="AV445" s="255" t="str">
        <v/>
      </c>
      <c r="AW445" s="256" t="str">
        <v/>
      </c>
      <c r="AX445" s="257" t="str">
        <v/>
      </c>
      <c r="AY445" s="243">
        <v>0</v>
      </c>
      <c r="AZ445" s="244">
        <v>0</v>
      </c>
      <c r="BA445" s="244">
        <v>0</v>
      </c>
      <c r="BB445" s="244">
        <v>0</v>
      </c>
      <c r="BC445" s="244">
        <v>0</v>
      </c>
      <c r="BD445" s="244">
        <v>0</v>
      </c>
      <c r="BE445" s="244">
        <v>0</v>
      </c>
      <c r="BF445" s="244">
        <v>0</v>
      </c>
      <c r="BG445" s="244">
        <v>0</v>
      </c>
      <c r="BH445" s="245">
        <v>0</v>
      </c>
      <c r="BK445">
        <v>387</v>
      </c>
      <c r="BL445" s="281"/>
      <c r="BM445" s="281"/>
      <c r="BN445" s="282"/>
      <c r="BO445" s="282"/>
      <c r="BP445" s="282"/>
      <c r="BQ445" s="283"/>
      <c r="BR445" s="284"/>
      <c r="BS445" s="147"/>
      <c r="BT445" s="285"/>
      <c r="BU445" s="288"/>
      <c r="BV445" s="287"/>
      <c r="BW445" s="288"/>
      <c r="BX445" s="286"/>
      <c r="BY445" s="287"/>
      <c r="BZ445" s="288"/>
      <c r="CA445" s="286"/>
      <c r="CB445" s="286"/>
      <c r="CC445" s="287"/>
      <c r="CD445" s="286"/>
      <c r="CE445" s="286"/>
      <c r="CF445" s="286"/>
      <c r="CG445" s="287"/>
      <c r="CH445" s="288"/>
      <c r="CI445" s="286"/>
      <c r="CJ445" s="286"/>
      <c r="CK445" s="287"/>
      <c r="CL445" s="288"/>
      <c r="CM445" s="286"/>
      <c r="CN445" s="294"/>
      <c r="CO445" s="289"/>
      <c r="CP445" s="290"/>
      <c r="CQ445" s="289"/>
      <c r="CR445" s="290"/>
      <c r="CS445" s="284"/>
      <c r="CT445" s="147"/>
      <c r="CU445" s="291"/>
      <c r="CV445" s="292"/>
    </row>
    <row r="446" spans="2:100">
      <c r="B446">
        <v>388</v>
      </c>
      <c r="C446" s="243" t="str">
        <v/>
      </c>
      <c r="D446" s="592" t="str">
        <v/>
      </c>
      <c r="E446" s="245" t="str">
        <v/>
      </c>
      <c r="F446" s="243" t="str">
        <v/>
      </c>
      <c r="G446" s="245" t="str">
        <v/>
      </c>
      <c r="H446" s="243" t="str">
        <v/>
      </c>
      <c r="I446" s="245" t="str">
        <v/>
      </c>
      <c r="J446" s="242" t="str">
        <v/>
      </c>
      <c r="K446" s="242" t="str">
        <v/>
      </c>
      <c r="L446" s="242" t="str">
        <v/>
      </c>
      <c r="M446" s="243" t="str">
        <v/>
      </c>
      <c r="N446" s="592" t="str">
        <v/>
      </c>
      <c r="O446" s="245" t="str">
        <v/>
      </c>
      <c r="P446" s="245" t="str">
        <v/>
      </c>
      <c r="Q446" s="254" t="str">
        <v/>
      </c>
      <c r="R446" s="255" t="str">
        <v/>
      </c>
      <c r="S446" s="256" t="str">
        <v/>
      </c>
      <c r="T446" s="257" t="str">
        <v/>
      </c>
      <c r="U446" s="255" t="str">
        <v/>
      </c>
      <c r="V446" s="256" t="str">
        <v/>
      </c>
      <c r="W446" s="257" t="str">
        <v/>
      </c>
      <c r="X446" s="255" t="str">
        <v/>
      </c>
      <c r="Y446" s="256" t="str">
        <v/>
      </c>
      <c r="Z446" s="257" t="str">
        <v/>
      </c>
      <c r="AA446" s="255" t="str">
        <v/>
      </c>
      <c r="AB446" s="256" t="str">
        <v/>
      </c>
      <c r="AC446" s="257" t="str">
        <v/>
      </c>
      <c r="AD446" s="255" t="str">
        <v/>
      </c>
      <c r="AE446" s="256" t="str">
        <v/>
      </c>
      <c r="AF446" s="257" t="str">
        <v/>
      </c>
      <c r="AG446" s="255" t="str">
        <v/>
      </c>
      <c r="AH446" s="256" t="str">
        <v/>
      </c>
      <c r="AI446" s="257" t="str">
        <v/>
      </c>
      <c r="AJ446" s="255" t="str">
        <v/>
      </c>
      <c r="AK446" s="256" t="str">
        <v/>
      </c>
      <c r="AL446" s="257" t="str">
        <v/>
      </c>
      <c r="AM446" s="255" t="str">
        <v/>
      </c>
      <c r="AN446" s="256" t="str">
        <v/>
      </c>
      <c r="AO446" s="257" t="str">
        <v/>
      </c>
      <c r="AP446" s="255" t="str">
        <v/>
      </c>
      <c r="AQ446" s="256" t="str">
        <v/>
      </c>
      <c r="AR446" s="257" t="str">
        <v/>
      </c>
      <c r="AS446" s="255" t="str">
        <v/>
      </c>
      <c r="AT446" s="256" t="str">
        <v/>
      </c>
      <c r="AU446" s="257" t="str">
        <v/>
      </c>
      <c r="AV446" s="255" t="str">
        <v/>
      </c>
      <c r="AW446" s="256" t="str">
        <v/>
      </c>
      <c r="AX446" s="257" t="str">
        <v/>
      </c>
      <c r="AY446" s="243">
        <v>0</v>
      </c>
      <c r="AZ446" s="244">
        <v>0</v>
      </c>
      <c r="BA446" s="244">
        <v>0</v>
      </c>
      <c r="BB446" s="244">
        <v>0</v>
      </c>
      <c r="BC446" s="244">
        <v>0</v>
      </c>
      <c r="BD446" s="244">
        <v>0</v>
      </c>
      <c r="BE446" s="244">
        <v>0</v>
      </c>
      <c r="BF446" s="244">
        <v>0</v>
      </c>
      <c r="BG446" s="244">
        <v>0</v>
      </c>
      <c r="BH446" s="245">
        <v>0</v>
      </c>
      <c r="BK446">
        <v>388</v>
      </c>
      <c r="BL446" s="281"/>
      <c r="BM446" s="281"/>
      <c r="BN446" s="282"/>
      <c r="BO446" s="282"/>
      <c r="BP446" s="282"/>
      <c r="BQ446" s="283"/>
      <c r="BR446" s="284"/>
      <c r="BS446" s="147"/>
      <c r="BT446" s="285"/>
      <c r="BU446" s="288"/>
      <c r="BV446" s="287"/>
      <c r="BW446" s="288"/>
      <c r="BX446" s="286"/>
      <c r="BY446" s="287"/>
      <c r="BZ446" s="288"/>
      <c r="CA446" s="286"/>
      <c r="CB446" s="286"/>
      <c r="CC446" s="287"/>
      <c r="CD446" s="286"/>
      <c r="CE446" s="286"/>
      <c r="CF446" s="286"/>
      <c r="CG446" s="287"/>
      <c r="CH446" s="288"/>
      <c r="CI446" s="286"/>
      <c r="CJ446" s="286"/>
      <c r="CK446" s="287"/>
      <c r="CL446" s="288"/>
      <c r="CM446" s="286"/>
      <c r="CN446" s="294"/>
      <c r="CO446" s="289"/>
      <c r="CP446" s="290"/>
      <c r="CQ446" s="289"/>
      <c r="CR446" s="290"/>
      <c r="CS446" s="284"/>
      <c r="CT446" s="147"/>
      <c r="CU446" s="291"/>
      <c r="CV446" s="292"/>
    </row>
    <row r="447" spans="2:100">
      <c r="B447">
        <v>389</v>
      </c>
      <c r="C447" s="243" t="str">
        <v/>
      </c>
      <c r="D447" s="592" t="str">
        <v/>
      </c>
      <c r="E447" s="245" t="str">
        <v/>
      </c>
      <c r="F447" s="243" t="str">
        <v/>
      </c>
      <c r="G447" s="245" t="str">
        <v/>
      </c>
      <c r="H447" s="243" t="str">
        <v/>
      </c>
      <c r="I447" s="245" t="str">
        <v/>
      </c>
      <c r="J447" s="242" t="str">
        <v/>
      </c>
      <c r="K447" s="242" t="str">
        <v/>
      </c>
      <c r="L447" s="242" t="str">
        <v/>
      </c>
      <c r="M447" s="243" t="str">
        <v/>
      </c>
      <c r="N447" s="592" t="str">
        <v/>
      </c>
      <c r="O447" s="245" t="str">
        <v/>
      </c>
      <c r="P447" s="245" t="str">
        <v/>
      </c>
      <c r="Q447" s="254" t="str">
        <v/>
      </c>
      <c r="R447" s="255" t="str">
        <v/>
      </c>
      <c r="S447" s="256" t="str">
        <v/>
      </c>
      <c r="T447" s="257" t="str">
        <v/>
      </c>
      <c r="U447" s="255" t="str">
        <v/>
      </c>
      <c r="V447" s="256" t="str">
        <v/>
      </c>
      <c r="W447" s="257" t="str">
        <v/>
      </c>
      <c r="X447" s="255" t="str">
        <v/>
      </c>
      <c r="Y447" s="256" t="str">
        <v/>
      </c>
      <c r="Z447" s="257" t="str">
        <v/>
      </c>
      <c r="AA447" s="255" t="str">
        <v/>
      </c>
      <c r="AB447" s="256" t="str">
        <v/>
      </c>
      <c r="AC447" s="257" t="str">
        <v/>
      </c>
      <c r="AD447" s="255" t="str">
        <v/>
      </c>
      <c r="AE447" s="256" t="str">
        <v/>
      </c>
      <c r="AF447" s="257" t="str">
        <v/>
      </c>
      <c r="AG447" s="255" t="str">
        <v/>
      </c>
      <c r="AH447" s="256" t="str">
        <v/>
      </c>
      <c r="AI447" s="257" t="str">
        <v/>
      </c>
      <c r="AJ447" s="255" t="str">
        <v/>
      </c>
      <c r="AK447" s="256" t="str">
        <v/>
      </c>
      <c r="AL447" s="257" t="str">
        <v/>
      </c>
      <c r="AM447" s="255" t="str">
        <v/>
      </c>
      <c r="AN447" s="256" t="str">
        <v/>
      </c>
      <c r="AO447" s="257" t="str">
        <v/>
      </c>
      <c r="AP447" s="255" t="str">
        <v/>
      </c>
      <c r="AQ447" s="256" t="str">
        <v/>
      </c>
      <c r="AR447" s="257" t="str">
        <v/>
      </c>
      <c r="AS447" s="255" t="str">
        <v/>
      </c>
      <c r="AT447" s="256" t="str">
        <v/>
      </c>
      <c r="AU447" s="257" t="str">
        <v/>
      </c>
      <c r="AV447" s="255" t="str">
        <v/>
      </c>
      <c r="AW447" s="256" t="str">
        <v/>
      </c>
      <c r="AX447" s="257" t="str">
        <v/>
      </c>
      <c r="AY447" s="243">
        <v>0</v>
      </c>
      <c r="AZ447" s="244">
        <v>0</v>
      </c>
      <c r="BA447" s="244">
        <v>0</v>
      </c>
      <c r="BB447" s="244">
        <v>0</v>
      </c>
      <c r="BC447" s="244">
        <v>0</v>
      </c>
      <c r="BD447" s="244">
        <v>0</v>
      </c>
      <c r="BE447" s="244">
        <v>0</v>
      </c>
      <c r="BF447" s="244">
        <v>0</v>
      </c>
      <c r="BG447" s="244">
        <v>0</v>
      </c>
      <c r="BH447" s="245">
        <v>0</v>
      </c>
      <c r="BK447">
        <v>389</v>
      </c>
      <c r="BL447" s="281"/>
      <c r="BM447" s="281"/>
      <c r="BN447" s="282"/>
      <c r="BO447" s="282"/>
      <c r="BP447" s="282"/>
      <c r="BQ447" s="283"/>
      <c r="BR447" s="284"/>
      <c r="BS447" s="147"/>
      <c r="BT447" s="285"/>
      <c r="BU447" s="288"/>
      <c r="BV447" s="287"/>
      <c r="BW447" s="288"/>
      <c r="BX447" s="286"/>
      <c r="BY447" s="287"/>
      <c r="BZ447" s="288"/>
      <c r="CA447" s="286"/>
      <c r="CB447" s="286"/>
      <c r="CC447" s="287"/>
      <c r="CD447" s="286"/>
      <c r="CE447" s="286"/>
      <c r="CF447" s="286"/>
      <c r="CG447" s="287"/>
      <c r="CH447" s="288"/>
      <c r="CI447" s="286"/>
      <c r="CJ447" s="286"/>
      <c r="CK447" s="287"/>
      <c r="CL447" s="288"/>
      <c r="CM447" s="286"/>
      <c r="CN447" s="294"/>
      <c r="CO447" s="289"/>
      <c r="CP447" s="290"/>
      <c r="CQ447" s="289"/>
      <c r="CR447" s="290"/>
      <c r="CS447" s="284"/>
      <c r="CT447" s="147"/>
      <c r="CU447" s="291"/>
      <c r="CV447" s="292"/>
    </row>
    <row r="448" spans="2:100">
      <c r="B448">
        <v>390</v>
      </c>
      <c r="C448" s="243" t="str">
        <v/>
      </c>
      <c r="D448" s="592" t="str">
        <v/>
      </c>
      <c r="E448" s="245" t="str">
        <v/>
      </c>
      <c r="F448" s="243" t="str">
        <v/>
      </c>
      <c r="G448" s="245" t="str">
        <v/>
      </c>
      <c r="H448" s="243" t="str">
        <v/>
      </c>
      <c r="I448" s="245" t="str">
        <v/>
      </c>
      <c r="J448" s="242" t="str">
        <v/>
      </c>
      <c r="K448" s="242" t="str">
        <v/>
      </c>
      <c r="L448" s="242" t="str">
        <v/>
      </c>
      <c r="M448" s="243" t="str">
        <v/>
      </c>
      <c r="N448" s="592" t="str">
        <v/>
      </c>
      <c r="O448" s="245" t="str">
        <v/>
      </c>
      <c r="P448" s="245" t="str">
        <v/>
      </c>
      <c r="Q448" s="254" t="str">
        <v/>
      </c>
      <c r="R448" s="255" t="str">
        <v/>
      </c>
      <c r="S448" s="256" t="str">
        <v/>
      </c>
      <c r="T448" s="257" t="str">
        <v/>
      </c>
      <c r="U448" s="255" t="str">
        <v/>
      </c>
      <c r="V448" s="256" t="str">
        <v/>
      </c>
      <c r="W448" s="257" t="str">
        <v/>
      </c>
      <c r="X448" s="255" t="str">
        <v/>
      </c>
      <c r="Y448" s="256" t="str">
        <v/>
      </c>
      <c r="Z448" s="257" t="str">
        <v/>
      </c>
      <c r="AA448" s="255" t="str">
        <v/>
      </c>
      <c r="AB448" s="256" t="str">
        <v/>
      </c>
      <c r="AC448" s="257" t="str">
        <v/>
      </c>
      <c r="AD448" s="255" t="str">
        <v/>
      </c>
      <c r="AE448" s="256" t="str">
        <v/>
      </c>
      <c r="AF448" s="257" t="str">
        <v/>
      </c>
      <c r="AG448" s="255" t="str">
        <v/>
      </c>
      <c r="AH448" s="256" t="str">
        <v/>
      </c>
      <c r="AI448" s="257" t="str">
        <v/>
      </c>
      <c r="AJ448" s="255" t="str">
        <v/>
      </c>
      <c r="AK448" s="256" t="str">
        <v/>
      </c>
      <c r="AL448" s="257" t="str">
        <v/>
      </c>
      <c r="AM448" s="255" t="str">
        <v/>
      </c>
      <c r="AN448" s="256" t="str">
        <v/>
      </c>
      <c r="AO448" s="257" t="str">
        <v/>
      </c>
      <c r="AP448" s="255" t="str">
        <v/>
      </c>
      <c r="AQ448" s="256" t="str">
        <v/>
      </c>
      <c r="AR448" s="257" t="str">
        <v/>
      </c>
      <c r="AS448" s="255" t="str">
        <v/>
      </c>
      <c r="AT448" s="256" t="str">
        <v/>
      </c>
      <c r="AU448" s="257" t="str">
        <v/>
      </c>
      <c r="AV448" s="255" t="str">
        <v/>
      </c>
      <c r="AW448" s="256" t="str">
        <v/>
      </c>
      <c r="AX448" s="257" t="str">
        <v/>
      </c>
      <c r="AY448" s="243">
        <v>0</v>
      </c>
      <c r="AZ448" s="244">
        <v>0</v>
      </c>
      <c r="BA448" s="244">
        <v>0</v>
      </c>
      <c r="BB448" s="244">
        <v>0</v>
      </c>
      <c r="BC448" s="244">
        <v>0</v>
      </c>
      <c r="BD448" s="244">
        <v>0</v>
      </c>
      <c r="BE448" s="244">
        <v>0</v>
      </c>
      <c r="BF448" s="244">
        <v>0</v>
      </c>
      <c r="BG448" s="244">
        <v>0</v>
      </c>
      <c r="BH448" s="245">
        <v>0</v>
      </c>
      <c r="BK448">
        <v>390</v>
      </c>
      <c r="BL448" s="281"/>
      <c r="BM448" s="281"/>
      <c r="BN448" s="282"/>
      <c r="BO448" s="282"/>
      <c r="BP448" s="282"/>
      <c r="BQ448" s="283"/>
      <c r="BR448" s="284"/>
      <c r="BS448" s="147"/>
      <c r="BT448" s="285"/>
      <c r="BU448" s="288"/>
      <c r="BV448" s="287"/>
      <c r="BW448" s="288"/>
      <c r="BX448" s="286"/>
      <c r="BY448" s="287"/>
      <c r="BZ448" s="288"/>
      <c r="CA448" s="286"/>
      <c r="CB448" s="286"/>
      <c r="CC448" s="287"/>
      <c r="CD448" s="286"/>
      <c r="CE448" s="286"/>
      <c r="CF448" s="286"/>
      <c r="CG448" s="287"/>
      <c r="CH448" s="288"/>
      <c r="CI448" s="286"/>
      <c r="CJ448" s="286"/>
      <c r="CK448" s="287"/>
      <c r="CL448" s="288"/>
      <c r="CM448" s="286"/>
      <c r="CN448" s="294"/>
      <c r="CO448" s="289"/>
      <c r="CP448" s="290"/>
      <c r="CQ448" s="289"/>
      <c r="CR448" s="290"/>
      <c r="CS448" s="284"/>
      <c r="CT448" s="147"/>
      <c r="CU448" s="291"/>
      <c r="CV448" s="292"/>
    </row>
    <row r="449" spans="2:100">
      <c r="B449">
        <v>391</v>
      </c>
      <c r="C449" s="243" t="str">
        <v/>
      </c>
      <c r="D449" s="592" t="str">
        <v/>
      </c>
      <c r="E449" s="245" t="str">
        <v/>
      </c>
      <c r="F449" s="243" t="str">
        <v/>
      </c>
      <c r="G449" s="245" t="str">
        <v/>
      </c>
      <c r="H449" s="243" t="str">
        <v/>
      </c>
      <c r="I449" s="245" t="str">
        <v/>
      </c>
      <c r="J449" s="242" t="str">
        <v/>
      </c>
      <c r="K449" s="242" t="str">
        <v/>
      </c>
      <c r="L449" s="242" t="str">
        <v/>
      </c>
      <c r="M449" s="243" t="str">
        <v/>
      </c>
      <c r="N449" s="592" t="str">
        <v/>
      </c>
      <c r="O449" s="245" t="str">
        <v/>
      </c>
      <c r="P449" s="245" t="str">
        <v/>
      </c>
      <c r="Q449" s="254" t="str">
        <v/>
      </c>
      <c r="R449" s="255" t="str">
        <v/>
      </c>
      <c r="S449" s="256" t="str">
        <v/>
      </c>
      <c r="T449" s="257" t="str">
        <v/>
      </c>
      <c r="U449" s="255" t="str">
        <v/>
      </c>
      <c r="V449" s="256" t="str">
        <v/>
      </c>
      <c r="W449" s="257" t="str">
        <v/>
      </c>
      <c r="X449" s="255" t="str">
        <v/>
      </c>
      <c r="Y449" s="256" t="str">
        <v/>
      </c>
      <c r="Z449" s="257" t="str">
        <v/>
      </c>
      <c r="AA449" s="255" t="str">
        <v/>
      </c>
      <c r="AB449" s="256" t="str">
        <v/>
      </c>
      <c r="AC449" s="257" t="str">
        <v/>
      </c>
      <c r="AD449" s="255" t="str">
        <v/>
      </c>
      <c r="AE449" s="256" t="str">
        <v/>
      </c>
      <c r="AF449" s="257" t="str">
        <v/>
      </c>
      <c r="AG449" s="255" t="str">
        <v/>
      </c>
      <c r="AH449" s="256" t="str">
        <v/>
      </c>
      <c r="AI449" s="257" t="str">
        <v/>
      </c>
      <c r="AJ449" s="255" t="str">
        <v/>
      </c>
      <c r="AK449" s="256" t="str">
        <v/>
      </c>
      <c r="AL449" s="257" t="str">
        <v/>
      </c>
      <c r="AM449" s="255" t="str">
        <v/>
      </c>
      <c r="AN449" s="256" t="str">
        <v/>
      </c>
      <c r="AO449" s="257" t="str">
        <v/>
      </c>
      <c r="AP449" s="255" t="str">
        <v/>
      </c>
      <c r="AQ449" s="256" t="str">
        <v/>
      </c>
      <c r="AR449" s="257" t="str">
        <v/>
      </c>
      <c r="AS449" s="255" t="str">
        <v/>
      </c>
      <c r="AT449" s="256" t="str">
        <v/>
      </c>
      <c r="AU449" s="257" t="str">
        <v/>
      </c>
      <c r="AV449" s="255" t="str">
        <v/>
      </c>
      <c r="AW449" s="256" t="str">
        <v/>
      </c>
      <c r="AX449" s="257" t="str">
        <v/>
      </c>
      <c r="AY449" s="243">
        <v>0</v>
      </c>
      <c r="AZ449" s="244">
        <v>0</v>
      </c>
      <c r="BA449" s="244">
        <v>0</v>
      </c>
      <c r="BB449" s="244">
        <v>0</v>
      </c>
      <c r="BC449" s="244">
        <v>0</v>
      </c>
      <c r="BD449" s="244">
        <v>0</v>
      </c>
      <c r="BE449" s="244">
        <v>0</v>
      </c>
      <c r="BF449" s="244">
        <v>0</v>
      </c>
      <c r="BG449" s="244">
        <v>0</v>
      </c>
      <c r="BH449" s="245">
        <v>0</v>
      </c>
      <c r="BK449">
        <v>391</v>
      </c>
      <c r="BL449" s="281"/>
      <c r="BM449" s="281"/>
      <c r="BN449" s="282"/>
      <c r="BO449" s="282"/>
      <c r="BP449" s="282"/>
      <c r="BQ449" s="283"/>
      <c r="BR449" s="284"/>
      <c r="BS449" s="147"/>
      <c r="BT449" s="285"/>
      <c r="BU449" s="288"/>
      <c r="BV449" s="287"/>
      <c r="BW449" s="288"/>
      <c r="BX449" s="286"/>
      <c r="BY449" s="287"/>
      <c r="BZ449" s="288"/>
      <c r="CA449" s="286"/>
      <c r="CB449" s="286"/>
      <c r="CC449" s="287"/>
      <c r="CD449" s="286"/>
      <c r="CE449" s="286"/>
      <c r="CF449" s="286"/>
      <c r="CG449" s="287"/>
      <c r="CH449" s="288"/>
      <c r="CI449" s="286"/>
      <c r="CJ449" s="286"/>
      <c r="CK449" s="287"/>
      <c r="CL449" s="288"/>
      <c r="CM449" s="286"/>
      <c r="CN449" s="294"/>
      <c r="CO449" s="289"/>
      <c r="CP449" s="290"/>
      <c r="CQ449" s="289"/>
      <c r="CR449" s="290"/>
      <c r="CS449" s="284"/>
      <c r="CT449" s="147"/>
      <c r="CU449" s="291"/>
      <c r="CV449" s="292"/>
    </row>
    <row r="450" spans="2:100">
      <c r="B450">
        <v>392</v>
      </c>
      <c r="C450" s="243" t="str">
        <v/>
      </c>
      <c r="D450" s="592" t="str">
        <v/>
      </c>
      <c r="E450" s="245" t="str">
        <v/>
      </c>
      <c r="F450" s="243" t="str">
        <v/>
      </c>
      <c r="G450" s="245" t="str">
        <v/>
      </c>
      <c r="H450" s="243" t="str">
        <v/>
      </c>
      <c r="I450" s="245" t="str">
        <v/>
      </c>
      <c r="J450" s="242" t="str">
        <v/>
      </c>
      <c r="K450" s="242" t="str">
        <v/>
      </c>
      <c r="L450" s="242" t="str">
        <v/>
      </c>
      <c r="M450" s="243" t="str">
        <v/>
      </c>
      <c r="N450" s="592" t="str">
        <v/>
      </c>
      <c r="O450" s="245" t="str">
        <v/>
      </c>
      <c r="P450" s="245" t="str">
        <v/>
      </c>
      <c r="Q450" s="254" t="str">
        <v/>
      </c>
      <c r="R450" s="255" t="str">
        <v/>
      </c>
      <c r="S450" s="256" t="str">
        <v/>
      </c>
      <c r="T450" s="257" t="str">
        <v/>
      </c>
      <c r="U450" s="255" t="str">
        <v/>
      </c>
      <c r="V450" s="256" t="str">
        <v/>
      </c>
      <c r="W450" s="257" t="str">
        <v/>
      </c>
      <c r="X450" s="255" t="str">
        <v/>
      </c>
      <c r="Y450" s="256" t="str">
        <v/>
      </c>
      <c r="Z450" s="257" t="str">
        <v/>
      </c>
      <c r="AA450" s="255" t="str">
        <v/>
      </c>
      <c r="AB450" s="256" t="str">
        <v/>
      </c>
      <c r="AC450" s="257" t="str">
        <v/>
      </c>
      <c r="AD450" s="255" t="str">
        <v/>
      </c>
      <c r="AE450" s="256" t="str">
        <v/>
      </c>
      <c r="AF450" s="257" t="str">
        <v/>
      </c>
      <c r="AG450" s="255" t="str">
        <v/>
      </c>
      <c r="AH450" s="256" t="str">
        <v/>
      </c>
      <c r="AI450" s="257" t="str">
        <v/>
      </c>
      <c r="AJ450" s="255" t="str">
        <v/>
      </c>
      <c r="AK450" s="256" t="str">
        <v/>
      </c>
      <c r="AL450" s="257" t="str">
        <v/>
      </c>
      <c r="AM450" s="255" t="str">
        <v/>
      </c>
      <c r="AN450" s="256" t="str">
        <v/>
      </c>
      <c r="AO450" s="257" t="str">
        <v/>
      </c>
      <c r="AP450" s="255" t="str">
        <v/>
      </c>
      <c r="AQ450" s="256" t="str">
        <v/>
      </c>
      <c r="AR450" s="257" t="str">
        <v/>
      </c>
      <c r="AS450" s="255" t="str">
        <v/>
      </c>
      <c r="AT450" s="256" t="str">
        <v/>
      </c>
      <c r="AU450" s="257" t="str">
        <v/>
      </c>
      <c r="AV450" s="255" t="str">
        <v/>
      </c>
      <c r="AW450" s="256" t="str">
        <v/>
      </c>
      <c r="AX450" s="257" t="str">
        <v/>
      </c>
      <c r="AY450" s="243">
        <v>0</v>
      </c>
      <c r="AZ450" s="244">
        <v>0</v>
      </c>
      <c r="BA450" s="244">
        <v>0</v>
      </c>
      <c r="BB450" s="244">
        <v>0</v>
      </c>
      <c r="BC450" s="244">
        <v>0</v>
      </c>
      <c r="BD450" s="244">
        <v>0</v>
      </c>
      <c r="BE450" s="244">
        <v>0</v>
      </c>
      <c r="BF450" s="244">
        <v>0</v>
      </c>
      <c r="BG450" s="244">
        <v>0</v>
      </c>
      <c r="BH450" s="245">
        <v>0</v>
      </c>
      <c r="BK450">
        <v>392</v>
      </c>
      <c r="BL450" s="281"/>
      <c r="BM450" s="281"/>
      <c r="BN450" s="282"/>
      <c r="BO450" s="282"/>
      <c r="BP450" s="282"/>
      <c r="BQ450" s="283"/>
      <c r="BR450" s="284"/>
      <c r="BS450" s="147"/>
      <c r="BT450" s="285"/>
      <c r="BU450" s="288"/>
      <c r="BV450" s="287"/>
      <c r="BW450" s="288"/>
      <c r="BX450" s="286"/>
      <c r="BY450" s="287"/>
      <c r="BZ450" s="288"/>
      <c r="CA450" s="286"/>
      <c r="CB450" s="286"/>
      <c r="CC450" s="287"/>
      <c r="CD450" s="286"/>
      <c r="CE450" s="286"/>
      <c r="CF450" s="286"/>
      <c r="CG450" s="287"/>
      <c r="CH450" s="288"/>
      <c r="CI450" s="286"/>
      <c r="CJ450" s="286"/>
      <c r="CK450" s="287"/>
      <c r="CL450" s="288"/>
      <c r="CM450" s="286"/>
      <c r="CN450" s="294"/>
      <c r="CO450" s="289"/>
      <c r="CP450" s="290"/>
      <c r="CQ450" s="289"/>
      <c r="CR450" s="290"/>
      <c r="CS450" s="284"/>
      <c r="CT450" s="147"/>
      <c r="CU450" s="291"/>
      <c r="CV450" s="292"/>
    </row>
    <row r="451" spans="2:100">
      <c r="B451">
        <v>393</v>
      </c>
      <c r="C451" s="243" t="str">
        <v/>
      </c>
      <c r="D451" s="592" t="str">
        <v/>
      </c>
      <c r="E451" s="245" t="str">
        <v/>
      </c>
      <c r="F451" s="243" t="str">
        <v/>
      </c>
      <c r="G451" s="245" t="str">
        <v/>
      </c>
      <c r="H451" s="243" t="str">
        <v/>
      </c>
      <c r="I451" s="245" t="str">
        <v/>
      </c>
      <c r="J451" s="242" t="str">
        <v/>
      </c>
      <c r="K451" s="242" t="str">
        <v/>
      </c>
      <c r="L451" s="242" t="str">
        <v/>
      </c>
      <c r="M451" s="243" t="str">
        <v/>
      </c>
      <c r="N451" s="592" t="str">
        <v/>
      </c>
      <c r="O451" s="245" t="str">
        <v/>
      </c>
      <c r="P451" s="245" t="str">
        <v/>
      </c>
      <c r="Q451" s="254" t="str">
        <v/>
      </c>
      <c r="R451" s="255" t="str">
        <v/>
      </c>
      <c r="S451" s="256" t="str">
        <v/>
      </c>
      <c r="T451" s="257" t="str">
        <v/>
      </c>
      <c r="U451" s="255" t="str">
        <v/>
      </c>
      <c r="V451" s="256" t="str">
        <v/>
      </c>
      <c r="W451" s="257" t="str">
        <v/>
      </c>
      <c r="X451" s="255" t="str">
        <v/>
      </c>
      <c r="Y451" s="256" t="str">
        <v/>
      </c>
      <c r="Z451" s="257" t="str">
        <v/>
      </c>
      <c r="AA451" s="255" t="str">
        <v/>
      </c>
      <c r="AB451" s="256" t="str">
        <v/>
      </c>
      <c r="AC451" s="257" t="str">
        <v/>
      </c>
      <c r="AD451" s="255" t="str">
        <v/>
      </c>
      <c r="AE451" s="256" t="str">
        <v/>
      </c>
      <c r="AF451" s="257" t="str">
        <v/>
      </c>
      <c r="AG451" s="255" t="str">
        <v/>
      </c>
      <c r="AH451" s="256" t="str">
        <v/>
      </c>
      <c r="AI451" s="257" t="str">
        <v/>
      </c>
      <c r="AJ451" s="255" t="str">
        <v/>
      </c>
      <c r="AK451" s="256" t="str">
        <v/>
      </c>
      <c r="AL451" s="257" t="str">
        <v/>
      </c>
      <c r="AM451" s="255" t="str">
        <v/>
      </c>
      <c r="AN451" s="256" t="str">
        <v/>
      </c>
      <c r="AO451" s="257" t="str">
        <v/>
      </c>
      <c r="AP451" s="255" t="str">
        <v/>
      </c>
      <c r="AQ451" s="256" t="str">
        <v/>
      </c>
      <c r="AR451" s="257" t="str">
        <v/>
      </c>
      <c r="AS451" s="255" t="str">
        <v/>
      </c>
      <c r="AT451" s="256" t="str">
        <v/>
      </c>
      <c r="AU451" s="257" t="str">
        <v/>
      </c>
      <c r="AV451" s="255" t="str">
        <v/>
      </c>
      <c r="AW451" s="256" t="str">
        <v/>
      </c>
      <c r="AX451" s="257" t="str">
        <v/>
      </c>
      <c r="AY451" s="243">
        <v>0</v>
      </c>
      <c r="AZ451" s="244">
        <v>0</v>
      </c>
      <c r="BA451" s="244">
        <v>0</v>
      </c>
      <c r="BB451" s="244">
        <v>0</v>
      </c>
      <c r="BC451" s="244">
        <v>0</v>
      </c>
      <c r="BD451" s="244">
        <v>0</v>
      </c>
      <c r="BE451" s="244">
        <v>0</v>
      </c>
      <c r="BF451" s="244">
        <v>0</v>
      </c>
      <c r="BG451" s="244">
        <v>0</v>
      </c>
      <c r="BH451" s="245">
        <v>0</v>
      </c>
      <c r="BK451">
        <v>393</v>
      </c>
      <c r="BL451" s="281"/>
      <c r="BM451" s="281"/>
      <c r="BN451" s="282"/>
      <c r="BO451" s="282"/>
      <c r="BP451" s="282"/>
      <c r="BQ451" s="283"/>
      <c r="BR451" s="284"/>
      <c r="BS451" s="147"/>
      <c r="BT451" s="285"/>
      <c r="BU451" s="288"/>
      <c r="BV451" s="287"/>
      <c r="BW451" s="288"/>
      <c r="BX451" s="286"/>
      <c r="BY451" s="287"/>
      <c r="BZ451" s="288"/>
      <c r="CA451" s="286"/>
      <c r="CB451" s="286"/>
      <c r="CC451" s="287"/>
      <c r="CD451" s="286"/>
      <c r="CE451" s="286"/>
      <c r="CF451" s="286"/>
      <c r="CG451" s="287"/>
      <c r="CH451" s="288"/>
      <c r="CI451" s="286"/>
      <c r="CJ451" s="286"/>
      <c r="CK451" s="287"/>
      <c r="CL451" s="288"/>
      <c r="CM451" s="286"/>
      <c r="CN451" s="294"/>
      <c r="CO451" s="289"/>
      <c r="CP451" s="290"/>
      <c r="CQ451" s="289"/>
      <c r="CR451" s="290"/>
      <c r="CS451" s="284"/>
      <c r="CT451" s="147"/>
      <c r="CU451" s="291"/>
      <c r="CV451" s="292"/>
    </row>
    <row r="452" spans="2:100">
      <c r="B452">
        <v>394</v>
      </c>
      <c r="C452" s="243" t="str">
        <v/>
      </c>
      <c r="D452" s="592" t="str">
        <v/>
      </c>
      <c r="E452" s="245" t="str">
        <v/>
      </c>
      <c r="F452" s="243" t="str">
        <v/>
      </c>
      <c r="G452" s="245" t="str">
        <v/>
      </c>
      <c r="H452" s="243" t="str">
        <v/>
      </c>
      <c r="I452" s="245" t="str">
        <v/>
      </c>
      <c r="J452" s="242" t="str">
        <v/>
      </c>
      <c r="K452" s="242" t="str">
        <v/>
      </c>
      <c r="L452" s="242" t="str">
        <v/>
      </c>
      <c r="M452" s="243" t="str">
        <v/>
      </c>
      <c r="N452" s="592" t="str">
        <v/>
      </c>
      <c r="O452" s="245" t="str">
        <v/>
      </c>
      <c r="P452" s="245" t="str">
        <v/>
      </c>
      <c r="Q452" s="254" t="str">
        <v/>
      </c>
      <c r="R452" s="255" t="str">
        <v/>
      </c>
      <c r="S452" s="256" t="str">
        <v/>
      </c>
      <c r="T452" s="257" t="str">
        <v/>
      </c>
      <c r="U452" s="255" t="str">
        <v/>
      </c>
      <c r="V452" s="256" t="str">
        <v/>
      </c>
      <c r="W452" s="257" t="str">
        <v/>
      </c>
      <c r="X452" s="255" t="str">
        <v/>
      </c>
      <c r="Y452" s="256" t="str">
        <v/>
      </c>
      <c r="Z452" s="257" t="str">
        <v/>
      </c>
      <c r="AA452" s="255" t="str">
        <v/>
      </c>
      <c r="AB452" s="256" t="str">
        <v/>
      </c>
      <c r="AC452" s="257" t="str">
        <v/>
      </c>
      <c r="AD452" s="255" t="str">
        <v/>
      </c>
      <c r="AE452" s="256" t="str">
        <v/>
      </c>
      <c r="AF452" s="257" t="str">
        <v/>
      </c>
      <c r="AG452" s="255" t="str">
        <v/>
      </c>
      <c r="AH452" s="256" t="str">
        <v/>
      </c>
      <c r="AI452" s="257" t="str">
        <v/>
      </c>
      <c r="AJ452" s="255" t="str">
        <v/>
      </c>
      <c r="AK452" s="256" t="str">
        <v/>
      </c>
      <c r="AL452" s="257" t="str">
        <v/>
      </c>
      <c r="AM452" s="255" t="str">
        <v/>
      </c>
      <c r="AN452" s="256" t="str">
        <v/>
      </c>
      <c r="AO452" s="257" t="str">
        <v/>
      </c>
      <c r="AP452" s="255" t="str">
        <v/>
      </c>
      <c r="AQ452" s="256" t="str">
        <v/>
      </c>
      <c r="AR452" s="257" t="str">
        <v/>
      </c>
      <c r="AS452" s="255" t="str">
        <v/>
      </c>
      <c r="AT452" s="256" t="str">
        <v/>
      </c>
      <c r="AU452" s="257" t="str">
        <v/>
      </c>
      <c r="AV452" s="255" t="str">
        <v/>
      </c>
      <c r="AW452" s="256" t="str">
        <v/>
      </c>
      <c r="AX452" s="257" t="str">
        <v/>
      </c>
      <c r="AY452" s="243">
        <v>0</v>
      </c>
      <c r="AZ452" s="244">
        <v>0</v>
      </c>
      <c r="BA452" s="244">
        <v>0</v>
      </c>
      <c r="BB452" s="244">
        <v>0</v>
      </c>
      <c r="BC452" s="244">
        <v>0</v>
      </c>
      <c r="BD452" s="244">
        <v>0</v>
      </c>
      <c r="BE452" s="244">
        <v>0</v>
      </c>
      <c r="BF452" s="244">
        <v>0</v>
      </c>
      <c r="BG452" s="244">
        <v>0</v>
      </c>
      <c r="BH452" s="245">
        <v>0</v>
      </c>
      <c r="BK452">
        <v>394</v>
      </c>
      <c r="BL452" s="281"/>
      <c r="BM452" s="281"/>
      <c r="BN452" s="282"/>
      <c r="BO452" s="282"/>
      <c r="BP452" s="282"/>
      <c r="BQ452" s="283"/>
      <c r="BR452" s="284"/>
      <c r="BS452" s="147"/>
      <c r="BT452" s="285"/>
      <c r="BU452" s="288"/>
      <c r="BV452" s="287"/>
      <c r="BW452" s="288"/>
      <c r="BX452" s="286"/>
      <c r="BY452" s="287"/>
      <c r="BZ452" s="288"/>
      <c r="CA452" s="286"/>
      <c r="CB452" s="286"/>
      <c r="CC452" s="287"/>
      <c r="CD452" s="286"/>
      <c r="CE452" s="286"/>
      <c r="CF452" s="286"/>
      <c r="CG452" s="287"/>
      <c r="CH452" s="288"/>
      <c r="CI452" s="286"/>
      <c r="CJ452" s="286"/>
      <c r="CK452" s="287"/>
      <c r="CL452" s="288"/>
      <c r="CM452" s="286"/>
      <c r="CN452" s="294"/>
      <c r="CO452" s="289"/>
      <c r="CP452" s="290"/>
      <c r="CQ452" s="289"/>
      <c r="CR452" s="290"/>
      <c r="CS452" s="284"/>
      <c r="CT452" s="147"/>
      <c r="CU452" s="291"/>
      <c r="CV452" s="292"/>
    </row>
    <row r="453" spans="2:100">
      <c r="B453">
        <v>395</v>
      </c>
      <c r="C453" s="243" t="str">
        <v/>
      </c>
      <c r="D453" s="592" t="str">
        <v/>
      </c>
      <c r="E453" s="245" t="str">
        <v/>
      </c>
      <c r="F453" s="243" t="str">
        <v/>
      </c>
      <c r="G453" s="245" t="str">
        <v/>
      </c>
      <c r="H453" s="243" t="str">
        <v/>
      </c>
      <c r="I453" s="245" t="str">
        <v/>
      </c>
      <c r="J453" s="242" t="str">
        <v/>
      </c>
      <c r="K453" s="242" t="str">
        <v/>
      </c>
      <c r="L453" s="242" t="str">
        <v/>
      </c>
      <c r="M453" s="243" t="str">
        <v/>
      </c>
      <c r="N453" s="592" t="str">
        <v/>
      </c>
      <c r="O453" s="245" t="str">
        <v/>
      </c>
      <c r="P453" s="245" t="str">
        <v/>
      </c>
      <c r="Q453" s="254" t="str">
        <v/>
      </c>
      <c r="R453" s="255" t="str">
        <v/>
      </c>
      <c r="S453" s="256" t="str">
        <v/>
      </c>
      <c r="T453" s="257" t="str">
        <v/>
      </c>
      <c r="U453" s="255" t="str">
        <v/>
      </c>
      <c r="V453" s="256" t="str">
        <v/>
      </c>
      <c r="W453" s="257" t="str">
        <v/>
      </c>
      <c r="X453" s="255" t="str">
        <v/>
      </c>
      <c r="Y453" s="256" t="str">
        <v/>
      </c>
      <c r="Z453" s="257" t="str">
        <v/>
      </c>
      <c r="AA453" s="255" t="str">
        <v/>
      </c>
      <c r="AB453" s="256" t="str">
        <v/>
      </c>
      <c r="AC453" s="257" t="str">
        <v/>
      </c>
      <c r="AD453" s="255" t="str">
        <v/>
      </c>
      <c r="AE453" s="256" t="str">
        <v/>
      </c>
      <c r="AF453" s="257" t="str">
        <v/>
      </c>
      <c r="AG453" s="255" t="str">
        <v/>
      </c>
      <c r="AH453" s="256" t="str">
        <v/>
      </c>
      <c r="AI453" s="257" t="str">
        <v/>
      </c>
      <c r="AJ453" s="255" t="str">
        <v/>
      </c>
      <c r="AK453" s="256" t="str">
        <v/>
      </c>
      <c r="AL453" s="257" t="str">
        <v/>
      </c>
      <c r="AM453" s="255" t="str">
        <v/>
      </c>
      <c r="AN453" s="256" t="str">
        <v/>
      </c>
      <c r="AO453" s="257" t="str">
        <v/>
      </c>
      <c r="AP453" s="255" t="str">
        <v/>
      </c>
      <c r="AQ453" s="256" t="str">
        <v/>
      </c>
      <c r="AR453" s="257" t="str">
        <v/>
      </c>
      <c r="AS453" s="255" t="str">
        <v/>
      </c>
      <c r="AT453" s="256" t="str">
        <v/>
      </c>
      <c r="AU453" s="257" t="str">
        <v/>
      </c>
      <c r="AV453" s="255" t="str">
        <v/>
      </c>
      <c r="AW453" s="256" t="str">
        <v/>
      </c>
      <c r="AX453" s="257" t="str">
        <v/>
      </c>
      <c r="AY453" s="243">
        <v>0</v>
      </c>
      <c r="AZ453" s="244">
        <v>0</v>
      </c>
      <c r="BA453" s="244">
        <v>0</v>
      </c>
      <c r="BB453" s="244">
        <v>0</v>
      </c>
      <c r="BC453" s="244">
        <v>0</v>
      </c>
      <c r="BD453" s="244">
        <v>0</v>
      </c>
      <c r="BE453" s="244">
        <v>0</v>
      </c>
      <c r="BF453" s="244">
        <v>0</v>
      </c>
      <c r="BG453" s="244">
        <v>0</v>
      </c>
      <c r="BH453" s="245">
        <v>0</v>
      </c>
      <c r="BK453">
        <v>395</v>
      </c>
      <c r="BL453" s="281"/>
      <c r="BM453" s="281"/>
      <c r="BN453" s="282"/>
      <c r="BO453" s="282"/>
      <c r="BP453" s="282"/>
      <c r="BQ453" s="283"/>
      <c r="BR453" s="284"/>
      <c r="BS453" s="147"/>
      <c r="BT453" s="285"/>
      <c r="BU453" s="288"/>
      <c r="BV453" s="287"/>
      <c r="BW453" s="288"/>
      <c r="BX453" s="286"/>
      <c r="BY453" s="287"/>
      <c r="BZ453" s="288"/>
      <c r="CA453" s="286"/>
      <c r="CB453" s="286"/>
      <c r="CC453" s="287"/>
      <c r="CD453" s="286"/>
      <c r="CE453" s="286"/>
      <c r="CF453" s="286"/>
      <c r="CG453" s="287"/>
      <c r="CH453" s="288"/>
      <c r="CI453" s="286"/>
      <c r="CJ453" s="286"/>
      <c r="CK453" s="287"/>
      <c r="CL453" s="288"/>
      <c r="CM453" s="286"/>
      <c r="CN453" s="294"/>
      <c r="CO453" s="289"/>
      <c r="CP453" s="290"/>
      <c r="CQ453" s="289"/>
      <c r="CR453" s="290"/>
      <c r="CS453" s="284"/>
      <c r="CT453" s="147"/>
      <c r="CU453" s="291"/>
      <c r="CV453" s="292"/>
    </row>
    <row r="454" spans="2:100">
      <c r="B454">
        <v>396</v>
      </c>
      <c r="C454" s="243" t="str">
        <v/>
      </c>
      <c r="D454" s="592" t="str">
        <v/>
      </c>
      <c r="E454" s="245" t="str">
        <v/>
      </c>
      <c r="F454" s="243" t="str">
        <v/>
      </c>
      <c r="G454" s="245" t="str">
        <v/>
      </c>
      <c r="H454" s="243" t="str">
        <v/>
      </c>
      <c r="I454" s="245" t="str">
        <v/>
      </c>
      <c r="J454" s="242" t="str">
        <v/>
      </c>
      <c r="K454" s="242" t="str">
        <v/>
      </c>
      <c r="L454" s="242" t="str">
        <v/>
      </c>
      <c r="M454" s="243" t="str">
        <v/>
      </c>
      <c r="N454" s="592" t="str">
        <v/>
      </c>
      <c r="O454" s="245" t="str">
        <v/>
      </c>
      <c r="P454" s="245" t="str">
        <v/>
      </c>
      <c r="Q454" s="254" t="str">
        <v/>
      </c>
      <c r="R454" s="255" t="str">
        <v/>
      </c>
      <c r="S454" s="256" t="str">
        <v/>
      </c>
      <c r="T454" s="257" t="str">
        <v/>
      </c>
      <c r="U454" s="255" t="str">
        <v/>
      </c>
      <c r="V454" s="256" t="str">
        <v/>
      </c>
      <c r="W454" s="257" t="str">
        <v/>
      </c>
      <c r="X454" s="255" t="str">
        <v/>
      </c>
      <c r="Y454" s="256" t="str">
        <v/>
      </c>
      <c r="Z454" s="257" t="str">
        <v/>
      </c>
      <c r="AA454" s="255" t="str">
        <v/>
      </c>
      <c r="AB454" s="256" t="str">
        <v/>
      </c>
      <c r="AC454" s="257" t="str">
        <v/>
      </c>
      <c r="AD454" s="255" t="str">
        <v/>
      </c>
      <c r="AE454" s="256" t="str">
        <v/>
      </c>
      <c r="AF454" s="257" t="str">
        <v/>
      </c>
      <c r="AG454" s="255" t="str">
        <v/>
      </c>
      <c r="AH454" s="256" t="str">
        <v/>
      </c>
      <c r="AI454" s="257" t="str">
        <v/>
      </c>
      <c r="AJ454" s="255" t="str">
        <v/>
      </c>
      <c r="AK454" s="256" t="str">
        <v/>
      </c>
      <c r="AL454" s="257" t="str">
        <v/>
      </c>
      <c r="AM454" s="255" t="str">
        <v/>
      </c>
      <c r="AN454" s="256" t="str">
        <v/>
      </c>
      <c r="AO454" s="257" t="str">
        <v/>
      </c>
      <c r="AP454" s="255" t="str">
        <v/>
      </c>
      <c r="AQ454" s="256" t="str">
        <v/>
      </c>
      <c r="AR454" s="257" t="str">
        <v/>
      </c>
      <c r="AS454" s="255" t="str">
        <v/>
      </c>
      <c r="AT454" s="256" t="str">
        <v/>
      </c>
      <c r="AU454" s="257" t="str">
        <v/>
      </c>
      <c r="AV454" s="255" t="str">
        <v/>
      </c>
      <c r="AW454" s="256" t="str">
        <v/>
      </c>
      <c r="AX454" s="257" t="str">
        <v/>
      </c>
      <c r="AY454" s="243">
        <v>0</v>
      </c>
      <c r="AZ454" s="244">
        <v>0</v>
      </c>
      <c r="BA454" s="244">
        <v>0</v>
      </c>
      <c r="BB454" s="244">
        <v>0</v>
      </c>
      <c r="BC454" s="244">
        <v>0</v>
      </c>
      <c r="BD454" s="244">
        <v>0</v>
      </c>
      <c r="BE454" s="244">
        <v>0</v>
      </c>
      <c r="BF454" s="244">
        <v>0</v>
      </c>
      <c r="BG454" s="244">
        <v>0</v>
      </c>
      <c r="BH454" s="245">
        <v>0</v>
      </c>
      <c r="BK454">
        <v>396</v>
      </c>
      <c r="BL454" s="281"/>
      <c r="BM454" s="281"/>
      <c r="BN454" s="282"/>
      <c r="BO454" s="282"/>
      <c r="BP454" s="282"/>
      <c r="BQ454" s="283"/>
      <c r="BR454" s="284"/>
      <c r="BS454" s="147"/>
      <c r="BT454" s="285"/>
      <c r="BU454" s="288"/>
      <c r="BV454" s="287"/>
      <c r="BW454" s="288"/>
      <c r="BX454" s="286"/>
      <c r="BY454" s="287"/>
      <c r="BZ454" s="288"/>
      <c r="CA454" s="286"/>
      <c r="CB454" s="286"/>
      <c r="CC454" s="287"/>
      <c r="CD454" s="286"/>
      <c r="CE454" s="286"/>
      <c r="CF454" s="286"/>
      <c r="CG454" s="287"/>
      <c r="CH454" s="288"/>
      <c r="CI454" s="286"/>
      <c r="CJ454" s="286"/>
      <c r="CK454" s="287"/>
      <c r="CL454" s="288"/>
      <c r="CM454" s="286"/>
      <c r="CN454" s="294"/>
      <c r="CO454" s="289"/>
      <c r="CP454" s="290"/>
      <c r="CQ454" s="289"/>
      <c r="CR454" s="290"/>
      <c r="CS454" s="284"/>
      <c r="CT454" s="147"/>
      <c r="CU454" s="291"/>
      <c r="CV454" s="292"/>
    </row>
    <row r="455" spans="2:100">
      <c r="B455">
        <v>397</v>
      </c>
      <c r="C455" s="243" t="str">
        <v/>
      </c>
      <c r="D455" s="592" t="str">
        <v/>
      </c>
      <c r="E455" s="245" t="str">
        <v/>
      </c>
      <c r="F455" s="243" t="str">
        <v/>
      </c>
      <c r="G455" s="245" t="str">
        <v/>
      </c>
      <c r="H455" s="243" t="str">
        <v/>
      </c>
      <c r="I455" s="245" t="str">
        <v/>
      </c>
      <c r="J455" s="242" t="str">
        <v/>
      </c>
      <c r="K455" s="242" t="str">
        <v/>
      </c>
      <c r="L455" s="242" t="str">
        <v/>
      </c>
      <c r="M455" s="243" t="str">
        <v/>
      </c>
      <c r="N455" s="592" t="str">
        <v/>
      </c>
      <c r="O455" s="245" t="str">
        <v/>
      </c>
      <c r="P455" s="245" t="str">
        <v/>
      </c>
      <c r="Q455" s="254" t="str">
        <v/>
      </c>
      <c r="R455" s="255" t="str">
        <v/>
      </c>
      <c r="S455" s="256" t="str">
        <v/>
      </c>
      <c r="T455" s="257" t="str">
        <v/>
      </c>
      <c r="U455" s="255" t="str">
        <v/>
      </c>
      <c r="V455" s="256" t="str">
        <v/>
      </c>
      <c r="W455" s="257" t="str">
        <v/>
      </c>
      <c r="X455" s="255" t="str">
        <v/>
      </c>
      <c r="Y455" s="256" t="str">
        <v/>
      </c>
      <c r="Z455" s="257" t="str">
        <v/>
      </c>
      <c r="AA455" s="255" t="str">
        <v/>
      </c>
      <c r="AB455" s="256" t="str">
        <v/>
      </c>
      <c r="AC455" s="257" t="str">
        <v/>
      </c>
      <c r="AD455" s="255" t="str">
        <v/>
      </c>
      <c r="AE455" s="256" t="str">
        <v/>
      </c>
      <c r="AF455" s="257" t="str">
        <v/>
      </c>
      <c r="AG455" s="255" t="str">
        <v/>
      </c>
      <c r="AH455" s="256" t="str">
        <v/>
      </c>
      <c r="AI455" s="257" t="str">
        <v/>
      </c>
      <c r="AJ455" s="255" t="str">
        <v/>
      </c>
      <c r="AK455" s="256" t="str">
        <v/>
      </c>
      <c r="AL455" s="257" t="str">
        <v/>
      </c>
      <c r="AM455" s="255" t="str">
        <v/>
      </c>
      <c r="AN455" s="256" t="str">
        <v/>
      </c>
      <c r="AO455" s="257" t="str">
        <v/>
      </c>
      <c r="AP455" s="255" t="str">
        <v/>
      </c>
      <c r="AQ455" s="256" t="str">
        <v/>
      </c>
      <c r="AR455" s="257" t="str">
        <v/>
      </c>
      <c r="AS455" s="255" t="str">
        <v/>
      </c>
      <c r="AT455" s="256" t="str">
        <v/>
      </c>
      <c r="AU455" s="257" t="str">
        <v/>
      </c>
      <c r="AV455" s="255" t="str">
        <v/>
      </c>
      <c r="AW455" s="256" t="str">
        <v/>
      </c>
      <c r="AX455" s="257" t="str">
        <v/>
      </c>
      <c r="AY455" s="243">
        <v>0</v>
      </c>
      <c r="AZ455" s="244">
        <v>0</v>
      </c>
      <c r="BA455" s="244">
        <v>0</v>
      </c>
      <c r="BB455" s="244">
        <v>0</v>
      </c>
      <c r="BC455" s="244">
        <v>0</v>
      </c>
      <c r="BD455" s="244">
        <v>0</v>
      </c>
      <c r="BE455" s="244">
        <v>0</v>
      </c>
      <c r="BF455" s="244">
        <v>0</v>
      </c>
      <c r="BG455" s="244">
        <v>0</v>
      </c>
      <c r="BH455" s="245">
        <v>0</v>
      </c>
      <c r="BK455">
        <v>397</v>
      </c>
      <c r="BL455" s="281"/>
      <c r="BM455" s="281"/>
      <c r="BN455" s="282"/>
      <c r="BO455" s="282"/>
      <c r="BP455" s="282"/>
      <c r="BQ455" s="283"/>
      <c r="BR455" s="284"/>
      <c r="BS455" s="147"/>
      <c r="BT455" s="285"/>
      <c r="BU455" s="288"/>
      <c r="BV455" s="287"/>
      <c r="BW455" s="288"/>
      <c r="BX455" s="286"/>
      <c r="BY455" s="287"/>
      <c r="BZ455" s="288"/>
      <c r="CA455" s="286"/>
      <c r="CB455" s="286"/>
      <c r="CC455" s="287"/>
      <c r="CD455" s="286"/>
      <c r="CE455" s="286"/>
      <c r="CF455" s="286"/>
      <c r="CG455" s="287"/>
      <c r="CH455" s="288"/>
      <c r="CI455" s="286"/>
      <c r="CJ455" s="286"/>
      <c r="CK455" s="287"/>
      <c r="CL455" s="288"/>
      <c r="CM455" s="286"/>
      <c r="CN455" s="294"/>
      <c r="CO455" s="289"/>
      <c r="CP455" s="290"/>
      <c r="CQ455" s="289"/>
      <c r="CR455" s="290"/>
      <c r="CS455" s="284"/>
      <c r="CT455" s="147"/>
      <c r="CU455" s="291"/>
      <c r="CV455" s="292"/>
    </row>
    <row r="456" spans="2:100">
      <c r="B456">
        <v>398</v>
      </c>
      <c r="C456" s="243" t="str">
        <v/>
      </c>
      <c r="D456" s="592" t="str">
        <v/>
      </c>
      <c r="E456" s="245" t="str">
        <v/>
      </c>
      <c r="F456" s="243" t="str">
        <v/>
      </c>
      <c r="G456" s="245" t="str">
        <v/>
      </c>
      <c r="H456" s="243" t="str">
        <v/>
      </c>
      <c r="I456" s="245" t="str">
        <v/>
      </c>
      <c r="J456" s="242" t="str">
        <v/>
      </c>
      <c r="K456" s="242" t="str">
        <v/>
      </c>
      <c r="L456" s="242" t="str">
        <v/>
      </c>
      <c r="M456" s="243" t="str">
        <v/>
      </c>
      <c r="N456" s="592" t="str">
        <v/>
      </c>
      <c r="O456" s="245" t="str">
        <v/>
      </c>
      <c r="P456" s="245" t="str">
        <v/>
      </c>
      <c r="Q456" s="254" t="str">
        <v/>
      </c>
      <c r="R456" s="255" t="str">
        <v/>
      </c>
      <c r="S456" s="256" t="str">
        <v/>
      </c>
      <c r="T456" s="257" t="str">
        <v/>
      </c>
      <c r="U456" s="255" t="str">
        <v/>
      </c>
      <c r="V456" s="256" t="str">
        <v/>
      </c>
      <c r="W456" s="257" t="str">
        <v/>
      </c>
      <c r="X456" s="255" t="str">
        <v/>
      </c>
      <c r="Y456" s="256" t="str">
        <v/>
      </c>
      <c r="Z456" s="257" t="str">
        <v/>
      </c>
      <c r="AA456" s="255" t="str">
        <v/>
      </c>
      <c r="AB456" s="256" t="str">
        <v/>
      </c>
      <c r="AC456" s="257" t="str">
        <v/>
      </c>
      <c r="AD456" s="255" t="str">
        <v/>
      </c>
      <c r="AE456" s="256" t="str">
        <v/>
      </c>
      <c r="AF456" s="257" t="str">
        <v/>
      </c>
      <c r="AG456" s="255" t="str">
        <v/>
      </c>
      <c r="AH456" s="256" t="str">
        <v/>
      </c>
      <c r="AI456" s="257" t="str">
        <v/>
      </c>
      <c r="AJ456" s="255" t="str">
        <v/>
      </c>
      <c r="AK456" s="256" t="str">
        <v/>
      </c>
      <c r="AL456" s="257" t="str">
        <v/>
      </c>
      <c r="AM456" s="255" t="str">
        <v/>
      </c>
      <c r="AN456" s="256" t="str">
        <v/>
      </c>
      <c r="AO456" s="257" t="str">
        <v/>
      </c>
      <c r="AP456" s="255" t="str">
        <v/>
      </c>
      <c r="AQ456" s="256" t="str">
        <v/>
      </c>
      <c r="AR456" s="257" t="str">
        <v/>
      </c>
      <c r="AS456" s="255" t="str">
        <v/>
      </c>
      <c r="AT456" s="256" t="str">
        <v/>
      </c>
      <c r="AU456" s="257" t="str">
        <v/>
      </c>
      <c r="AV456" s="255" t="str">
        <v/>
      </c>
      <c r="AW456" s="256" t="str">
        <v/>
      </c>
      <c r="AX456" s="257" t="str">
        <v/>
      </c>
      <c r="AY456" s="243">
        <v>0</v>
      </c>
      <c r="AZ456" s="244">
        <v>0</v>
      </c>
      <c r="BA456" s="244">
        <v>0</v>
      </c>
      <c r="BB456" s="244">
        <v>0</v>
      </c>
      <c r="BC456" s="244">
        <v>0</v>
      </c>
      <c r="BD456" s="244">
        <v>0</v>
      </c>
      <c r="BE456" s="244">
        <v>0</v>
      </c>
      <c r="BF456" s="244">
        <v>0</v>
      </c>
      <c r="BG456" s="244">
        <v>0</v>
      </c>
      <c r="BH456" s="245">
        <v>0</v>
      </c>
      <c r="BK456">
        <v>398</v>
      </c>
      <c r="BL456" s="281"/>
      <c r="BM456" s="281"/>
      <c r="BN456" s="282"/>
      <c r="BO456" s="282"/>
      <c r="BP456" s="282"/>
      <c r="BQ456" s="283"/>
      <c r="BR456" s="284"/>
      <c r="BS456" s="147"/>
      <c r="BT456" s="285"/>
      <c r="BU456" s="288"/>
      <c r="BV456" s="287"/>
      <c r="BW456" s="288"/>
      <c r="BX456" s="286"/>
      <c r="BY456" s="287"/>
      <c r="BZ456" s="288"/>
      <c r="CA456" s="286"/>
      <c r="CB456" s="286"/>
      <c r="CC456" s="287"/>
      <c r="CD456" s="286"/>
      <c r="CE456" s="286"/>
      <c r="CF456" s="286"/>
      <c r="CG456" s="287"/>
      <c r="CH456" s="288"/>
      <c r="CI456" s="286"/>
      <c r="CJ456" s="286"/>
      <c r="CK456" s="287"/>
      <c r="CL456" s="288"/>
      <c r="CM456" s="286"/>
      <c r="CN456" s="294"/>
      <c r="CO456" s="289"/>
      <c r="CP456" s="290"/>
      <c r="CQ456" s="289"/>
      <c r="CR456" s="290"/>
      <c r="CS456" s="284"/>
      <c r="CT456" s="147"/>
      <c r="CU456" s="291"/>
      <c r="CV456" s="292"/>
    </row>
    <row r="457" spans="2:100">
      <c r="B457">
        <v>399</v>
      </c>
      <c r="C457" s="243" t="str">
        <v/>
      </c>
      <c r="D457" s="592" t="str">
        <v/>
      </c>
      <c r="E457" s="245" t="str">
        <v/>
      </c>
      <c r="F457" s="243" t="str">
        <v/>
      </c>
      <c r="G457" s="245" t="str">
        <v/>
      </c>
      <c r="H457" s="243" t="str">
        <v/>
      </c>
      <c r="I457" s="245" t="str">
        <v/>
      </c>
      <c r="J457" s="242" t="str">
        <v/>
      </c>
      <c r="K457" s="242" t="str">
        <v/>
      </c>
      <c r="L457" s="242" t="str">
        <v/>
      </c>
      <c r="M457" s="243" t="str">
        <v/>
      </c>
      <c r="N457" s="592" t="str">
        <v/>
      </c>
      <c r="O457" s="245" t="str">
        <v/>
      </c>
      <c r="P457" s="245" t="str">
        <v/>
      </c>
      <c r="Q457" s="254" t="str">
        <v/>
      </c>
      <c r="R457" s="255" t="str">
        <v/>
      </c>
      <c r="S457" s="256" t="str">
        <v/>
      </c>
      <c r="T457" s="257" t="str">
        <v/>
      </c>
      <c r="U457" s="255" t="str">
        <v/>
      </c>
      <c r="V457" s="256" t="str">
        <v/>
      </c>
      <c r="W457" s="257" t="str">
        <v/>
      </c>
      <c r="X457" s="255" t="str">
        <v/>
      </c>
      <c r="Y457" s="256" t="str">
        <v/>
      </c>
      <c r="Z457" s="257" t="str">
        <v/>
      </c>
      <c r="AA457" s="255" t="str">
        <v/>
      </c>
      <c r="AB457" s="256" t="str">
        <v/>
      </c>
      <c r="AC457" s="257" t="str">
        <v/>
      </c>
      <c r="AD457" s="255" t="str">
        <v/>
      </c>
      <c r="AE457" s="256" t="str">
        <v/>
      </c>
      <c r="AF457" s="257" t="str">
        <v/>
      </c>
      <c r="AG457" s="255" t="str">
        <v/>
      </c>
      <c r="AH457" s="256" t="str">
        <v/>
      </c>
      <c r="AI457" s="257" t="str">
        <v/>
      </c>
      <c r="AJ457" s="255" t="str">
        <v/>
      </c>
      <c r="AK457" s="256" t="str">
        <v/>
      </c>
      <c r="AL457" s="257" t="str">
        <v/>
      </c>
      <c r="AM457" s="255" t="str">
        <v/>
      </c>
      <c r="AN457" s="256" t="str">
        <v/>
      </c>
      <c r="AO457" s="257" t="str">
        <v/>
      </c>
      <c r="AP457" s="255" t="str">
        <v/>
      </c>
      <c r="AQ457" s="256" t="str">
        <v/>
      </c>
      <c r="AR457" s="257" t="str">
        <v/>
      </c>
      <c r="AS457" s="255" t="str">
        <v/>
      </c>
      <c r="AT457" s="256" t="str">
        <v/>
      </c>
      <c r="AU457" s="257" t="str">
        <v/>
      </c>
      <c r="AV457" s="255" t="str">
        <v/>
      </c>
      <c r="AW457" s="256" t="str">
        <v/>
      </c>
      <c r="AX457" s="257" t="str">
        <v/>
      </c>
      <c r="AY457" s="243">
        <v>0</v>
      </c>
      <c r="AZ457" s="244">
        <v>0</v>
      </c>
      <c r="BA457" s="244">
        <v>0</v>
      </c>
      <c r="BB457" s="244">
        <v>0</v>
      </c>
      <c r="BC457" s="244">
        <v>0</v>
      </c>
      <c r="BD457" s="244">
        <v>0</v>
      </c>
      <c r="BE457" s="244">
        <v>0</v>
      </c>
      <c r="BF457" s="244">
        <v>0</v>
      </c>
      <c r="BG457" s="244">
        <v>0</v>
      </c>
      <c r="BH457" s="245">
        <v>0</v>
      </c>
      <c r="BK457">
        <v>399</v>
      </c>
      <c r="BL457" s="281"/>
      <c r="BM457" s="281"/>
      <c r="BN457" s="282"/>
      <c r="BO457" s="282"/>
      <c r="BP457" s="282"/>
      <c r="BQ457" s="283"/>
      <c r="BR457" s="284"/>
      <c r="BS457" s="147"/>
      <c r="BT457" s="285"/>
      <c r="BU457" s="288"/>
      <c r="BV457" s="287"/>
      <c r="BW457" s="288"/>
      <c r="BX457" s="286"/>
      <c r="BY457" s="287"/>
      <c r="BZ457" s="288"/>
      <c r="CA457" s="286"/>
      <c r="CB457" s="286"/>
      <c r="CC457" s="287"/>
      <c r="CD457" s="286"/>
      <c r="CE457" s="286"/>
      <c r="CF457" s="286"/>
      <c r="CG457" s="287"/>
      <c r="CH457" s="288"/>
      <c r="CI457" s="286"/>
      <c r="CJ457" s="286"/>
      <c r="CK457" s="287"/>
      <c r="CL457" s="288"/>
      <c r="CM457" s="286"/>
      <c r="CN457" s="294"/>
      <c r="CO457" s="289"/>
      <c r="CP457" s="290"/>
      <c r="CQ457" s="289"/>
      <c r="CR457" s="290"/>
      <c r="CS457" s="284"/>
      <c r="CT457" s="147"/>
      <c r="CU457" s="291"/>
      <c r="CV457" s="292"/>
    </row>
    <row r="458" spans="2:100">
      <c r="B458">
        <v>400</v>
      </c>
      <c r="C458" s="243" t="str">
        <v/>
      </c>
      <c r="D458" s="592" t="str">
        <v/>
      </c>
      <c r="E458" s="245" t="str">
        <v/>
      </c>
      <c r="F458" s="243" t="str">
        <v/>
      </c>
      <c r="G458" s="245" t="str">
        <v/>
      </c>
      <c r="H458" s="243" t="str">
        <v/>
      </c>
      <c r="I458" s="245" t="str">
        <v/>
      </c>
      <c r="J458" s="242" t="str">
        <v/>
      </c>
      <c r="K458" s="242" t="str">
        <v/>
      </c>
      <c r="L458" s="242" t="str">
        <v/>
      </c>
      <c r="M458" s="243" t="str">
        <v/>
      </c>
      <c r="N458" s="592" t="str">
        <v/>
      </c>
      <c r="O458" s="245" t="str">
        <v/>
      </c>
      <c r="P458" s="245" t="str">
        <v/>
      </c>
      <c r="Q458" s="254" t="str">
        <v/>
      </c>
      <c r="R458" s="255" t="str">
        <v/>
      </c>
      <c r="S458" s="256" t="str">
        <v/>
      </c>
      <c r="T458" s="257" t="str">
        <v/>
      </c>
      <c r="U458" s="255" t="str">
        <v/>
      </c>
      <c r="V458" s="256" t="str">
        <v/>
      </c>
      <c r="W458" s="257" t="str">
        <v/>
      </c>
      <c r="X458" s="255" t="str">
        <v/>
      </c>
      <c r="Y458" s="256" t="str">
        <v/>
      </c>
      <c r="Z458" s="257" t="str">
        <v/>
      </c>
      <c r="AA458" s="255" t="str">
        <v/>
      </c>
      <c r="AB458" s="256" t="str">
        <v/>
      </c>
      <c r="AC458" s="257" t="str">
        <v/>
      </c>
      <c r="AD458" s="255" t="str">
        <v/>
      </c>
      <c r="AE458" s="256" t="str">
        <v/>
      </c>
      <c r="AF458" s="257" t="str">
        <v/>
      </c>
      <c r="AG458" s="255" t="str">
        <v/>
      </c>
      <c r="AH458" s="256" t="str">
        <v/>
      </c>
      <c r="AI458" s="257" t="str">
        <v/>
      </c>
      <c r="AJ458" s="255" t="str">
        <v/>
      </c>
      <c r="AK458" s="256" t="str">
        <v/>
      </c>
      <c r="AL458" s="257" t="str">
        <v/>
      </c>
      <c r="AM458" s="255" t="str">
        <v/>
      </c>
      <c r="AN458" s="256" t="str">
        <v/>
      </c>
      <c r="AO458" s="257" t="str">
        <v/>
      </c>
      <c r="AP458" s="255" t="str">
        <v/>
      </c>
      <c r="AQ458" s="256" t="str">
        <v/>
      </c>
      <c r="AR458" s="257" t="str">
        <v/>
      </c>
      <c r="AS458" s="255" t="str">
        <v/>
      </c>
      <c r="AT458" s="256" t="str">
        <v/>
      </c>
      <c r="AU458" s="257" t="str">
        <v/>
      </c>
      <c r="AV458" s="255" t="str">
        <v/>
      </c>
      <c r="AW458" s="256" t="str">
        <v/>
      </c>
      <c r="AX458" s="257" t="str">
        <v/>
      </c>
      <c r="AY458" s="243">
        <v>0</v>
      </c>
      <c r="AZ458" s="244">
        <v>0</v>
      </c>
      <c r="BA458" s="244">
        <v>0</v>
      </c>
      <c r="BB458" s="244">
        <v>0</v>
      </c>
      <c r="BC458" s="244">
        <v>0</v>
      </c>
      <c r="BD458" s="244">
        <v>0</v>
      </c>
      <c r="BE458" s="244">
        <v>0</v>
      </c>
      <c r="BF458" s="244">
        <v>0</v>
      </c>
      <c r="BG458" s="244">
        <v>0</v>
      </c>
      <c r="BH458" s="245">
        <v>0</v>
      </c>
      <c r="BK458">
        <v>400</v>
      </c>
      <c r="BL458" s="281"/>
      <c r="BM458" s="281"/>
      <c r="BN458" s="282"/>
      <c r="BO458" s="282"/>
      <c r="BP458" s="282"/>
      <c r="BQ458" s="283"/>
      <c r="BR458" s="284"/>
      <c r="BS458" s="147"/>
      <c r="BT458" s="285"/>
      <c r="BU458" s="288"/>
      <c r="BV458" s="287"/>
      <c r="BW458" s="288"/>
      <c r="BX458" s="286"/>
      <c r="BY458" s="287"/>
      <c r="BZ458" s="288"/>
      <c r="CA458" s="286"/>
      <c r="CB458" s="286"/>
      <c r="CC458" s="287"/>
      <c r="CD458" s="286"/>
      <c r="CE458" s="286"/>
      <c r="CF458" s="286"/>
      <c r="CG458" s="287"/>
      <c r="CH458" s="288"/>
      <c r="CI458" s="286"/>
      <c r="CJ458" s="286"/>
      <c r="CK458" s="287"/>
      <c r="CL458" s="288"/>
      <c r="CM458" s="286"/>
      <c r="CN458" s="294"/>
      <c r="CO458" s="289"/>
      <c r="CP458" s="290"/>
      <c r="CQ458" s="289"/>
      <c r="CR458" s="290"/>
      <c r="CS458" s="284"/>
      <c r="CT458" s="147"/>
      <c r="CU458" s="291"/>
      <c r="CV458" s="292"/>
    </row>
    <row r="459" spans="2:100">
      <c r="B459">
        <v>401</v>
      </c>
      <c r="C459" s="243" t="str">
        <v/>
      </c>
      <c r="D459" s="592" t="str">
        <v/>
      </c>
      <c r="E459" s="245" t="str">
        <v/>
      </c>
      <c r="F459" s="243" t="str">
        <v/>
      </c>
      <c r="G459" s="245" t="str">
        <v/>
      </c>
      <c r="H459" s="243" t="str">
        <v/>
      </c>
      <c r="I459" s="245" t="str">
        <v/>
      </c>
      <c r="J459" s="242" t="str">
        <v/>
      </c>
      <c r="K459" s="242" t="str">
        <v/>
      </c>
      <c r="L459" s="242" t="str">
        <v/>
      </c>
      <c r="M459" s="243" t="str">
        <v/>
      </c>
      <c r="N459" s="592" t="str">
        <v/>
      </c>
      <c r="O459" s="245" t="str">
        <v/>
      </c>
      <c r="P459" s="245" t="str">
        <v/>
      </c>
      <c r="Q459" s="254" t="str">
        <v/>
      </c>
      <c r="R459" s="255" t="str">
        <v/>
      </c>
      <c r="S459" s="256" t="str">
        <v/>
      </c>
      <c r="T459" s="257" t="str">
        <v/>
      </c>
      <c r="U459" s="255" t="str">
        <v/>
      </c>
      <c r="V459" s="256" t="str">
        <v/>
      </c>
      <c r="W459" s="257" t="str">
        <v/>
      </c>
      <c r="X459" s="255" t="str">
        <v/>
      </c>
      <c r="Y459" s="256" t="str">
        <v/>
      </c>
      <c r="Z459" s="257" t="str">
        <v/>
      </c>
      <c r="AA459" s="255" t="str">
        <v/>
      </c>
      <c r="AB459" s="256" t="str">
        <v/>
      </c>
      <c r="AC459" s="257" t="str">
        <v/>
      </c>
      <c r="AD459" s="255" t="str">
        <v/>
      </c>
      <c r="AE459" s="256" t="str">
        <v/>
      </c>
      <c r="AF459" s="257" t="str">
        <v/>
      </c>
      <c r="AG459" s="255" t="str">
        <v/>
      </c>
      <c r="AH459" s="256" t="str">
        <v/>
      </c>
      <c r="AI459" s="257" t="str">
        <v/>
      </c>
      <c r="AJ459" s="255" t="str">
        <v/>
      </c>
      <c r="AK459" s="256" t="str">
        <v/>
      </c>
      <c r="AL459" s="257" t="str">
        <v/>
      </c>
      <c r="AM459" s="255" t="str">
        <v/>
      </c>
      <c r="AN459" s="256" t="str">
        <v/>
      </c>
      <c r="AO459" s="257" t="str">
        <v/>
      </c>
      <c r="AP459" s="255" t="str">
        <v/>
      </c>
      <c r="AQ459" s="256" t="str">
        <v/>
      </c>
      <c r="AR459" s="257" t="str">
        <v/>
      </c>
      <c r="AS459" s="255" t="str">
        <v/>
      </c>
      <c r="AT459" s="256" t="str">
        <v/>
      </c>
      <c r="AU459" s="257" t="str">
        <v/>
      </c>
      <c r="AV459" s="255" t="str">
        <v/>
      </c>
      <c r="AW459" s="256" t="str">
        <v/>
      </c>
      <c r="AX459" s="257" t="str">
        <v/>
      </c>
      <c r="AY459" s="243">
        <v>0</v>
      </c>
      <c r="AZ459" s="244">
        <v>0</v>
      </c>
      <c r="BA459" s="244">
        <v>0</v>
      </c>
      <c r="BB459" s="244">
        <v>0</v>
      </c>
      <c r="BC459" s="244">
        <v>0</v>
      </c>
      <c r="BD459" s="244">
        <v>0</v>
      </c>
      <c r="BE459" s="244">
        <v>0</v>
      </c>
      <c r="BF459" s="244">
        <v>0</v>
      </c>
      <c r="BG459" s="244">
        <v>0</v>
      </c>
      <c r="BH459" s="245">
        <v>0</v>
      </c>
      <c r="BK459">
        <v>401</v>
      </c>
      <c r="BL459" s="281"/>
      <c r="BM459" s="281"/>
      <c r="BN459" s="282"/>
      <c r="BO459" s="282"/>
      <c r="BP459" s="282"/>
      <c r="BQ459" s="283"/>
      <c r="BR459" s="284"/>
      <c r="BS459" s="147"/>
      <c r="BT459" s="285"/>
      <c r="BU459" s="288"/>
      <c r="BV459" s="287"/>
      <c r="BW459" s="288"/>
      <c r="BX459" s="286"/>
      <c r="BY459" s="287"/>
      <c r="BZ459" s="288"/>
      <c r="CA459" s="286"/>
      <c r="CB459" s="286"/>
      <c r="CC459" s="287"/>
      <c r="CD459" s="286"/>
      <c r="CE459" s="286"/>
      <c r="CF459" s="286"/>
      <c r="CG459" s="287"/>
      <c r="CH459" s="288"/>
      <c r="CI459" s="286"/>
      <c r="CJ459" s="286"/>
      <c r="CK459" s="287"/>
      <c r="CL459" s="288"/>
      <c r="CM459" s="286"/>
      <c r="CN459" s="294"/>
      <c r="CO459" s="289"/>
      <c r="CP459" s="290"/>
      <c r="CQ459" s="289"/>
      <c r="CR459" s="290"/>
      <c r="CS459" s="284"/>
      <c r="CT459" s="147"/>
      <c r="CU459" s="291"/>
      <c r="CV459" s="292"/>
    </row>
    <row r="460" spans="2:100">
      <c r="B460">
        <v>402</v>
      </c>
      <c r="C460" s="243" t="str">
        <v/>
      </c>
      <c r="D460" s="592" t="str">
        <v/>
      </c>
      <c r="E460" s="245" t="str">
        <v/>
      </c>
      <c r="F460" s="243" t="str">
        <v/>
      </c>
      <c r="G460" s="245" t="str">
        <v/>
      </c>
      <c r="H460" s="243" t="str">
        <v/>
      </c>
      <c r="I460" s="245" t="str">
        <v/>
      </c>
      <c r="J460" s="242" t="str">
        <v/>
      </c>
      <c r="K460" s="242" t="str">
        <v/>
      </c>
      <c r="L460" s="242" t="str">
        <v/>
      </c>
      <c r="M460" s="243" t="str">
        <v/>
      </c>
      <c r="N460" s="592" t="str">
        <v/>
      </c>
      <c r="O460" s="245" t="str">
        <v/>
      </c>
      <c r="P460" s="245" t="str">
        <v/>
      </c>
      <c r="Q460" s="254" t="str">
        <v/>
      </c>
      <c r="R460" s="255" t="str">
        <v/>
      </c>
      <c r="S460" s="256" t="str">
        <v/>
      </c>
      <c r="T460" s="257" t="str">
        <v/>
      </c>
      <c r="U460" s="255" t="str">
        <v/>
      </c>
      <c r="V460" s="256" t="str">
        <v/>
      </c>
      <c r="W460" s="257" t="str">
        <v/>
      </c>
      <c r="X460" s="255" t="str">
        <v/>
      </c>
      <c r="Y460" s="256" t="str">
        <v/>
      </c>
      <c r="Z460" s="257" t="str">
        <v/>
      </c>
      <c r="AA460" s="255" t="str">
        <v/>
      </c>
      <c r="AB460" s="256" t="str">
        <v/>
      </c>
      <c r="AC460" s="257" t="str">
        <v/>
      </c>
      <c r="AD460" s="255" t="str">
        <v/>
      </c>
      <c r="AE460" s="256" t="str">
        <v/>
      </c>
      <c r="AF460" s="257" t="str">
        <v/>
      </c>
      <c r="AG460" s="255" t="str">
        <v/>
      </c>
      <c r="AH460" s="256" t="str">
        <v/>
      </c>
      <c r="AI460" s="257" t="str">
        <v/>
      </c>
      <c r="AJ460" s="255" t="str">
        <v/>
      </c>
      <c r="AK460" s="256" t="str">
        <v/>
      </c>
      <c r="AL460" s="257" t="str">
        <v/>
      </c>
      <c r="AM460" s="255" t="str">
        <v/>
      </c>
      <c r="AN460" s="256" t="str">
        <v/>
      </c>
      <c r="AO460" s="257" t="str">
        <v/>
      </c>
      <c r="AP460" s="255" t="str">
        <v/>
      </c>
      <c r="AQ460" s="256" t="str">
        <v/>
      </c>
      <c r="AR460" s="257" t="str">
        <v/>
      </c>
      <c r="AS460" s="255" t="str">
        <v/>
      </c>
      <c r="AT460" s="256" t="str">
        <v/>
      </c>
      <c r="AU460" s="257" t="str">
        <v/>
      </c>
      <c r="AV460" s="255" t="str">
        <v/>
      </c>
      <c r="AW460" s="256" t="str">
        <v/>
      </c>
      <c r="AX460" s="257" t="str">
        <v/>
      </c>
      <c r="AY460" s="243">
        <v>0</v>
      </c>
      <c r="AZ460" s="244">
        <v>0</v>
      </c>
      <c r="BA460" s="244">
        <v>0</v>
      </c>
      <c r="BB460" s="244">
        <v>0</v>
      </c>
      <c r="BC460" s="244">
        <v>0</v>
      </c>
      <c r="BD460" s="244">
        <v>0</v>
      </c>
      <c r="BE460" s="244">
        <v>0</v>
      </c>
      <c r="BF460" s="244">
        <v>0</v>
      </c>
      <c r="BG460" s="244">
        <v>0</v>
      </c>
      <c r="BH460" s="245">
        <v>0</v>
      </c>
      <c r="BK460">
        <v>402</v>
      </c>
      <c r="BL460" s="281"/>
      <c r="BM460" s="281"/>
      <c r="BN460" s="282"/>
      <c r="BO460" s="282"/>
      <c r="BP460" s="282"/>
      <c r="BQ460" s="283"/>
      <c r="BR460" s="284"/>
      <c r="BS460" s="147"/>
      <c r="BT460" s="285"/>
      <c r="BU460" s="288"/>
      <c r="BV460" s="287"/>
      <c r="BW460" s="288"/>
      <c r="BX460" s="286"/>
      <c r="BY460" s="287"/>
      <c r="BZ460" s="288"/>
      <c r="CA460" s="286"/>
      <c r="CB460" s="286"/>
      <c r="CC460" s="287"/>
      <c r="CD460" s="286"/>
      <c r="CE460" s="286"/>
      <c r="CF460" s="286"/>
      <c r="CG460" s="287"/>
      <c r="CH460" s="288"/>
      <c r="CI460" s="286"/>
      <c r="CJ460" s="286"/>
      <c r="CK460" s="287"/>
      <c r="CL460" s="288"/>
      <c r="CM460" s="286"/>
      <c r="CN460" s="294"/>
      <c r="CO460" s="289"/>
      <c r="CP460" s="290"/>
      <c r="CQ460" s="289"/>
      <c r="CR460" s="290"/>
      <c r="CS460" s="284"/>
      <c r="CT460" s="147"/>
      <c r="CU460" s="291"/>
      <c r="CV460" s="292"/>
    </row>
    <row r="461" spans="2:100">
      <c r="B461">
        <v>403</v>
      </c>
      <c r="C461" s="243" t="str">
        <v/>
      </c>
      <c r="D461" s="592" t="str">
        <v/>
      </c>
      <c r="E461" s="245" t="str">
        <v/>
      </c>
      <c r="F461" s="243" t="str">
        <v/>
      </c>
      <c r="G461" s="245" t="str">
        <v/>
      </c>
      <c r="H461" s="243" t="str">
        <v/>
      </c>
      <c r="I461" s="245" t="str">
        <v/>
      </c>
      <c r="J461" s="242" t="str">
        <v/>
      </c>
      <c r="K461" s="242" t="str">
        <v/>
      </c>
      <c r="L461" s="242" t="str">
        <v/>
      </c>
      <c r="M461" s="243" t="str">
        <v/>
      </c>
      <c r="N461" s="592" t="str">
        <v/>
      </c>
      <c r="O461" s="245" t="str">
        <v/>
      </c>
      <c r="P461" s="245" t="str">
        <v/>
      </c>
      <c r="Q461" s="254" t="str">
        <v/>
      </c>
      <c r="R461" s="255" t="str">
        <v/>
      </c>
      <c r="S461" s="256" t="str">
        <v/>
      </c>
      <c r="T461" s="257" t="str">
        <v/>
      </c>
      <c r="U461" s="255" t="str">
        <v/>
      </c>
      <c r="V461" s="256" t="str">
        <v/>
      </c>
      <c r="W461" s="257" t="str">
        <v/>
      </c>
      <c r="X461" s="255" t="str">
        <v/>
      </c>
      <c r="Y461" s="256" t="str">
        <v/>
      </c>
      <c r="Z461" s="257" t="str">
        <v/>
      </c>
      <c r="AA461" s="255" t="str">
        <v/>
      </c>
      <c r="AB461" s="256" t="str">
        <v/>
      </c>
      <c r="AC461" s="257" t="str">
        <v/>
      </c>
      <c r="AD461" s="255" t="str">
        <v/>
      </c>
      <c r="AE461" s="256" t="str">
        <v/>
      </c>
      <c r="AF461" s="257" t="str">
        <v/>
      </c>
      <c r="AG461" s="255" t="str">
        <v/>
      </c>
      <c r="AH461" s="256" t="str">
        <v/>
      </c>
      <c r="AI461" s="257" t="str">
        <v/>
      </c>
      <c r="AJ461" s="255" t="str">
        <v/>
      </c>
      <c r="AK461" s="256" t="str">
        <v/>
      </c>
      <c r="AL461" s="257" t="str">
        <v/>
      </c>
      <c r="AM461" s="255" t="str">
        <v/>
      </c>
      <c r="AN461" s="256" t="str">
        <v/>
      </c>
      <c r="AO461" s="257" t="str">
        <v/>
      </c>
      <c r="AP461" s="255" t="str">
        <v/>
      </c>
      <c r="AQ461" s="256" t="str">
        <v/>
      </c>
      <c r="AR461" s="257" t="str">
        <v/>
      </c>
      <c r="AS461" s="255" t="str">
        <v/>
      </c>
      <c r="AT461" s="256" t="str">
        <v/>
      </c>
      <c r="AU461" s="257" t="str">
        <v/>
      </c>
      <c r="AV461" s="255" t="str">
        <v/>
      </c>
      <c r="AW461" s="256" t="str">
        <v/>
      </c>
      <c r="AX461" s="257" t="str">
        <v/>
      </c>
      <c r="AY461" s="243">
        <v>0</v>
      </c>
      <c r="AZ461" s="244">
        <v>0</v>
      </c>
      <c r="BA461" s="244">
        <v>0</v>
      </c>
      <c r="BB461" s="244">
        <v>0</v>
      </c>
      <c r="BC461" s="244">
        <v>0</v>
      </c>
      <c r="BD461" s="244">
        <v>0</v>
      </c>
      <c r="BE461" s="244">
        <v>0</v>
      </c>
      <c r="BF461" s="244">
        <v>0</v>
      </c>
      <c r="BG461" s="244">
        <v>0</v>
      </c>
      <c r="BH461" s="245">
        <v>0</v>
      </c>
      <c r="BK461">
        <v>403</v>
      </c>
      <c r="BL461" s="281"/>
      <c r="BM461" s="281"/>
      <c r="BN461" s="282"/>
      <c r="BO461" s="282"/>
      <c r="BP461" s="282"/>
      <c r="BQ461" s="283"/>
      <c r="BR461" s="284"/>
      <c r="BS461" s="147"/>
      <c r="BT461" s="285"/>
      <c r="BU461" s="288"/>
      <c r="BV461" s="287"/>
      <c r="BW461" s="288"/>
      <c r="BX461" s="286"/>
      <c r="BY461" s="287"/>
      <c r="BZ461" s="288"/>
      <c r="CA461" s="286"/>
      <c r="CB461" s="286"/>
      <c r="CC461" s="287"/>
      <c r="CD461" s="286"/>
      <c r="CE461" s="286"/>
      <c r="CF461" s="286"/>
      <c r="CG461" s="287"/>
      <c r="CH461" s="288"/>
      <c r="CI461" s="286"/>
      <c r="CJ461" s="286"/>
      <c r="CK461" s="287"/>
      <c r="CL461" s="288"/>
      <c r="CM461" s="286"/>
      <c r="CN461" s="294"/>
      <c r="CO461" s="289"/>
      <c r="CP461" s="290"/>
      <c r="CQ461" s="289"/>
      <c r="CR461" s="290"/>
      <c r="CS461" s="284"/>
      <c r="CT461" s="147"/>
      <c r="CU461" s="291"/>
      <c r="CV461" s="292"/>
    </row>
    <row r="462" spans="2:100">
      <c r="B462">
        <v>404</v>
      </c>
      <c r="C462" s="243" t="str">
        <v/>
      </c>
      <c r="D462" s="592" t="str">
        <v/>
      </c>
      <c r="E462" s="245" t="str">
        <v/>
      </c>
      <c r="F462" s="243" t="str">
        <v/>
      </c>
      <c r="G462" s="245" t="str">
        <v/>
      </c>
      <c r="H462" s="243" t="str">
        <v/>
      </c>
      <c r="I462" s="245" t="str">
        <v/>
      </c>
      <c r="J462" s="242" t="str">
        <v/>
      </c>
      <c r="K462" s="242" t="str">
        <v/>
      </c>
      <c r="L462" s="242" t="str">
        <v/>
      </c>
      <c r="M462" s="243" t="str">
        <v/>
      </c>
      <c r="N462" s="592" t="str">
        <v/>
      </c>
      <c r="O462" s="245" t="str">
        <v/>
      </c>
      <c r="P462" s="245" t="str">
        <v/>
      </c>
      <c r="Q462" s="254" t="str">
        <v/>
      </c>
      <c r="R462" s="255" t="str">
        <v/>
      </c>
      <c r="S462" s="256" t="str">
        <v/>
      </c>
      <c r="T462" s="257" t="str">
        <v/>
      </c>
      <c r="U462" s="255" t="str">
        <v/>
      </c>
      <c r="V462" s="256" t="str">
        <v/>
      </c>
      <c r="W462" s="257" t="str">
        <v/>
      </c>
      <c r="X462" s="255" t="str">
        <v/>
      </c>
      <c r="Y462" s="256" t="str">
        <v/>
      </c>
      <c r="Z462" s="257" t="str">
        <v/>
      </c>
      <c r="AA462" s="255" t="str">
        <v/>
      </c>
      <c r="AB462" s="256" t="str">
        <v/>
      </c>
      <c r="AC462" s="257" t="str">
        <v/>
      </c>
      <c r="AD462" s="255" t="str">
        <v/>
      </c>
      <c r="AE462" s="256" t="str">
        <v/>
      </c>
      <c r="AF462" s="257" t="str">
        <v/>
      </c>
      <c r="AG462" s="255" t="str">
        <v/>
      </c>
      <c r="AH462" s="256" t="str">
        <v/>
      </c>
      <c r="AI462" s="257" t="str">
        <v/>
      </c>
      <c r="AJ462" s="255" t="str">
        <v/>
      </c>
      <c r="AK462" s="256" t="str">
        <v/>
      </c>
      <c r="AL462" s="257" t="str">
        <v/>
      </c>
      <c r="AM462" s="255" t="str">
        <v/>
      </c>
      <c r="AN462" s="256" t="str">
        <v/>
      </c>
      <c r="AO462" s="257" t="str">
        <v/>
      </c>
      <c r="AP462" s="255" t="str">
        <v/>
      </c>
      <c r="AQ462" s="256" t="str">
        <v/>
      </c>
      <c r="AR462" s="257" t="str">
        <v/>
      </c>
      <c r="AS462" s="255" t="str">
        <v/>
      </c>
      <c r="AT462" s="256" t="str">
        <v/>
      </c>
      <c r="AU462" s="257" t="str">
        <v/>
      </c>
      <c r="AV462" s="255" t="str">
        <v/>
      </c>
      <c r="AW462" s="256" t="str">
        <v/>
      </c>
      <c r="AX462" s="257" t="str">
        <v/>
      </c>
      <c r="AY462" s="243">
        <v>0</v>
      </c>
      <c r="AZ462" s="244">
        <v>0</v>
      </c>
      <c r="BA462" s="244">
        <v>0</v>
      </c>
      <c r="BB462" s="244">
        <v>0</v>
      </c>
      <c r="BC462" s="244">
        <v>0</v>
      </c>
      <c r="BD462" s="244">
        <v>0</v>
      </c>
      <c r="BE462" s="244">
        <v>0</v>
      </c>
      <c r="BF462" s="244">
        <v>0</v>
      </c>
      <c r="BG462" s="244">
        <v>0</v>
      </c>
      <c r="BH462" s="245">
        <v>0</v>
      </c>
      <c r="BK462">
        <v>404</v>
      </c>
      <c r="BL462" s="281"/>
      <c r="BM462" s="281"/>
      <c r="BN462" s="282"/>
      <c r="BO462" s="282"/>
      <c r="BP462" s="282"/>
      <c r="BQ462" s="283"/>
      <c r="BR462" s="284"/>
      <c r="BS462" s="147"/>
      <c r="BT462" s="285"/>
      <c r="BU462" s="288"/>
      <c r="BV462" s="287"/>
      <c r="BW462" s="288"/>
      <c r="BX462" s="286"/>
      <c r="BY462" s="287"/>
      <c r="BZ462" s="288"/>
      <c r="CA462" s="286"/>
      <c r="CB462" s="286"/>
      <c r="CC462" s="287"/>
      <c r="CD462" s="286"/>
      <c r="CE462" s="286"/>
      <c r="CF462" s="286"/>
      <c r="CG462" s="287"/>
      <c r="CH462" s="288"/>
      <c r="CI462" s="286"/>
      <c r="CJ462" s="286"/>
      <c r="CK462" s="287"/>
      <c r="CL462" s="288"/>
      <c r="CM462" s="286"/>
      <c r="CN462" s="294"/>
      <c r="CO462" s="289"/>
      <c r="CP462" s="290"/>
      <c r="CQ462" s="289"/>
      <c r="CR462" s="290"/>
      <c r="CS462" s="284"/>
      <c r="CT462" s="147"/>
      <c r="CU462" s="291"/>
      <c r="CV462" s="292"/>
    </row>
    <row r="463" spans="2:100">
      <c r="B463">
        <v>405</v>
      </c>
      <c r="C463" s="243" t="str">
        <v/>
      </c>
      <c r="D463" s="592" t="str">
        <v/>
      </c>
      <c r="E463" s="245" t="str">
        <v/>
      </c>
      <c r="F463" s="243" t="str">
        <v/>
      </c>
      <c r="G463" s="245" t="str">
        <v/>
      </c>
      <c r="H463" s="243" t="str">
        <v/>
      </c>
      <c r="I463" s="245" t="str">
        <v/>
      </c>
      <c r="J463" s="242" t="str">
        <v/>
      </c>
      <c r="K463" s="242" t="str">
        <v/>
      </c>
      <c r="L463" s="242" t="str">
        <v/>
      </c>
      <c r="M463" s="243" t="str">
        <v/>
      </c>
      <c r="N463" s="592" t="str">
        <v/>
      </c>
      <c r="O463" s="245" t="str">
        <v/>
      </c>
      <c r="P463" s="245" t="str">
        <v/>
      </c>
      <c r="Q463" s="254" t="str">
        <v/>
      </c>
      <c r="R463" s="255" t="str">
        <v/>
      </c>
      <c r="S463" s="256" t="str">
        <v/>
      </c>
      <c r="T463" s="257" t="str">
        <v/>
      </c>
      <c r="U463" s="255" t="str">
        <v/>
      </c>
      <c r="V463" s="256" t="str">
        <v/>
      </c>
      <c r="W463" s="257" t="str">
        <v/>
      </c>
      <c r="X463" s="255" t="str">
        <v/>
      </c>
      <c r="Y463" s="256" t="str">
        <v/>
      </c>
      <c r="Z463" s="257" t="str">
        <v/>
      </c>
      <c r="AA463" s="255" t="str">
        <v/>
      </c>
      <c r="AB463" s="256" t="str">
        <v/>
      </c>
      <c r="AC463" s="257" t="str">
        <v/>
      </c>
      <c r="AD463" s="255" t="str">
        <v/>
      </c>
      <c r="AE463" s="256" t="str">
        <v/>
      </c>
      <c r="AF463" s="257" t="str">
        <v/>
      </c>
      <c r="AG463" s="255" t="str">
        <v/>
      </c>
      <c r="AH463" s="256" t="str">
        <v/>
      </c>
      <c r="AI463" s="257" t="str">
        <v/>
      </c>
      <c r="AJ463" s="255" t="str">
        <v/>
      </c>
      <c r="AK463" s="256" t="str">
        <v/>
      </c>
      <c r="AL463" s="257" t="str">
        <v/>
      </c>
      <c r="AM463" s="255" t="str">
        <v/>
      </c>
      <c r="AN463" s="256" t="str">
        <v/>
      </c>
      <c r="AO463" s="257" t="str">
        <v/>
      </c>
      <c r="AP463" s="255" t="str">
        <v/>
      </c>
      <c r="AQ463" s="256" t="str">
        <v/>
      </c>
      <c r="AR463" s="257" t="str">
        <v/>
      </c>
      <c r="AS463" s="255" t="str">
        <v/>
      </c>
      <c r="AT463" s="256" t="str">
        <v/>
      </c>
      <c r="AU463" s="257" t="str">
        <v/>
      </c>
      <c r="AV463" s="255" t="str">
        <v/>
      </c>
      <c r="AW463" s="256" t="str">
        <v/>
      </c>
      <c r="AX463" s="257" t="str">
        <v/>
      </c>
      <c r="AY463" s="243">
        <v>0</v>
      </c>
      <c r="AZ463" s="244">
        <v>0</v>
      </c>
      <c r="BA463" s="244">
        <v>0</v>
      </c>
      <c r="BB463" s="244">
        <v>0</v>
      </c>
      <c r="BC463" s="244">
        <v>0</v>
      </c>
      <c r="BD463" s="244">
        <v>0</v>
      </c>
      <c r="BE463" s="244">
        <v>0</v>
      </c>
      <c r="BF463" s="244">
        <v>0</v>
      </c>
      <c r="BG463" s="244">
        <v>0</v>
      </c>
      <c r="BH463" s="245">
        <v>0</v>
      </c>
      <c r="BK463">
        <v>405</v>
      </c>
      <c r="BL463" s="281"/>
      <c r="BM463" s="281"/>
      <c r="BN463" s="282"/>
      <c r="BO463" s="282"/>
      <c r="BP463" s="282"/>
      <c r="BQ463" s="283"/>
      <c r="BR463" s="284"/>
      <c r="BS463" s="147"/>
      <c r="BT463" s="285"/>
      <c r="BU463" s="288"/>
      <c r="BV463" s="287"/>
      <c r="BW463" s="288"/>
      <c r="BX463" s="286"/>
      <c r="BY463" s="287"/>
      <c r="BZ463" s="288"/>
      <c r="CA463" s="286"/>
      <c r="CB463" s="286"/>
      <c r="CC463" s="287"/>
      <c r="CD463" s="286"/>
      <c r="CE463" s="286"/>
      <c r="CF463" s="286"/>
      <c r="CG463" s="287"/>
      <c r="CH463" s="288"/>
      <c r="CI463" s="286"/>
      <c r="CJ463" s="286"/>
      <c r="CK463" s="287"/>
      <c r="CL463" s="288"/>
      <c r="CM463" s="286"/>
      <c r="CN463" s="294"/>
      <c r="CO463" s="289"/>
      <c r="CP463" s="290"/>
      <c r="CQ463" s="289"/>
      <c r="CR463" s="290"/>
      <c r="CS463" s="284"/>
      <c r="CT463" s="147"/>
      <c r="CU463" s="291"/>
      <c r="CV463" s="292"/>
    </row>
    <row r="464" spans="2:100">
      <c r="B464">
        <v>406</v>
      </c>
      <c r="C464" s="243" t="str">
        <v/>
      </c>
      <c r="D464" s="592" t="str">
        <v/>
      </c>
      <c r="E464" s="245" t="str">
        <v/>
      </c>
      <c r="F464" s="243" t="str">
        <v/>
      </c>
      <c r="G464" s="245" t="str">
        <v/>
      </c>
      <c r="H464" s="243" t="str">
        <v/>
      </c>
      <c r="I464" s="245" t="str">
        <v/>
      </c>
      <c r="J464" s="242" t="str">
        <v/>
      </c>
      <c r="K464" s="242" t="str">
        <v/>
      </c>
      <c r="L464" s="242" t="str">
        <v/>
      </c>
      <c r="M464" s="243" t="str">
        <v/>
      </c>
      <c r="N464" s="592" t="str">
        <v/>
      </c>
      <c r="O464" s="245" t="str">
        <v/>
      </c>
      <c r="P464" s="245" t="str">
        <v/>
      </c>
      <c r="Q464" s="254" t="str">
        <v/>
      </c>
      <c r="R464" s="255" t="str">
        <v/>
      </c>
      <c r="S464" s="256" t="str">
        <v/>
      </c>
      <c r="T464" s="257" t="str">
        <v/>
      </c>
      <c r="U464" s="255" t="str">
        <v/>
      </c>
      <c r="V464" s="256" t="str">
        <v/>
      </c>
      <c r="W464" s="257" t="str">
        <v/>
      </c>
      <c r="X464" s="255" t="str">
        <v/>
      </c>
      <c r="Y464" s="256" t="str">
        <v/>
      </c>
      <c r="Z464" s="257" t="str">
        <v/>
      </c>
      <c r="AA464" s="255" t="str">
        <v/>
      </c>
      <c r="AB464" s="256" t="str">
        <v/>
      </c>
      <c r="AC464" s="257" t="str">
        <v/>
      </c>
      <c r="AD464" s="255" t="str">
        <v/>
      </c>
      <c r="AE464" s="256" t="str">
        <v/>
      </c>
      <c r="AF464" s="257" t="str">
        <v/>
      </c>
      <c r="AG464" s="255" t="str">
        <v/>
      </c>
      <c r="AH464" s="256" t="str">
        <v/>
      </c>
      <c r="AI464" s="257" t="str">
        <v/>
      </c>
      <c r="AJ464" s="255" t="str">
        <v/>
      </c>
      <c r="AK464" s="256" t="str">
        <v/>
      </c>
      <c r="AL464" s="257" t="str">
        <v/>
      </c>
      <c r="AM464" s="255" t="str">
        <v/>
      </c>
      <c r="AN464" s="256" t="str">
        <v/>
      </c>
      <c r="AO464" s="257" t="str">
        <v/>
      </c>
      <c r="AP464" s="255" t="str">
        <v/>
      </c>
      <c r="AQ464" s="256" t="str">
        <v/>
      </c>
      <c r="AR464" s="257" t="str">
        <v/>
      </c>
      <c r="AS464" s="255" t="str">
        <v/>
      </c>
      <c r="AT464" s="256" t="str">
        <v/>
      </c>
      <c r="AU464" s="257" t="str">
        <v/>
      </c>
      <c r="AV464" s="255" t="str">
        <v/>
      </c>
      <c r="AW464" s="256" t="str">
        <v/>
      </c>
      <c r="AX464" s="257" t="str">
        <v/>
      </c>
      <c r="AY464" s="243">
        <v>0</v>
      </c>
      <c r="AZ464" s="244">
        <v>0</v>
      </c>
      <c r="BA464" s="244">
        <v>0</v>
      </c>
      <c r="BB464" s="244">
        <v>0</v>
      </c>
      <c r="BC464" s="244">
        <v>0</v>
      </c>
      <c r="BD464" s="244">
        <v>0</v>
      </c>
      <c r="BE464" s="244">
        <v>0</v>
      </c>
      <c r="BF464" s="244">
        <v>0</v>
      </c>
      <c r="BG464" s="244">
        <v>0</v>
      </c>
      <c r="BH464" s="245">
        <v>0</v>
      </c>
      <c r="BK464">
        <v>406</v>
      </c>
      <c r="BL464" s="281"/>
      <c r="BM464" s="281"/>
      <c r="BN464" s="282"/>
      <c r="BO464" s="282"/>
      <c r="BP464" s="282"/>
      <c r="BQ464" s="283"/>
      <c r="BR464" s="284"/>
      <c r="BS464" s="147"/>
      <c r="BT464" s="285"/>
      <c r="BU464" s="288"/>
      <c r="BV464" s="287"/>
      <c r="BW464" s="288"/>
      <c r="BX464" s="286"/>
      <c r="BY464" s="287"/>
      <c r="BZ464" s="288"/>
      <c r="CA464" s="286"/>
      <c r="CB464" s="286"/>
      <c r="CC464" s="287"/>
      <c r="CD464" s="286"/>
      <c r="CE464" s="286"/>
      <c r="CF464" s="286"/>
      <c r="CG464" s="287"/>
      <c r="CH464" s="288"/>
      <c r="CI464" s="286"/>
      <c r="CJ464" s="286"/>
      <c r="CK464" s="287"/>
      <c r="CL464" s="288"/>
      <c r="CM464" s="286"/>
      <c r="CN464" s="294"/>
      <c r="CO464" s="289"/>
      <c r="CP464" s="290"/>
      <c r="CQ464" s="289"/>
      <c r="CR464" s="290"/>
      <c r="CS464" s="284"/>
      <c r="CT464" s="147"/>
      <c r="CU464" s="291"/>
      <c r="CV464" s="292"/>
    </row>
    <row r="465" spans="2:100">
      <c r="B465">
        <v>407</v>
      </c>
      <c r="C465" s="243" t="str">
        <v/>
      </c>
      <c r="D465" s="592" t="str">
        <v/>
      </c>
      <c r="E465" s="245" t="str">
        <v/>
      </c>
      <c r="F465" s="243" t="str">
        <v/>
      </c>
      <c r="G465" s="245" t="str">
        <v/>
      </c>
      <c r="H465" s="243" t="str">
        <v/>
      </c>
      <c r="I465" s="245" t="str">
        <v/>
      </c>
      <c r="J465" s="242" t="str">
        <v/>
      </c>
      <c r="K465" s="242" t="str">
        <v/>
      </c>
      <c r="L465" s="242" t="str">
        <v/>
      </c>
      <c r="M465" s="243" t="str">
        <v/>
      </c>
      <c r="N465" s="592" t="str">
        <v/>
      </c>
      <c r="O465" s="245" t="str">
        <v/>
      </c>
      <c r="P465" s="245" t="str">
        <v/>
      </c>
      <c r="Q465" s="254" t="str">
        <v/>
      </c>
      <c r="R465" s="255" t="str">
        <v/>
      </c>
      <c r="S465" s="256" t="str">
        <v/>
      </c>
      <c r="T465" s="257" t="str">
        <v/>
      </c>
      <c r="U465" s="255" t="str">
        <v/>
      </c>
      <c r="V465" s="256" t="str">
        <v/>
      </c>
      <c r="W465" s="257" t="str">
        <v/>
      </c>
      <c r="X465" s="255" t="str">
        <v/>
      </c>
      <c r="Y465" s="256" t="str">
        <v/>
      </c>
      <c r="Z465" s="257" t="str">
        <v/>
      </c>
      <c r="AA465" s="255" t="str">
        <v/>
      </c>
      <c r="AB465" s="256" t="str">
        <v/>
      </c>
      <c r="AC465" s="257" t="str">
        <v/>
      </c>
      <c r="AD465" s="255" t="str">
        <v/>
      </c>
      <c r="AE465" s="256" t="str">
        <v/>
      </c>
      <c r="AF465" s="257" t="str">
        <v/>
      </c>
      <c r="AG465" s="255" t="str">
        <v/>
      </c>
      <c r="AH465" s="256" t="str">
        <v/>
      </c>
      <c r="AI465" s="257" t="str">
        <v/>
      </c>
      <c r="AJ465" s="255" t="str">
        <v/>
      </c>
      <c r="AK465" s="256" t="str">
        <v/>
      </c>
      <c r="AL465" s="257" t="str">
        <v/>
      </c>
      <c r="AM465" s="255" t="str">
        <v/>
      </c>
      <c r="AN465" s="256" t="str">
        <v/>
      </c>
      <c r="AO465" s="257" t="str">
        <v/>
      </c>
      <c r="AP465" s="255" t="str">
        <v/>
      </c>
      <c r="AQ465" s="256" t="str">
        <v/>
      </c>
      <c r="AR465" s="257" t="str">
        <v/>
      </c>
      <c r="AS465" s="255" t="str">
        <v/>
      </c>
      <c r="AT465" s="256" t="str">
        <v/>
      </c>
      <c r="AU465" s="257" t="str">
        <v/>
      </c>
      <c r="AV465" s="255" t="str">
        <v/>
      </c>
      <c r="AW465" s="256" t="str">
        <v/>
      </c>
      <c r="AX465" s="257" t="str">
        <v/>
      </c>
      <c r="AY465" s="243">
        <v>0</v>
      </c>
      <c r="AZ465" s="244">
        <v>0</v>
      </c>
      <c r="BA465" s="244">
        <v>0</v>
      </c>
      <c r="BB465" s="244">
        <v>0</v>
      </c>
      <c r="BC465" s="244">
        <v>0</v>
      </c>
      <c r="BD465" s="244">
        <v>0</v>
      </c>
      <c r="BE465" s="244">
        <v>0</v>
      </c>
      <c r="BF465" s="244">
        <v>0</v>
      </c>
      <c r="BG465" s="244">
        <v>0</v>
      </c>
      <c r="BH465" s="245">
        <v>0</v>
      </c>
      <c r="BK465">
        <v>407</v>
      </c>
      <c r="BL465" s="281"/>
      <c r="BM465" s="281"/>
      <c r="BN465" s="282"/>
      <c r="BO465" s="282"/>
      <c r="BP465" s="282"/>
      <c r="BQ465" s="283"/>
      <c r="BR465" s="284"/>
      <c r="BS465" s="147"/>
      <c r="BT465" s="285"/>
      <c r="BU465" s="288"/>
      <c r="BV465" s="287"/>
      <c r="BW465" s="288"/>
      <c r="BX465" s="286"/>
      <c r="BY465" s="287"/>
      <c r="BZ465" s="288"/>
      <c r="CA465" s="286"/>
      <c r="CB465" s="286"/>
      <c r="CC465" s="287"/>
      <c r="CD465" s="286"/>
      <c r="CE465" s="286"/>
      <c r="CF465" s="286"/>
      <c r="CG465" s="287"/>
      <c r="CH465" s="288"/>
      <c r="CI465" s="286"/>
      <c r="CJ465" s="286"/>
      <c r="CK465" s="287"/>
      <c r="CL465" s="288"/>
      <c r="CM465" s="286"/>
      <c r="CN465" s="294"/>
      <c r="CO465" s="289"/>
      <c r="CP465" s="290"/>
      <c r="CQ465" s="289"/>
      <c r="CR465" s="290"/>
      <c r="CS465" s="284"/>
      <c r="CT465" s="147"/>
      <c r="CU465" s="291"/>
      <c r="CV465" s="292"/>
    </row>
    <row r="466" spans="2:100">
      <c r="B466">
        <v>408</v>
      </c>
      <c r="C466" s="243" t="str">
        <v/>
      </c>
      <c r="D466" s="592" t="str">
        <v/>
      </c>
      <c r="E466" s="245" t="str">
        <v/>
      </c>
      <c r="F466" s="243" t="str">
        <v/>
      </c>
      <c r="G466" s="245" t="str">
        <v/>
      </c>
      <c r="H466" s="243" t="str">
        <v/>
      </c>
      <c r="I466" s="245" t="str">
        <v/>
      </c>
      <c r="J466" s="242" t="str">
        <v/>
      </c>
      <c r="K466" s="242" t="str">
        <v/>
      </c>
      <c r="L466" s="242" t="str">
        <v/>
      </c>
      <c r="M466" s="243" t="str">
        <v/>
      </c>
      <c r="N466" s="592" t="str">
        <v/>
      </c>
      <c r="O466" s="245" t="str">
        <v/>
      </c>
      <c r="P466" s="245" t="str">
        <v/>
      </c>
      <c r="Q466" s="254" t="str">
        <v/>
      </c>
      <c r="R466" s="255" t="str">
        <v/>
      </c>
      <c r="S466" s="256" t="str">
        <v/>
      </c>
      <c r="T466" s="257" t="str">
        <v/>
      </c>
      <c r="U466" s="255" t="str">
        <v/>
      </c>
      <c r="V466" s="256" t="str">
        <v/>
      </c>
      <c r="W466" s="257" t="str">
        <v/>
      </c>
      <c r="X466" s="255" t="str">
        <v/>
      </c>
      <c r="Y466" s="256" t="str">
        <v/>
      </c>
      <c r="Z466" s="257" t="str">
        <v/>
      </c>
      <c r="AA466" s="255" t="str">
        <v/>
      </c>
      <c r="AB466" s="256" t="str">
        <v/>
      </c>
      <c r="AC466" s="257" t="str">
        <v/>
      </c>
      <c r="AD466" s="255" t="str">
        <v/>
      </c>
      <c r="AE466" s="256" t="str">
        <v/>
      </c>
      <c r="AF466" s="257" t="str">
        <v/>
      </c>
      <c r="AG466" s="255" t="str">
        <v/>
      </c>
      <c r="AH466" s="256" t="str">
        <v/>
      </c>
      <c r="AI466" s="257" t="str">
        <v/>
      </c>
      <c r="AJ466" s="255" t="str">
        <v/>
      </c>
      <c r="AK466" s="256" t="str">
        <v/>
      </c>
      <c r="AL466" s="257" t="str">
        <v/>
      </c>
      <c r="AM466" s="255" t="str">
        <v/>
      </c>
      <c r="AN466" s="256" t="str">
        <v/>
      </c>
      <c r="AO466" s="257" t="str">
        <v/>
      </c>
      <c r="AP466" s="255" t="str">
        <v/>
      </c>
      <c r="AQ466" s="256" t="str">
        <v/>
      </c>
      <c r="AR466" s="257" t="str">
        <v/>
      </c>
      <c r="AS466" s="255" t="str">
        <v/>
      </c>
      <c r="AT466" s="256" t="str">
        <v/>
      </c>
      <c r="AU466" s="257" t="str">
        <v/>
      </c>
      <c r="AV466" s="255" t="str">
        <v/>
      </c>
      <c r="AW466" s="256" t="str">
        <v/>
      </c>
      <c r="AX466" s="257" t="str">
        <v/>
      </c>
      <c r="AY466" s="243">
        <v>0</v>
      </c>
      <c r="AZ466" s="244">
        <v>0</v>
      </c>
      <c r="BA466" s="244">
        <v>0</v>
      </c>
      <c r="BB466" s="244">
        <v>0</v>
      </c>
      <c r="BC466" s="244">
        <v>0</v>
      </c>
      <c r="BD466" s="244">
        <v>0</v>
      </c>
      <c r="BE466" s="244">
        <v>0</v>
      </c>
      <c r="BF466" s="244">
        <v>0</v>
      </c>
      <c r="BG466" s="244">
        <v>0</v>
      </c>
      <c r="BH466" s="245">
        <v>0</v>
      </c>
      <c r="BK466">
        <v>408</v>
      </c>
      <c r="BL466" s="281"/>
      <c r="BM466" s="281"/>
      <c r="BN466" s="282"/>
      <c r="BO466" s="282"/>
      <c r="BP466" s="282"/>
      <c r="BQ466" s="283"/>
      <c r="BR466" s="284"/>
      <c r="BS466" s="147"/>
      <c r="BT466" s="285"/>
      <c r="BU466" s="288"/>
      <c r="BV466" s="287"/>
      <c r="BW466" s="288"/>
      <c r="BX466" s="286"/>
      <c r="BY466" s="287"/>
      <c r="BZ466" s="288"/>
      <c r="CA466" s="286"/>
      <c r="CB466" s="286"/>
      <c r="CC466" s="287"/>
      <c r="CD466" s="286"/>
      <c r="CE466" s="286"/>
      <c r="CF466" s="286"/>
      <c r="CG466" s="287"/>
      <c r="CH466" s="288"/>
      <c r="CI466" s="286"/>
      <c r="CJ466" s="286"/>
      <c r="CK466" s="287"/>
      <c r="CL466" s="288"/>
      <c r="CM466" s="286"/>
      <c r="CN466" s="294"/>
      <c r="CO466" s="289"/>
      <c r="CP466" s="290"/>
      <c r="CQ466" s="289"/>
      <c r="CR466" s="290"/>
      <c r="CS466" s="284"/>
      <c r="CT466" s="147"/>
      <c r="CU466" s="291"/>
      <c r="CV466" s="292"/>
    </row>
    <row r="467" spans="2:100">
      <c r="B467">
        <v>409</v>
      </c>
      <c r="C467" s="243" t="str">
        <v/>
      </c>
      <c r="D467" s="592" t="str">
        <v/>
      </c>
      <c r="E467" s="245" t="str">
        <v/>
      </c>
      <c r="F467" s="243" t="str">
        <v/>
      </c>
      <c r="G467" s="245" t="str">
        <v/>
      </c>
      <c r="H467" s="243" t="str">
        <v/>
      </c>
      <c r="I467" s="245" t="str">
        <v/>
      </c>
      <c r="J467" s="242" t="str">
        <v/>
      </c>
      <c r="K467" s="242" t="str">
        <v/>
      </c>
      <c r="L467" s="242" t="str">
        <v/>
      </c>
      <c r="M467" s="243" t="str">
        <v/>
      </c>
      <c r="N467" s="592" t="str">
        <v/>
      </c>
      <c r="O467" s="245" t="str">
        <v/>
      </c>
      <c r="P467" s="245" t="str">
        <v/>
      </c>
      <c r="Q467" s="254" t="str">
        <v/>
      </c>
      <c r="R467" s="255" t="str">
        <v/>
      </c>
      <c r="S467" s="256" t="str">
        <v/>
      </c>
      <c r="T467" s="257" t="str">
        <v/>
      </c>
      <c r="U467" s="255" t="str">
        <v/>
      </c>
      <c r="V467" s="256" t="str">
        <v/>
      </c>
      <c r="W467" s="257" t="str">
        <v/>
      </c>
      <c r="X467" s="255" t="str">
        <v/>
      </c>
      <c r="Y467" s="256" t="str">
        <v/>
      </c>
      <c r="Z467" s="257" t="str">
        <v/>
      </c>
      <c r="AA467" s="255" t="str">
        <v/>
      </c>
      <c r="AB467" s="256" t="str">
        <v/>
      </c>
      <c r="AC467" s="257" t="str">
        <v/>
      </c>
      <c r="AD467" s="255" t="str">
        <v/>
      </c>
      <c r="AE467" s="256" t="str">
        <v/>
      </c>
      <c r="AF467" s="257" t="str">
        <v/>
      </c>
      <c r="AG467" s="255" t="str">
        <v/>
      </c>
      <c r="AH467" s="256" t="str">
        <v/>
      </c>
      <c r="AI467" s="257" t="str">
        <v/>
      </c>
      <c r="AJ467" s="255" t="str">
        <v/>
      </c>
      <c r="AK467" s="256" t="str">
        <v/>
      </c>
      <c r="AL467" s="257" t="str">
        <v/>
      </c>
      <c r="AM467" s="255" t="str">
        <v/>
      </c>
      <c r="AN467" s="256" t="str">
        <v/>
      </c>
      <c r="AO467" s="257" t="str">
        <v/>
      </c>
      <c r="AP467" s="255" t="str">
        <v/>
      </c>
      <c r="AQ467" s="256" t="str">
        <v/>
      </c>
      <c r="AR467" s="257" t="str">
        <v/>
      </c>
      <c r="AS467" s="255" t="str">
        <v/>
      </c>
      <c r="AT467" s="256" t="str">
        <v/>
      </c>
      <c r="AU467" s="257" t="str">
        <v/>
      </c>
      <c r="AV467" s="255" t="str">
        <v/>
      </c>
      <c r="AW467" s="256" t="str">
        <v/>
      </c>
      <c r="AX467" s="257" t="str">
        <v/>
      </c>
      <c r="AY467" s="243">
        <v>0</v>
      </c>
      <c r="AZ467" s="244">
        <v>0</v>
      </c>
      <c r="BA467" s="244">
        <v>0</v>
      </c>
      <c r="BB467" s="244">
        <v>0</v>
      </c>
      <c r="BC467" s="244">
        <v>0</v>
      </c>
      <c r="BD467" s="244">
        <v>0</v>
      </c>
      <c r="BE467" s="244">
        <v>0</v>
      </c>
      <c r="BF467" s="244">
        <v>0</v>
      </c>
      <c r="BG467" s="244">
        <v>0</v>
      </c>
      <c r="BH467" s="245">
        <v>0</v>
      </c>
      <c r="BK467">
        <v>409</v>
      </c>
      <c r="BL467" s="281"/>
      <c r="BM467" s="281"/>
      <c r="BN467" s="282"/>
      <c r="BO467" s="282"/>
      <c r="BP467" s="282"/>
      <c r="BQ467" s="283"/>
      <c r="BR467" s="284"/>
      <c r="BS467" s="147"/>
      <c r="BT467" s="285"/>
      <c r="BU467" s="288"/>
      <c r="BV467" s="287"/>
      <c r="BW467" s="288"/>
      <c r="BX467" s="286"/>
      <c r="BY467" s="287"/>
      <c r="BZ467" s="288"/>
      <c r="CA467" s="286"/>
      <c r="CB467" s="286"/>
      <c r="CC467" s="287"/>
      <c r="CD467" s="286"/>
      <c r="CE467" s="286"/>
      <c r="CF467" s="286"/>
      <c r="CG467" s="287"/>
      <c r="CH467" s="288"/>
      <c r="CI467" s="286"/>
      <c r="CJ467" s="286"/>
      <c r="CK467" s="287"/>
      <c r="CL467" s="288"/>
      <c r="CM467" s="286"/>
      <c r="CN467" s="294"/>
      <c r="CO467" s="289"/>
      <c r="CP467" s="290"/>
      <c r="CQ467" s="289"/>
      <c r="CR467" s="290"/>
      <c r="CS467" s="284"/>
      <c r="CT467" s="147"/>
      <c r="CU467" s="291"/>
      <c r="CV467" s="292"/>
    </row>
    <row r="468" spans="2:100">
      <c r="B468">
        <v>410</v>
      </c>
      <c r="C468" s="243" t="str">
        <v/>
      </c>
      <c r="D468" s="592" t="str">
        <v/>
      </c>
      <c r="E468" s="245" t="str">
        <v/>
      </c>
      <c r="F468" s="243" t="str">
        <v/>
      </c>
      <c r="G468" s="245" t="str">
        <v/>
      </c>
      <c r="H468" s="243" t="str">
        <v/>
      </c>
      <c r="I468" s="245" t="str">
        <v/>
      </c>
      <c r="J468" s="242" t="str">
        <v/>
      </c>
      <c r="K468" s="242" t="str">
        <v/>
      </c>
      <c r="L468" s="242" t="str">
        <v/>
      </c>
      <c r="M468" s="243" t="str">
        <v/>
      </c>
      <c r="N468" s="592" t="str">
        <v/>
      </c>
      <c r="O468" s="245" t="str">
        <v/>
      </c>
      <c r="P468" s="245" t="str">
        <v/>
      </c>
      <c r="Q468" s="254" t="str">
        <v/>
      </c>
      <c r="R468" s="255" t="str">
        <v/>
      </c>
      <c r="S468" s="256" t="str">
        <v/>
      </c>
      <c r="T468" s="257" t="str">
        <v/>
      </c>
      <c r="U468" s="255" t="str">
        <v/>
      </c>
      <c r="V468" s="256" t="str">
        <v/>
      </c>
      <c r="W468" s="257" t="str">
        <v/>
      </c>
      <c r="X468" s="255" t="str">
        <v/>
      </c>
      <c r="Y468" s="256" t="str">
        <v/>
      </c>
      <c r="Z468" s="257" t="str">
        <v/>
      </c>
      <c r="AA468" s="255" t="str">
        <v/>
      </c>
      <c r="AB468" s="256" t="str">
        <v/>
      </c>
      <c r="AC468" s="257" t="str">
        <v/>
      </c>
      <c r="AD468" s="255" t="str">
        <v/>
      </c>
      <c r="AE468" s="256" t="str">
        <v/>
      </c>
      <c r="AF468" s="257" t="str">
        <v/>
      </c>
      <c r="AG468" s="255" t="str">
        <v/>
      </c>
      <c r="AH468" s="256" t="str">
        <v/>
      </c>
      <c r="AI468" s="257" t="str">
        <v/>
      </c>
      <c r="AJ468" s="255" t="str">
        <v/>
      </c>
      <c r="AK468" s="256" t="str">
        <v/>
      </c>
      <c r="AL468" s="257" t="str">
        <v/>
      </c>
      <c r="AM468" s="255" t="str">
        <v/>
      </c>
      <c r="AN468" s="256" t="str">
        <v/>
      </c>
      <c r="AO468" s="257" t="str">
        <v/>
      </c>
      <c r="AP468" s="255" t="str">
        <v/>
      </c>
      <c r="AQ468" s="256" t="str">
        <v/>
      </c>
      <c r="AR468" s="257" t="str">
        <v/>
      </c>
      <c r="AS468" s="255" t="str">
        <v/>
      </c>
      <c r="AT468" s="256" t="str">
        <v/>
      </c>
      <c r="AU468" s="257" t="str">
        <v/>
      </c>
      <c r="AV468" s="255" t="str">
        <v/>
      </c>
      <c r="AW468" s="256" t="str">
        <v/>
      </c>
      <c r="AX468" s="257" t="str">
        <v/>
      </c>
      <c r="AY468" s="243">
        <v>0</v>
      </c>
      <c r="AZ468" s="244">
        <v>0</v>
      </c>
      <c r="BA468" s="244">
        <v>0</v>
      </c>
      <c r="BB468" s="244">
        <v>0</v>
      </c>
      <c r="BC468" s="244">
        <v>0</v>
      </c>
      <c r="BD468" s="244">
        <v>0</v>
      </c>
      <c r="BE468" s="244">
        <v>0</v>
      </c>
      <c r="BF468" s="244">
        <v>0</v>
      </c>
      <c r="BG468" s="244">
        <v>0</v>
      </c>
      <c r="BH468" s="245">
        <v>0</v>
      </c>
      <c r="BK468">
        <v>410</v>
      </c>
      <c r="BL468" s="281"/>
      <c r="BM468" s="281"/>
      <c r="BN468" s="282"/>
      <c r="BO468" s="282"/>
      <c r="BP468" s="282"/>
      <c r="BQ468" s="283"/>
      <c r="BR468" s="284"/>
      <c r="BS468" s="147"/>
      <c r="BT468" s="285"/>
      <c r="BU468" s="288"/>
      <c r="BV468" s="287"/>
      <c r="BW468" s="288"/>
      <c r="BX468" s="286"/>
      <c r="BY468" s="287"/>
      <c r="BZ468" s="288"/>
      <c r="CA468" s="286"/>
      <c r="CB468" s="286"/>
      <c r="CC468" s="287"/>
      <c r="CD468" s="286"/>
      <c r="CE468" s="286"/>
      <c r="CF468" s="286"/>
      <c r="CG468" s="287"/>
      <c r="CH468" s="288"/>
      <c r="CI468" s="286"/>
      <c r="CJ468" s="286"/>
      <c r="CK468" s="287"/>
      <c r="CL468" s="288"/>
      <c r="CM468" s="286"/>
      <c r="CN468" s="294"/>
      <c r="CO468" s="289"/>
      <c r="CP468" s="290"/>
      <c r="CQ468" s="289"/>
      <c r="CR468" s="290"/>
      <c r="CS468" s="284"/>
      <c r="CT468" s="147"/>
      <c r="CU468" s="291"/>
      <c r="CV468" s="292"/>
    </row>
    <row r="469" spans="2:100">
      <c r="B469">
        <v>411</v>
      </c>
      <c r="C469" s="243" t="str">
        <v/>
      </c>
      <c r="D469" s="592" t="str">
        <v/>
      </c>
      <c r="E469" s="245" t="str">
        <v/>
      </c>
      <c r="F469" s="243" t="str">
        <v/>
      </c>
      <c r="G469" s="245" t="str">
        <v/>
      </c>
      <c r="H469" s="243" t="str">
        <v/>
      </c>
      <c r="I469" s="245" t="str">
        <v/>
      </c>
      <c r="J469" s="242" t="str">
        <v/>
      </c>
      <c r="K469" s="242" t="str">
        <v/>
      </c>
      <c r="L469" s="242" t="str">
        <v/>
      </c>
      <c r="M469" s="243" t="str">
        <v/>
      </c>
      <c r="N469" s="592" t="str">
        <v/>
      </c>
      <c r="O469" s="245" t="str">
        <v/>
      </c>
      <c r="P469" s="245" t="str">
        <v/>
      </c>
      <c r="Q469" s="254" t="str">
        <v/>
      </c>
      <c r="R469" s="255" t="str">
        <v/>
      </c>
      <c r="S469" s="256" t="str">
        <v/>
      </c>
      <c r="T469" s="257" t="str">
        <v/>
      </c>
      <c r="U469" s="255" t="str">
        <v/>
      </c>
      <c r="V469" s="256" t="str">
        <v/>
      </c>
      <c r="W469" s="257" t="str">
        <v/>
      </c>
      <c r="X469" s="255" t="str">
        <v/>
      </c>
      <c r="Y469" s="256" t="str">
        <v/>
      </c>
      <c r="Z469" s="257" t="str">
        <v/>
      </c>
      <c r="AA469" s="255" t="str">
        <v/>
      </c>
      <c r="AB469" s="256" t="str">
        <v/>
      </c>
      <c r="AC469" s="257" t="str">
        <v/>
      </c>
      <c r="AD469" s="255" t="str">
        <v/>
      </c>
      <c r="AE469" s="256" t="str">
        <v/>
      </c>
      <c r="AF469" s="257" t="str">
        <v/>
      </c>
      <c r="AG469" s="255" t="str">
        <v/>
      </c>
      <c r="AH469" s="256" t="str">
        <v/>
      </c>
      <c r="AI469" s="257" t="str">
        <v/>
      </c>
      <c r="AJ469" s="255" t="str">
        <v/>
      </c>
      <c r="AK469" s="256" t="str">
        <v/>
      </c>
      <c r="AL469" s="257" t="str">
        <v/>
      </c>
      <c r="AM469" s="255" t="str">
        <v/>
      </c>
      <c r="AN469" s="256" t="str">
        <v/>
      </c>
      <c r="AO469" s="257" t="str">
        <v/>
      </c>
      <c r="AP469" s="255" t="str">
        <v/>
      </c>
      <c r="AQ469" s="256" t="str">
        <v/>
      </c>
      <c r="AR469" s="257" t="str">
        <v/>
      </c>
      <c r="AS469" s="255" t="str">
        <v/>
      </c>
      <c r="AT469" s="256" t="str">
        <v/>
      </c>
      <c r="AU469" s="257" t="str">
        <v/>
      </c>
      <c r="AV469" s="255" t="str">
        <v/>
      </c>
      <c r="AW469" s="256" t="str">
        <v/>
      </c>
      <c r="AX469" s="257" t="str">
        <v/>
      </c>
      <c r="AY469" s="243">
        <v>0</v>
      </c>
      <c r="AZ469" s="244">
        <v>0</v>
      </c>
      <c r="BA469" s="244">
        <v>0</v>
      </c>
      <c r="BB469" s="244">
        <v>0</v>
      </c>
      <c r="BC469" s="244">
        <v>0</v>
      </c>
      <c r="BD469" s="244">
        <v>0</v>
      </c>
      <c r="BE469" s="244">
        <v>0</v>
      </c>
      <c r="BF469" s="244">
        <v>0</v>
      </c>
      <c r="BG469" s="244">
        <v>0</v>
      </c>
      <c r="BH469" s="245">
        <v>0</v>
      </c>
      <c r="BK469">
        <v>411</v>
      </c>
      <c r="BL469" s="281"/>
      <c r="BM469" s="281"/>
      <c r="BN469" s="282"/>
      <c r="BO469" s="282"/>
      <c r="BP469" s="282"/>
      <c r="BQ469" s="283"/>
      <c r="BR469" s="284"/>
      <c r="BS469" s="147"/>
      <c r="BT469" s="285"/>
      <c r="BU469" s="288"/>
      <c r="BV469" s="287"/>
      <c r="BW469" s="288"/>
      <c r="BX469" s="286"/>
      <c r="BY469" s="287"/>
      <c r="BZ469" s="288"/>
      <c r="CA469" s="286"/>
      <c r="CB469" s="286"/>
      <c r="CC469" s="287"/>
      <c r="CD469" s="286"/>
      <c r="CE469" s="286"/>
      <c r="CF469" s="286"/>
      <c r="CG469" s="287"/>
      <c r="CH469" s="288"/>
      <c r="CI469" s="286"/>
      <c r="CJ469" s="286"/>
      <c r="CK469" s="287"/>
      <c r="CL469" s="288"/>
      <c r="CM469" s="286"/>
      <c r="CN469" s="294"/>
      <c r="CO469" s="289"/>
      <c r="CP469" s="290"/>
      <c r="CQ469" s="289"/>
      <c r="CR469" s="290"/>
      <c r="CS469" s="284"/>
      <c r="CT469" s="147"/>
      <c r="CU469" s="291"/>
      <c r="CV469" s="292"/>
    </row>
    <row r="470" spans="2:100">
      <c r="B470">
        <v>412</v>
      </c>
      <c r="C470" s="243" t="str">
        <v/>
      </c>
      <c r="D470" s="592" t="str">
        <v/>
      </c>
      <c r="E470" s="245" t="str">
        <v/>
      </c>
      <c r="F470" s="243" t="str">
        <v/>
      </c>
      <c r="G470" s="245" t="str">
        <v/>
      </c>
      <c r="H470" s="243" t="str">
        <v/>
      </c>
      <c r="I470" s="245" t="str">
        <v/>
      </c>
      <c r="J470" s="242" t="str">
        <v/>
      </c>
      <c r="K470" s="242" t="str">
        <v/>
      </c>
      <c r="L470" s="242" t="str">
        <v/>
      </c>
      <c r="M470" s="243" t="str">
        <v/>
      </c>
      <c r="N470" s="592" t="str">
        <v/>
      </c>
      <c r="O470" s="245" t="str">
        <v/>
      </c>
      <c r="P470" s="245" t="str">
        <v/>
      </c>
      <c r="Q470" s="254" t="str">
        <v/>
      </c>
      <c r="R470" s="255" t="str">
        <v/>
      </c>
      <c r="S470" s="256" t="str">
        <v/>
      </c>
      <c r="T470" s="257" t="str">
        <v/>
      </c>
      <c r="U470" s="255" t="str">
        <v/>
      </c>
      <c r="V470" s="256" t="str">
        <v/>
      </c>
      <c r="W470" s="257" t="str">
        <v/>
      </c>
      <c r="X470" s="255" t="str">
        <v/>
      </c>
      <c r="Y470" s="256" t="str">
        <v/>
      </c>
      <c r="Z470" s="257" t="str">
        <v/>
      </c>
      <c r="AA470" s="255" t="str">
        <v/>
      </c>
      <c r="AB470" s="256" t="str">
        <v/>
      </c>
      <c r="AC470" s="257" t="str">
        <v/>
      </c>
      <c r="AD470" s="255" t="str">
        <v/>
      </c>
      <c r="AE470" s="256" t="str">
        <v/>
      </c>
      <c r="AF470" s="257" t="str">
        <v/>
      </c>
      <c r="AG470" s="255" t="str">
        <v/>
      </c>
      <c r="AH470" s="256" t="str">
        <v/>
      </c>
      <c r="AI470" s="257" t="str">
        <v/>
      </c>
      <c r="AJ470" s="255" t="str">
        <v/>
      </c>
      <c r="AK470" s="256" t="str">
        <v/>
      </c>
      <c r="AL470" s="257" t="str">
        <v/>
      </c>
      <c r="AM470" s="255" t="str">
        <v/>
      </c>
      <c r="AN470" s="256" t="str">
        <v/>
      </c>
      <c r="AO470" s="257" t="str">
        <v/>
      </c>
      <c r="AP470" s="255" t="str">
        <v/>
      </c>
      <c r="AQ470" s="256" t="str">
        <v/>
      </c>
      <c r="AR470" s="257" t="str">
        <v/>
      </c>
      <c r="AS470" s="255" t="str">
        <v/>
      </c>
      <c r="AT470" s="256" t="str">
        <v/>
      </c>
      <c r="AU470" s="257" t="str">
        <v/>
      </c>
      <c r="AV470" s="255" t="str">
        <v/>
      </c>
      <c r="AW470" s="256" t="str">
        <v/>
      </c>
      <c r="AX470" s="257" t="str">
        <v/>
      </c>
      <c r="AY470" s="243">
        <v>0</v>
      </c>
      <c r="AZ470" s="244">
        <v>0</v>
      </c>
      <c r="BA470" s="244">
        <v>0</v>
      </c>
      <c r="BB470" s="244">
        <v>0</v>
      </c>
      <c r="BC470" s="244">
        <v>0</v>
      </c>
      <c r="BD470" s="244">
        <v>0</v>
      </c>
      <c r="BE470" s="244">
        <v>0</v>
      </c>
      <c r="BF470" s="244">
        <v>0</v>
      </c>
      <c r="BG470" s="244">
        <v>0</v>
      </c>
      <c r="BH470" s="245">
        <v>0</v>
      </c>
      <c r="BK470">
        <v>412</v>
      </c>
      <c r="BL470" s="281"/>
      <c r="BM470" s="281"/>
      <c r="BN470" s="282"/>
      <c r="BO470" s="282"/>
      <c r="BP470" s="282"/>
      <c r="BQ470" s="283"/>
      <c r="BR470" s="284"/>
      <c r="BS470" s="147"/>
      <c r="BT470" s="285"/>
      <c r="BU470" s="288"/>
      <c r="BV470" s="287"/>
      <c r="BW470" s="288"/>
      <c r="BX470" s="286"/>
      <c r="BY470" s="287"/>
      <c r="BZ470" s="288"/>
      <c r="CA470" s="286"/>
      <c r="CB470" s="286"/>
      <c r="CC470" s="287"/>
      <c r="CD470" s="286"/>
      <c r="CE470" s="286"/>
      <c r="CF470" s="286"/>
      <c r="CG470" s="287"/>
      <c r="CH470" s="288"/>
      <c r="CI470" s="286"/>
      <c r="CJ470" s="286"/>
      <c r="CK470" s="287"/>
      <c r="CL470" s="288"/>
      <c r="CM470" s="286"/>
      <c r="CN470" s="294"/>
      <c r="CO470" s="289"/>
      <c r="CP470" s="290"/>
      <c r="CQ470" s="289"/>
      <c r="CR470" s="290"/>
      <c r="CS470" s="284"/>
      <c r="CT470" s="147"/>
      <c r="CU470" s="291"/>
      <c r="CV470" s="292"/>
    </row>
    <row r="471" spans="2:100">
      <c r="B471">
        <v>413</v>
      </c>
      <c r="C471" s="243" t="str">
        <v/>
      </c>
      <c r="D471" s="592" t="str">
        <v/>
      </c>
      <c r="E471" s="245" t="str">
        <v/>
      </c>
      <c r="F471" s="243" t="str">
        <v/>
      </c>
      <c r="G471" s="245" t="str">
        <v/>
      </c>
      <c r="H471" s="243" t="str">
        <v/>
      </c>
      <c r="I471" s="245" t="str">
        <v/>
      </c>
      <c r="J471" s="242" t="str">
        <v/>
      </c>
      <c r="K471" s="242" t="str">
        <v/>
      </c>
      <c r="L471" s="242" t="str">
        <v/>
      </c>
      <c r="M471" s="243" t="str">
        <v/>
      </c>
      <c r="N471" s="592" t="str">
        <v/>
      </c>
      <c r="O471" s="245" t="str">
        <v/>
      </c>
      <c r="P471" s="245" t="str">
        <v/>
      </c>
      <c r="Q471" s="254" t="str">
        <v/>
      </c>
      <c r="R471" s="255" t="str">
        <v/>
      </c>
      <c r="S471" s="256" t="str">
        <v/>
      </c>
      <c r="T471" s="257" t="str">
        <v/>
      </c>
      <c r="U471" s="255" t="str">
        <v/>
      </c>
      <c r="V471" s="256" t="str">
        <v/>
      </c>
      <c r="W471" s="257" t="str">
        <v/>
      </c>
      <c r="X471" s="255" t="str">
        <v/>
      </c>
      <c r="Y471" s="256" t="str">
        <v/>
      </c>
      <c r="Z471" s="257" t="str">
        <v/>
      </c>
      <c r="AA471" s="255" t="str">
        <v/>
      </c>
      <c r="AB471" s="256" t="str">
        <v/>
      </c>
      <c r="AC471" s="257" t="str">
        <v/>
      </c>
      <c r="AD471" s="255" t="str">
        <v/>
      </c>
      <c r="AE471" s="256" t="str">
        <v/>
      </c>
      <c r="AF471" s="257" t="str">
        <v/>
      </c>
      <c r="AG471" s="255" t="str">
        <v/>
      </c>
      <c r="AH471" s="256" t="str">
        <v/>
      </c>
      <c r="AI471" s="257" t="str">
        <v/>
      </c>
      <c r="AJ471" s="255" t="str">
        <v/>
      </c>
      <c r="AK471" s="256" t="str">
        <v/>
      </c>
      <c r="AL471" s="257" t="str">
        <v/>
      </c>
      <c r="AM471" s="255" t="str">
        <v/>
      </c>
      <c r="AN471" s="256" t="str">
        <v/>
      </c>
      <c r="AO471" s="257" t="str">
        <v/>
      </c>
      <c r="AP471" s="255" t="str">
        <v/>
      </c>
      <c r="AQ471" s="256" t="str">
        <v/>
      </c>
      <c r="AR471" s="257" t="str">
        <v/>
      </c>
      <c r="AS471" s="255" t="str">
        <v/>
      </c>
      <c r="AT471" s="256" t="str">
        <v/>
      </c>
      <c r="AU471" s="257" t="str">
        <v/>
      </c>
      <c r="AV471" s="255" t="str">
        <v/>
      </c>
      <c r="AW471" s="256" t="str">
        <v/>
      </c>
      <c r="AX471" s="257" t="str">
        <v/>
      </c>
      <c r="AY471" s="243">
        <v>0</v>
      </c>
      <c r="AZ471" s="244">
        <v>0</v>
      </c>
      <c r="BA471" s="244">
        <v>0</v>
      </c>
      <c r="BB471" s="244">
        <v>0</v>
      </c>
      <c r="BC471" s="244">
        <v>0</v>
      </c>
      <c r="BD471" s="244">
        <v>0</v>
      </c>
      <c r="BE471" s="244">
        <v>0</v>
      </c>
      <c r="BF471" s="244">
        <v>0</v>
      </c>
      <c r="BG471" s="244">
        <v>0</v>
      </c>
      <c r="BH471" s="245">
        <v>0</v>
      </c>
      <c r="BK471">
        <v>413</v>
      </c>
      <c r="BL471" s="281"/>
      <c r="BM471" s="281"/>
      <c r="BN471" s="282"/>
      <c r="BO471" s="282"/>
      <c r="BP471" s="282"/>
      <c r="BQ471" s="283"/>
      <c r="BR471" s="284"/>
      <c r="BS471" s="147"/>
      <c r="BT471" s="285"/>
      <c r="BU471" s="288"/>
      <c r="BV471" s="287"/>
      <c r="BW471" s="288"/>
      <c r="BX471" s="286"/>
      <c r="BY471" s="287"/>
      <c r="BZ471" s="288"/>
      <c r="CA471" s="286"/>
      <c r="CB471" s="286"/>
      <c r="CC471" s="287"/>
      <c r="CD471" s="286"/>
      <c r="CE471" s="286"/>
      <c r="CF471" s="286"/>
      <c r="CG471" s="287"/>
      <c r="CH471" s="288"/>
      <c r="CI471" s="286"/>
      <c r="CJ471" s="286"/>
      <c r="CK471" s="287"/>
      <c r="CL471" s="288"/>
      <c r="CM471" s="286"/>
      <c r="CN471" s="294"/>
      <c r="CO471" s="289"/>
      <c r="CP471" s="290"/>
      <c r="CQ471" s="289"/>
      <c r="CR471" s="290"/>
      <c r="CS471" s="284"/>
      <c r="CT471" s="147"/>
      <c r="CU471" s="291"/>
      <c r="CV471" s="292"/>
    </row>
    <row r="472" spans="2:100">
      <c r="B472">
        <v>414</v>
      </c>
      <c r="C472" s="243" t="str">
        <v/>
      </c>
      <c r="D472" s="592" t="str">
        <v/>
      </c>
      <c r="E472" s="245" t="str">
        <v/>
      </c>
      <c r="F472" s="243" t="str">
        <v/>
      </c>
      <c r="G472" s="245" t="str">
        <v/>
      </c>
      <c r="H472" s="243" t="str">
        <v/>
      </c>
      <c r="I472" s="245" t="str">
        <v/>
      </c>
      <c r="J472" s="242" t="str">
        <v/>
      </c>
      <c r="K472" s="242" t="str">
        <v/>
      </c>
      <c r="L472" s="242" t="str">
        <v/>
      </c>
      <c r="M472" s="243" t="str">
        <v/>
      </c>
      <c r="N472" s="592" t="str">
        <v/>
      </c>
      <c r="O472" s="245" t="str">
        <v/>
      </c>
      <c r="P472" s="245" t="str">
        <v/>
      </c>
      <c r="Q472" s="254" t="str">
        <v/>
      </c>
      <c r="R472" s="255" t="str">
        <v/>
      </c>
      <c r="S472" s="256" t="str">
        <v/>
      </c>
      <c r="T472" s="257" t="str">
        <v/>
      </c>
      <c r="U472" s="255" t="str">
        <v/>
      </c>
      <c r="V472" s="256" t="str">
        <v/>
      </c>
      <c r="W472" s="257" t="str">
        <v/>
      </c>
      <c r="X472" s="255" t="str">
        <v/>
      </c>
      <c r="Y472" s="256" t="str">
        <v/>
      </c>
      <c r="Z472" s="257" t="str">
        <v/>
      </c>
      <c r="AA472" s="255" t="str">
        <v/>
      </c>
      <c r="AB472" s="256" t="str">
        <v/>
      </c>
      <c r="AC472" s="257" t="str">
        <v/>
      </c>
      <c r="AD472" s="255" t="str">
        <v/>
      </c>
      <c r="AE472" s="256" t="str">
        <v/>
      </c>
      <c r="AF472" s="257" t="str">
        <v/>
      </c>
      <c r="AG472" s="255" t="str">
        <v/>
      </c>
      <c r="AH472" s="256" t="str">
        <v/>
      </c>
      <c r="AI472" s="257" t="str">
        <v/>
      </c>
      <c r="AJ472" s="255" t="str">
        <v/>
      </c>
      <c r="AK472" s="256" t="str">
        <v/>
      </c>
      <c r="AL472" s="257" t="str">
        <v/>
      </c>
      <c r="AM472" s="255" t="str">
        <v/>
      </c>
      <c r="AN472" s="256" t="str">
        <v/>
      </c>
      <c r="AO472" s="257" t="str">
        <v/>
      </c>
      <c r="AP472" s="255" t="str">
        <v/>
      </c>
      <c r="AQ472" s="256" t="str">
        <v/>
      </c>
      <c r="AR472" s="257" t="str">
        <v/>
      </c>
      <c r="AS472" s="255" t="str">
        <v/>
      </c>
      <c r="AT472" s="256" t="str">
        <v/>
      </c>
      <c r="AU472" s="257" t="str">
        <v/>
      </c>
      <c r="AV472" s="255" t="str">
        <v/>
      </c>
      <c r="AW472" s="256" t="str">
        <v/>
      </c>
      <c r="AX472" s="257" t="str">
        <v/>
      </c>
      <c r="AY472" s="243">
        <v>0</v>
      </c>
      <c r="AZ472" s="244">
        <v>0</v>
      </c>
      <c r="BA472" s="244">
        <v>0</v>
      </c>
      <c r="BB472" s="244">
        <v>0</v>
      </c>
      <c r="BC472" s="244">
        <v>0</v>
      </c>
      <c r="BD472" s="244">
        <v>0</v>
      </c>
      <c r="BE472" s="244">
        <v>0</v>
      </c>
      <c r="BF472" s="244">
        <v>0</v>
      </c>
      <c r="BG472" s="244">
        <v>0</v>
      </c>
      <c r="BH472" s="245">
        <v>0</v>
      </c>
      <c r="BK472">
        <v>414</v>
      </c>
      <c r="BL472" s="281"/>
      <c r="BM472" s="281"/>
      <c r="BN472" s="282"/>
      <c r="BO472" s="282"/>
      <c r="BP472" s="282"/>
      <c r="BQ472" s="283"/>
      <c r="BR472" s="284"/>
      <c r="BS472" s="147"/>
      <c r="BT472" s="285"/>
      <c r="BU472" s="288"/>
      <c r="BV472" s="287"/>
      <c r="BW472" s="288"/>
      <c r="BX472" s="286"/>
      <c r="BY472" s="287"/>
      <c r="BZ472" s="288"/>
      <c r="CA472" s="286"/>
      <c r="CB472" s="286"/>
      <c r="CC472" s="287"/>
      <c r="CD472" s="286"/>
      <c r="CE472" s="286"/>
      <c r="CF472" s="286"/>
      <c r="CG472" s="287"/>
      <c r="CH472" s="288"/>
      <c r="CI472" s="286"/>
      <c r="CJ472" s="286"/>
      <c r="CK472" s="287"/>
      <c r="CL472" s="288"/>
      <c r="CM472" s="286"/>
      <c r="CN472" s="294"/>
      <c r="CO472" s="289"/>
      <c r="CP472" s="290"/>
      <c r="CQ472" s="289"/>
      <c r="CR472" s="290"/>
      <c r="CS472" s="284"/>
      <c r="CT472" s="147"/>
      <c r="CU472" s="291"/>
      <c r="CV472" s="292"/>
    </row>
    <row r="473" spans="2:100">
      <c r="B473">
        <v>415</v>
      </c>
      <c r="C473" s="243" t="str">
        <v/>
      </c>
      <c r="D473" s="592" t="str">
        <v/>
      </c>
      <c r="E473" s="245" t="str">
        <v/>
      </c>
      <c r="F473" s="243" t="str">
        <v/>
      </c>
      <c r="G473" s="245" t="str">
        <v/>
      </c>
      <c r="H473" s="243" t="str">
        <v/>
      </c>
      <c r="I473" s="245" t="str">
        <v/>
      </c>
      <c r="J473" s="242" t="str">
        <v/>
      </c>
      <c r="K473" s="242" t="str">
        <v/>
      </c>
      <c r="L473" s="242" t="str">
        <v/>
      </c>
      <c r="M473" s="243" t="str">
        <v/>
      </c>
      <c r="N473" s="592" t="str">
        <v/>
      </c>
      <c r="O473" s="245" t="str">
        <v/>
      </c>
      <c r="P473" s="245" t="str">
        <v/>
      </c>
      <c r="Q473" s="254" t="str">
        <v/>
      </c>
      <c r="R473" s="255" t="str">
        <v/>
      </c>
      <c r="S473" s="256" t="str">
        <v/>
      </c>
      <c r="T473" s="257" t="str">
        <v/>
      </c>
      <c r="U473" s="255" t="str">
        <v/>
      </c>
      <c r="V473" s="256" t="str">
        <v/>
      </c>
      <c r="W473" s="257" t="str">
        <v/>
      </c>
      <c r="X473" s="255" t="str">
        <v/>
      </c>
      <c r="Y473" s="256" t="str">
        <v/>
      </c>
      <c r="Z473" s="257" t="str">
        <v/>
      </c>
      <c r="AA473" s="255" t="str">
        <v/>
      </c>
      <c r="AB473" s="256" t="str">
        <v/>
      </c>
      <c r="AC473" s="257" t="str">
        <v/>
      </c>
      <c r="AD473" s="255" t="str">
        <v/>
      </c>
      <c r="AE473" s="256" t="str">
        <v/>
      </c>
      <c r="AF473" s="257" t="str">
        <v/>
      </c>
      <c r="AG473" s="255" t="str">
        <v/>
      </c>
      <c r="AH473" s="256" t="str">
        <v/>
      </c>
      <c r="AI473" s="257" t="str">
        <v/>
      </c>
      <c r="AJ473" s="255" t="str">
        <v/>
      </c>
      <c r="AK473" s="256" t="str">
        <v/>
      </c>
      <c r="AL473" s="257" t="str">
        <v/>
      </c>
      <c r="AM473" s="255" t="str">
        <v/>
      </c>
      <c r="AN473" s="256" t="str">
        <v/>
      </c>
      <c r="AO473" s="257" t="str">
        <v/>
      </c>
      <c r="AP473" s="255" t="str">
        <v/>
      </c>
      <c r="AQ473" s="256" t="str">
        <v/>
      </c>
      <c r="AR473" s="257" t="str">
        <v/>
      </c>
      <c r="AS473" s="255" t="str">
        <v/>
      </c>
      <c r="AT473" s="256" t="str">
        <v/>
      </c>
      <c r="AU473" s="257" t="str">
        <v/>
      </c>
      <c r="AV473" s="255" t="str">
        <v/>
      </c>
      <c r="AW473" s="256" t="str">
        <v/>
      </c>
      <c r="AX473" s="257" t="str">
        <v/>
      </c>
      <c r="AY473" s="243">
        <v>0</v>
      </c>
      <c r="AZ473" s="244">
        <v>0</v>
      </c>
      <c r="BA473" s="244">
        <v>0</v>
      </c>
      <c r="BB473" s="244">
        <v>0</v>
      </c>
      <c r="BC473" s="244">
        <v>0</v>
      </c>
      <c r="BD473" s="244">
        <v>0</v>
      </c>
      <c r="BE473" s="244">
        <v>0</v>
      </c>
      <c r="BF473" s="244">
        <v>0</v>
      </c>
      <c r="BG473" s="244">
        <v>0</v>
      </c>
      <c r="BH473" s="245">
        <v>0</v>
      </c>
      <c r="BK473">
        <v>415</v>
      </c>
      <c r="BL473" s="281"/>
      <c r="BM473" s="281"/>
      <c r="BN473" s="282"/>
      <c r="BO473" s="282"/>
      <c r="BP473" s="282"/>
      <c r="BQ473" s="283"/>
      <c r="BR473" s="284"/>
      <c r="BS473" s="147"/>
      <c r="BT473" s="285"/>
      <c r="BU473" s="288"/>
      <c r="BV473" s="287"/>
      <c r="BW473" s="288"/>
      <c r="BX473" s="286"/>
      <c r="BY473" s="287"/>
      <c r="BZ473" s="288"/>
      <c r="CA473" s="286"/>
      <c r="CB473" s="286"/>
      <c r="CC473" s="287"/>
      <c r="CD473" s="286"/>
      <c r="CE473" s="286"/>
      <c r="CF473" s="286"/>
      <c r="CG473" s="287"/>
      <c r="CH473" s="288"/>
      <c r="CI473" s="286"/>
      <c r="CJ473" s="286"/>
      <c r="CK473" s="287"/>
      <c r="CL473" s="288"/>
      <c r="CM473" s="286"/>
      <c r="CN473" s="294"/>
      <c r="CO473" s="289"/>
      <c r="CP473" s="290"/>
      <c r="CQ473" s="289"/>
      <c r="CR473" s="290"/>
      <c r="CS473" s="284"/>
      <c r="CT473" s="147"/>
      <c r="CU473" s="291"/>
      <c r="CV473" s="292"/>
    </row>
    <row r="474" spans="2:100">
      <c r="B474">
        <v>416</v>
      </c>
      <c r="C474" s="243" t="str">
        <v/>
      </c>
      <c r="D474" s="592" t="str">
        <v/>
      </c>
      <c r="E474" s="245" t="str">
        <v/>
      </c>
      <c r="F474" s="243" t="str">
        <v/>
      </c>
      <c r="G474" s="245" t="str">
        <v/>
      </c>
      <c r="H474" s="243" t="str">
        <v/>
      </c>
      <c r="I474" s="245" t="str">
        <v/>
      </c>
      <c r="J474" s="242" t="str">
        <v/>
      </c>
      <c r="K474" s="242" t="str">
        <v/>
      </c>
      <c r="L474" s="242" t="str">
        <v/>
      </c>
      <c r="M474" s="243" t="str">
        <v/>
      </c>
      <c r="N474" s="592" t="str">
        <v/>
      </c>
      <c r="O474" s="245" t="str">
        <v/>
      </c>
      <c r="P474" s="245" t="str">
        <v/>
      </c>
      <c r="Q474" s="254" t="str">
        <v/>
      </c>
      <c r="R474" s="255" t="str">
        <v/>
      </c>
      <c r="S474" s="256" t="str">
        <v/>
      </c>
      <c r="T474" s="257" t="str">
        <v/>
      </c>
      <c r="U474" s="255" t="str">
        <v/>
      </c>
      <c r="V474" s="256" t="str">
        <v/>
      </c>
      <c r="W474" s="257" t="str">
        <v/>
      </c>
      <c r="X474" s="255" t="str">
        <v/>
      </c>
      <c r="Y474" s="256" t="str">
        <v/>
      </c>
      <c r="Z474" s="257" t="str">
        <v/>
      </c>
      <c r="AA474" s="255" t="str">
        <v/>
      </c>
      <c r="AB474" s="256" t="str">
        <v/>
      </c>
      <c r="AC474" s="257" t="str">
        <v/>
      </c>
      <c r="AD474" s="255" t="str">
        <v/>
      </c>
      <c r="AE474" s="256" t="str">
        <v/>
      </c>
      <c r="AF474" s="257" t="str">
        <v/>
      </c>
      <c r="AG474" s="255" t="str">
        <v/>
      </c>
      <c r="AH474" s="256" t="str">
        <v/>
      </c>
      <c r="AI474" s="257" t="str">
        <v/>
      </c>
      <c r="AJ474" s="255" t="str">
        <v/>
      </c>
      <c r="AK474" s="256" t="str">
        <v/>
      </c>
      <c r="AL474" s="257" t="str">
        <v/>
      </c>
      <c r="AM474" s="255" t="str">
        <v/>
      </c>
      <c r="AN474" s="256" t="str">
        <v/>
      </c>
      <c r="AO474" s="257" t="str">
        <v/>
      </c>
      <c r="AP474" s="255" t="str">
        <v/>
      </c>
      <c r="AQ474" s="256" t="str">
        <v/>
      </c>
      <c r="AR474" s="257" t="str">
        <v/>
      </c>
      <c r="AS474" s="255" t="str">
        <v/>
      </c>
      <c r="AT474" s="256" t="str">
        <v/>
      </c>
      <c r="AU474" s="257" t="str">
        <v/>
      </c>
      <c r="AV474" s="255" t="str">
        <v/>
      </c>
      <c r="AW474" s="256" t="str">
        <v/>
      </c>
      <c r="AX474" s="257" t="str">
        <v/>
      </c>
      <c r="AY474" s="243">
        <v>0</v>
      </c>
      <c r="AZ474" s="244">
        <v>0</v>
      </c>
      <c r="BA474" s="244">
        <v>0</v>
      </c>
      <c r="BB474" s="244">
        <v>0</v>
      </c>
      <c r="BC474" s="244">
        <v>0</v>
      </c>
      <c r="BD474" s="244">
        <v>0</v>
      </c>
      <c r="BE474" s="244">
        <v>0</v>
      </c>
      <c r="BF474" s="244">
        <v>0</v>
      </c>
      <c r="BG474" s="244">
        <v>0</v>
      </c>
      <c r="BH474" s="245">
        <v>0</v>
      </c>
      <c r="BK474">
        <v>416</v>
      </c>
      <c r="BL474" s="281"/>
      <c r="BM474" s="281"/>
      <c r="BN474" s="282"/>
      <c r="BO474" s="282"/>
      <c r="BP474" s="282"/>
      <c r="BQ474" s="283"/>
      <c r="BR474" s="284"/>
      <c r="BS474" s="147"/>
      <c r="BT474" s="285"/>
      <c r="BU474" s="288"/>
      <c r="BV474" s="287"/>
      <c r="BW474" s="288"/>
      <c r="BX474" s="286"/>
      <c r="BY474" s="287"/>
      <c r="BZ474" s="288"/>
      <c r="CA474" s="286"/>
      <c r="CB474" s="286"/>
      <c r="CC474" s="287"/>
      <c r="CD474" s="286"/>
      <c r="CE474" s="286"/>
      <c r="CF474" s="286"/>
      <c r="CG474" s="287"/>
      <c r="CH474" s="288"/>
      <c r="CI474" s="286"/>
      <c r="CJ474" s="286"/>
      <c r="CK474" s="287"/>
      <c r="CL474" s="288"/>
      <c r="CM474" s="286"/>
      <c r="CN474" s="294"/>
      <c r="CO474" s="289"/>
      <c r="CP474" s="290"/>
      <c r="CQ474" s="289"/>
      <c r="CR474" s="290"/>
      <c r="CS474" s="284"/>
      <c r="CT474" s="147"/>
      <c r="CU474" s="291"/>
      <c r="CV474" s="292"/>
    </row>
    <row r="475" spans="2:100">
      <c r="B475">
        <v>417</v>
      </c>
      <c r="C475" s="243" t="str">
        <v/>
      </c>
      <c r="D475" s="592" t="str">
        <v/>
      </c>
      <c r="E475" s="245" t="str">
        <v/>
      </c>
      <c r="F475" s="243" t="str">
        <v/>
      </c>
      <c r="G475" s="245" t="str">
        <v/>
      </c>
      <c r="H475" s="243" t="str">
        <v/>
      </c>
      <c r="I475" s="245" t="str">
        <v/>
      </c>
      <c r="J475" s="242" t="str">
        <v/>
      </c>
      <c r="K475" s="242" t="str">
        <v/>
      </c>
      <c r="L475" s="242" t="str">
        <v/>
      </c>
      <c r="M475" s="243" t="str">
        <v/>
      </c>
      <c r="N475" s="592" t="str">
        <v/>
      </c>
      <c r="O475" s="245" t="str">
        <v/>
      </c>
      <c r="P475" s="245" t="str">
        <v/>
      </c>
      <c r="Q475" s="254" t="str">
        <v/>
      </c>
      <c r="R475" s="255" t="str">
        <v/>
      </c>
      <c r="S475" s="256" t="str">
        <v/>
      </c>
      <c r="T475" s="257" t="str">
        <v/>
      </c>
      <c r="U475" s="255" t="str">
        <v/>
      </c>
      <c r="V475" s="256" t="str">
        <v/>
      </c>
      <c r="W475" s="257" t="str">
        <v/>
      </c>
      <c r="X475" s="255" t="str">
        <v/>
      </c>
      <c r="Y475" s="256" t="str">
        <v/>
      </c>
      <c r="Z475" s="257" t="str">
        <v/>
      </c>
      <c r="AA475" s="255" t="str">
        <v/>
      </c>
      <c r="AB475" s="256" t="str">
        <v/>
      </c>
      <c r="AC475" s="257" t="str">
        <v/>
      </c>
      <c r="AD475" s="255" t="str">
        <v/>
      </c>
      <c r="AE475" s="256" t="str">
        <v/>
      </c>
      <c r="AF475" s="257" t="str">
        <v/>
      </c>
      <c r="AG475" s="255" t="str">
        <v/>
      </c>
      <c r="AH475" s="256" t="str">
        <v/>
      </c>
      <c r="AI475" s="257" t="str">
        <v/>
      </c>
      <c r="AJ475" s="255" t="str">
        <v/>
      </c>
      <c r="AK475" s="256" t="str">
        <v/>
      </c>
      <c r="AL475" s="257" t="str">
        <v/>
      </c>
      <c r="AM475" s="255" t="str">
        <v/>
      </c>
      <c r="AN475" s="256" t="str">
        <v/>
      </c>
      <c r="AO475" s="257" t="str">
        <v/>
      </c>
      <c r="AP475" s="255" t="str">
        <v/>
      </c>
      <c r="AQ475" s="256" t="str">
        <v/>
      </c>
      <c r="AR475" s="257" t="str">
        <v/>
      </c>
      <c r="AS475" s="255" t="str">
        <v/>
      </c>
      <c r="AT475" s="256" t="str">
        <v/>
      </c>
      <c r="AU475" s="257" t="str">
        <v/>
      </c>
      <c r="AV475" s="255" t="str">
        <v/>
      </c>
      <c r="AW475" s="256" t="str">
        <v/>
      </c>
      <c r="AX475" s="257" t="str">
        <v/>
      </c>
      <c r="AY475" s="243">
        <v>0</v>
      </c>
      <c r="AZ475" s="244">
        <v>0</v>
      </c>
      <c r="BA475" s="244">
        <v>0</v>
      </c>
      <c r="BB475" s="244">
        <v>0</v>
      </c>
      <c r="BC475" s="244">
        <v>0</v>
      </c>
      <c r="BD475" s="244">
        <v>0</v>
      </c>
      <c r="BE475" s="244">
        <v>0</v>
      </c>
      <c r="BF475" s="244">
        <v>0</v>
      </c>
      <c r="BG475" s="244">
        <v>0</v>
      </c>
      <c r="BH475" s="245">
        <v>0</v>
      </c>
      <c r="BK475">
        <v>417</v>
      </c>
      <c r="BL475" s="281"/>
      <c r="BM475" s="281"/>
      <c r="BN475" s="282"/>
      <c r="BO475" s="282"/>
      <c r="BP475" s="282"/>
      <c r="BQ475" s="283"/>
      <c r="BR475" s="284"/>
      <c r="BS475" s="147"/>
      <c r="BT475" s="285"/>
      <c r="BU475" s="288"/>
      <c r="BV475" s="287"/>
      <c r="BW475" s="288"/>
      <c r="BX475" s="286"/>
      <c r="BY475" s="287"/>
      <c r="BZ475" s="288"/>
      <c r="CA475" s="286"/>
      <c r="CB475" s="286"/>
      <c r="CC475" s="287"/>
      <c r="CD475" s="286"/>
      <c r="CE475" s="286"/>
      <c r="CF475" s="286"/>
      <c r="CG475" s="287"/>
      <c r="CH475" s="288"/>
      <c r="CI475" s="286"/>
      <c r="CJ475" s="286"/>
      <c r="CK475" s="287"/>
      <c r="CL475" s="288"/>
      <c r="CM475" s="286"/>
      <c r="CN475" s="294"/>
      <c r="CO475" s="289"/>
      <c r="CP475" s="290"/>
      <c r="CQ475" s="289"/>
      <c r="CR475" s="290"/>
      <c r="CS475" s="284"/>
      <c r="CT475" s="147"/>
      <c r="CU475" s="291"/>
      <c r="CV475" s="292"/>
    </row>
    <row r="476" spans="2:100">
      <c r="B476">
        <v>418</v>
      </c>
      <c r="C476" s="243" t="str">
        <v/>
      </c>
      <c r="D476" s="592" t="str">
        <v/>
      </c>
      <c r="E476" s="245" t="str">
        <v/>
      </c>
      <c r="F476" s="243" t="str">
        <v/>
      </c>
      <c r="G476" s="245" t="str">
        <v/>
      </c>
      <c r="H476" s="243" t="str">
        <v/>
      </c>
      <c r="I476" s="245" t="str">
        <v/>
      </c>
      <c r="J476" s="242" t="str">
        <v/>
      </c>
      <c r="K476" s="242" t="str">
        <v/>
      </c>
      <c r="L476" s="242" t="str">
        <v/>
      </c>
      <c r="M476" s="243" t="str">
        <v/>
      </c>
      <c r="N476" s="592" t="str">
        <v/>
      </c>
      <c r="O476" s="245" t="str">
        <v/>
      </c>
      <c r="P476" s="245" t="str">
        <v/>
      </c>
      <c r="Q476" s="254" t="str">
        <v/>
      </c>
      <c r="R476" s="255" t="str">
        <v/>
      </c>
      <c r="S476" s="256" t="str">
        <v/>
      </c>
      <c r="T476" s="257" t="str">
        <v/>
      </c>
      <c r="U476" s="255" t="str">
        <v/>
      </c>
      <c r="V476" s="256" t="str">
        <v/>
      </c>
      <c r="W476" s="257" t="str">
        <v/>
      </c>
      <c r="X476" s="255" t="str">
        <v/>
      </c>
      <c r="Y476" s="256" t="str">
        <v/>
      </c>
      <c r="Z476" s="257" t="str">
        <v/>
      </c>
      <c r="AA476" s="255" t="str">
        <v/>
      </c>
      <c r="AB476" s="256" t="str">
        <v/>
      </c>
      <c r="AC476" s="257" t="str">
        <v/>
      </c>
      <c r="AD476" s="255" t="str">
        <v/>
      </c>
      <c r="AE476" s="256" t="str">
        <v/>
      </c>
      <c r="AF476" s="257" t="str">
        <v/>
      </c>
      <c r="AG476" s="255" t="str">
        <v/>
      </c>
      <c r="AH476" s="256" t="str">
        <v/>
      </c>
      <c r="AI476" s="257" t="str">
        <v/>
      </c>
      <c r="AJ476" s="255" t="str">
        <v/>
      </c>
      <c r="AK476" s="256" t="str">
        <v/>
      </c>
      <c r="AL476" s="257" t="str">
        <v/>
      </c>
      <c r="AM476" s="255" t="str">
        <v/>
      </c>
      <c r="AN476" s="256" t="str">
        <v/>
      </c>
      <c r="AO476" s="257" t="str">
        <v/>
      </c>
      <c r="AP476" s="255" t="str">
        <v/>
      </c>
      <c r="AQ476" s="256" t="str">
        <v/>
      </c>
      <c r="AR476" s="257" t="str">
        <v/>
      </c>
      <c r="AS476" s="255" t="str">
        <v/>
      </c>
      <c r="AT476" s="256" t="str">
        <v/>
      </c>
      <c r="AU476" s="257" t="str">
        <v/>
      </c>
      <c r="AV476" s="255" t="str">
        <v/>
      </c>
      <c r="AW476" s="256" t="str">
        <v/>
      </c>
      <c r="AX476" s="257" t="str">
        <v/>
      </c>
      <c r="AY476" s="243">
        <v>0</v>
      </c>
      <c r="AZ476" s="244">
        <v>0</v>
      </c>
      <c r="BA476" s="244">
        <v>0</v>
      </c>
      <c r="BB476" s="244">
        <v>0</v>
      </c>
      <c r="BC476" s="244">
        <v>0</v>
      </c>
      <c r="BD476" s="244">
        <v>0</v>
      </c>
      <c r="BE476" s="244">
        <v>0</v>
      </c>
      <c r="BF476" s="244">
        <v>0</v>
      </c>
      <c r="BG476" s="244">
        <v>0</v>
      </c>
      <c r="BH476" s="245">
        <v>0</v>
      </c>
      <c r="BK476">
        <v>418</v>
      </c>
      <c r="BL476" s="281"/>
      <c r="BM476" s="281"/>
      <c r="BN476" s="282"/>
      <c r="BO476" s="282"/>
      <c r="BP476" s="282"/>
      <c r="BQ476" s="283"/>
      <c r="BR476" s="284"/>
      <c r="BS476" s="147"/>
      <c r="BT476" s="285"/>
      <c r="BU476" s="288"/>
      <c r="BV476" s="287"/>
      <c r="BW476" s="288"/>
      <c r="BX476" s="286"/>
      <c r="BY476" s="287"/>
      <c r="BZ476" s="288"/>
      <c r="CA476" s="286"/>
      <c r="CB476" s="286"/>
      <c r="CC476" s="287"/>
      <c r="CD476" s="286"/>
      <c r="CE476" s="286"/>
      <c r="CF476" s="286"/>
      <c r="CG476" s="287"/>
      <c r="CH476" s="288"/>
      <c r="CI476" s="286"/>
      <c r="CJ476" s="286"/>
      <c r="CK476" s="287"/>
      <c r="CL476" s="288"/>
      <c r="CM476" s="286"/>
      <c r="CN476" s="294"/>
      <c r="CO476" s="289"/>
      <c r="CP476" s="290"/>
      <c r="CQ476" s="289"/>
      <c r="CR476" s="290"/>
      <c r="CS476" s="284"/>
      <c r="CT476" s="147"/>
      <c r="CU476" s="291"/>
      <c r="CV476" s="292"/>
    </row>
    <row r="477" spans="2:100">
      <c r="B477">
        <v>419</v>
      </c>
      <c r="C477" s="243" t="str">
        <v/>
      </c>
      <c r="D477" s="592" t="str">
        <v/>
      </c>
      <c r="E477" s="245" t="str">
        <v/>
      </c>
      <c r="F477" s="243" t="str">
        <v/>
      </c>
      <c r="G477" s="245" t="str">
        <v/>
      </c>
      <c r="H477" s="243" t="str">
        <v/>
      </c>
      <c r="I477" s="245" t="str">
        <v/>
      </c>
      <c r="J477" s="242" t="str">
        <v/>
      </c>
      <c r="K477" s="242" t="str">
        <v/>
      </c>
      <c r="L477" s="242" t="str">
        <v/>
      </c>
      <c r="M477" s="243" t="str">
        <v/>
      </c>
      <c r="N477" s="592" t="str">
        <v/>
      </c>
      <c r="O477" s="245" t="str">
        <v/>
      </c>
      <c r="P477" s="245" t="str">
        <v/>
      </c>
      <c r="Q477" s="254" t="str">
        <v/>
      </c>
      <c r="R477" s="255" t="str">
        <v/>
      </c>
      <c r="S477" s="256" t="str">
        <v/>
      </c>
      <c r="T477" s="257" t="str">
        <v/>
      </c>
      <c r="U477" s="255" t="str">
        <v/>
      </c>
      <c r="V477" s="256" t="str">
        <v/>
      </c>
      <c r="W477" s="257" t="str">
        <v/>
      </c>
      <c r="X477" s="255" t="str">
        <v/>
      </c>
      <c r="Y477" s="256" t="str">
        <v/>
      </c>
      <c r="Z477" s="257" t="str">
        <v/>
      </c>
      <c r="AA477" s="255" t="str">
        <v/>
      </c>
      <c r="AB477" s="256" t="str">
        <v/>
      </c>
      <c r="AC477" s="257" t="str">
        <v/>
      </c>
      <c r="AD477" s="255" t="str">
        <v/>
      </c>
      <c r="AE477" s="256" t="str">
        <v/>
      </c>
      <c r="AF477" s="257" t="str">
        <v/>
      </c>
      <c r="AG477" s="255" t="str">
        <v/>
      </c>
      <c r="AH477" s="256" t="str">
        <v/>
      </c>
      <c r="AI477" s="257" t="str">
        <v/>
      </c>
      <c r="AJ477" s="255" t="str">
        <v/>
      </c>
      <c r="AK477" s="256" t="str">
        <v/>
      </c>
      <c r="AL477" s="257" t="str">
        <v/>
      </c>
      <c r="AM477" s="255" t="str">
        <v/>
      </c>
      <c r="AN477" s="256" t="str">
        <v/>
      </c>
      <c r="AO477" s="257" t="str">
        <v/>
      </c>
      <c r="AP477" s="255" t="str">
        <v/>
      </c>
      <c r="AQ477" s="256" t="str">
        <v/>
      </c>
      <c r="AR477" s="257" t="str">
        <v/>
      </c>
      <c r="AS477" s="255" t="str">
        <v/>
      </c>
      <c r="AT477" s="256" t="str">
        <v/>
      </c>
      <c r="AU477" s="257" t="str">
        <v/>
      </c>
      <c r="AV477" s="255" t="str">
        <v/>
      </c>
      <c r="AW477" s="256" t="str">
        <v/>
      </c>
      <c r="AX477" s="257" t="str">
        <v/>
      </c>
      <c r="AY477" s="243">
        <v>0</v>
      </c>
      <c r="AZ477" s="244">
        <v>0</v>
      </c>
      <c r="BA477" s="244">
        <v>0</v>
      </c>
      <c r="BB477" s="244">
        <v>0</v>
      </c>
      <c r="BC477" s="244">
        <v>0</v>
      </c>
      <c r="BD477" s="244">
        <v>0</v>
      </c>
      <c r="BE477" s="244">
        <v>0</v>
      </c>
      <c r="BF477" s="244">
        <v>0</v>
      </c>
      <c r="BG477" s="244">
        <v>0</v>
      </c>
      <c r="BH477" s="245">
        <v>0</v>
      </c>
      <c r="BK477">
        <v>419</v>
      </c>
      <c r="BL477" s="281"/>
      <c r="BM477" s="281"/>
      <c r="BN477" s="282"/>
      <c r="BO477" s="282"/>
      <c r="BP477" s="282"/>
      <c r="BQ477" s="283"/>
      <c r="BR477" s="284"/>
      <c r="BS477" s="147"/>
      <c r="BT477" s="285"/>
      <c r="BU477" s="288"/>
      <c r="BV477" s="287"/>
      <c r="BW477" s="288"/>
      <c r="BX477" s="286"/>
      <c r="BY477" s="287"/>
      <c r="BZ477" s="288"/>
      <c r="CA477" s="286"/>
      <c r="CB477" s="286"/>
      <c r="CC477" s="287"/>
      <c r="CD477" s="286"/>
      <c r="CE477" s="286"/>
      <c r="CF477" s="286"/>
      <c r="CG477" s="287"/>
      <c r="CH477" s="288"/>
      <c r="CI477" s="286"/>
      <c r="CJ477" s="286"/>
      <c r="CK477" s="287"/>
      <c r="CL477" s="288"/>
      <c r="CM477" s="286"/>
      <c r="CN477" s="294"/>
      <c r="CO477" s="289"/>
      <c r="CP477" s="290"/>
      <c r="CQ477" s="289"/>
      <c r="CR477" s="290"/>
      <c r="CS477" s="284"/>
      <c r="CT477" s="147"/>
      <c r="CU477" s="291"/>
      <c r="CV477" s="292"/>
    </row>
    <row r="478" spans="2:100">
      <c r="B478">
        <v>420</v>
      </c>
      <c r="C478" s="243" t="str">
        <v/>
      </c>
      <c r="D478" s="592" t="str">
        <v/>
      </c>
      <c r="E478" s="245" t="str">
        <v/>
      </c>
      <c r="F478" s="243" t="str">
        <v/>
      </c>
      <c r="G478" s="245" t="str">
        <v/>
      </c>
      <c r="H478" s="243" t="str">
        <v/>
      </c>
      <c r="I478" s="245" t="str">
        <v/>
      </c>
      <c r="J478" s="242" t="str">
        <v/>
      </c>
      <c r="K478" s="242" t="str">
        <v/>
      </c>
      <c r="L478" s="242" t="str">
        <v/>
      </c>
      <c r="M478" s="243" t="str">
        <v/>
      </c>
      <c r="N478" s="592" t="str">
        <v/>
      </c>
      <c r="O478" s="245" t="str">
        <v/>
      </c>
      <c r="P478" s="245" t="str">
        <v/>
      </c>
      <c r="Q478" s="254" t="str">
        <v/>
      </c>
      <c r="R478" s="255" t="str">
        <v/>
      </c>
      <c r="S478" s="256" t="str">
        <v/>
      </c>
      <c r="T478" s="257" t="str">
        <v/>
      </c>
      <c r="U478" s="255" t="str">
        <v/>
      </c>
      <c r="V478" s="256" t="str">
        <v/>
      </c>
      <c r="W478" s="257" t="str">
        <v/>
      </c>
      <c r="X478" s="255" t="str">
        <v/>
      </c>
      <c r="Y478" s="256" t="str">
        <v/>
      </c>
      <c r="Z478" s="257" t="str">
        <v/>
      </c>
      <c r="AA478" s="255" t="str">
        <v/>
      </c>
      <c r="AB478" s="256" t="str">
        <v/>
      </c>
      <c r="AC478" s="257" t="str">
        <v/>
      </c>
      <c r="AD478" s="255" t="str">
        <v/>
      </c>
      <c r="AE478" s="256" t="str">
        <v/>
      </c>
      <c r="AF478" s="257" t="str">
        <v/>
      </c>
      <c r="AG478" s="255" t="str">
        <v/>
      </c>
      <c r="AH478" s="256" t="str">
        <v/>
      </c>
      <c r="AI478" s="257" t="str">
        <v/>
      </c>
      <c r="AJ478" s="255" t="str">
        <v/>
      </c>
      <c r="AK478" s="256" t="str">
        <v/>
      </c>
      <c r="AL478" s="257" t="str">
        <v/>
      </c>
      <c r="AM478" s="255" t="str">
        <v/>
      </c>
      <c r="AN478" s="256" t="str">
        <v/>
      </c>
      <c r="AO478" s="257" t="str">
        <v/>
      </c>
      <c r="AP478" s="255" t="str">
        <v/>
      </c>
      <c r="AQ478" s="256" t="str">
        <v/>
      </c>
      <c r="AR478" s="257" t="str">
        <v/>
      </c>
      <c r="AS478" s="255" t="str">
        <v/>
      </c>
      <c r="AT478" s="256" t="str">
        <v/>
      </c>
      <c r="AU478" s="257" t="str">
        <v/>
      </c>
      <c r="AV478" s="255" t="str">
        <v/>
      </c>
      <c r="AW478" s="256" t="str">
        <v/>
      </c>
      <c r="AX478" s="257" t="str">
        <v/>
      </c>
      <c r="AY478" s="243">
        <v>0</v>
      </c>
      <c r="AZ478" s="244">
        <v>0</v>
      </c>
      <c r="BA478" s="244">
        <v>0</v>
      </c>
      <c r="BB478" s="244">
        <v>0</v>
      </c>
      <c r="BC478" s="244">
        <v>0</v>
      </c>
      <c r="BD478" s="244">
        <v>0</v>
      </c>
      <c r="BE478" s="244">
        <v>0</v>
      </c>
      <c r="BF478" s="244">
        <v>0</v>
      </c>
      <c r="BG478" s="244">
        <v>0</v>
      </c>
      <c r="BH478" s="245">
        <v>0</v>
      </c>
      <c r="BK478">
        <v>420</v>
      </c>
      <c r="BL478" s="281"/>
      <c r="BM478" s="281"/>
      <c r="BN478" s="282"/>
      <c r="BO478" s="282"/>
      <c r="BP478" s="282"/>
      <c r="BQ478" s="283"/>
      <c r="BR478" s="284"/>
      <c r="BS478" s="147"/>
      <c r="BT478" s="285"/>
      <c r="BU478" s="288"/>
      <c r="BV478" s="287"/>
      <c r="BW478" s="288"/>
      <c r="BX478" s="286"/>
      <c r="BY478" s="287"/>
      <c r="BZ478" s="288"/>
      <c r="CA478" s="286"/>
      <c r="CB478" s="286"/>
      <c r="CC478" s="287"/>
      <c r="CD478" s="286"/>
      <c r="CE478" s="286"/>
      <c r="CF478" s="286"/>
      <c r="CG478" s="287"/>
      <c r="CH478" s="288"/>
      <c r="CI478" s="286"/>
      <c r="CJ478" s="286"/>
      <c r="CK478" s="287"/>
      <c r="CL478" s="288"/>
      <c r="CM478" s="286"/>
      <c r="CN478" s="294"/>
      <c r="CO478" s="289"/>
      <c r="CP478" s="290"/>
      <c r="CQ478" s="289"/>
      <c r="CR478" s="290"/>
      <c r="CS478" s="284"/>
      <c r="CT478" s="147"/>
      <c r="CU478" s="291"/>
      <c r="CV478" s="292"/>
    </row>
    <row r="479" spans="2:100">
      <c r="B479">
        <v>421</v>
      </c>
      <c r="C479" s="243" t="str">
        <v/>
      </c>
      <c r="D479" s="592" t="str">
        <v/>
      </c>
      <c r="E479" s="245" t="str">
        <v/>
      </c>
      <c r="F479" s="243" t="str">
        <v/>
      </c>
      <c r="G479" s="245" t="str">
        <v/>
      </c>
      <c r="H479" s="243" t="str">
        <v/>
      </c>
      <c r="I479" s="245" t="str">
        <v/>
      </c>
      <c r="J479" s="242" t="str">
        <v/>
      </c>
      <c r="K479" s="242" t="str">
        <v/>
      </c>
      <c r="L479" s="242" t="str">
        <v/>
      </c>
      <c r="M479" s="243" t="str">
        <v/>
      </c>
      <c r="N479" s="592" t="str">
        <v/>
      </c>
      <c r="O479" s="245" t="str">
        <v/>
      </c>
      <c r="P479" s="245" t="str">
        <v/>
      </c>
      <c r="Q479" s="254" t="str">
        <v/>
      </c>
      <c r="R479" s="255" t="str">
        <v/>
      </c>
      <c r="S479" s="256" t="str">
        <v/>
      </c>
      <c r="T479" s="257" t="str">
        <v/>
      </c>
      <c r="U479" s="255" t="str">
        <v/>
      </c>
      <c r="V479" s="256" t="str">
        <v/>
      </c>
      <c r="W479" s="257" t="str">
        <v/>
      </c>
      <c r="X479" s="255" t="str">
        <v/>
      </c>
      <c r="Y479" s="256" t="str">
        <v/>
      </c>
      <c r="Z479" s="257" t="str">
        <v/>
      </c>
      <c r="AA479" s="255" t="str">
        <v/>
      </c>
      <c r="AB479" s="256" t="str">
        <v/>
      </c>
      <c r="AC479" s="257" t="str">
        <v/>
      </c>
      <c r="AD479" s="255" t="str">
        <v/>
      </c>
      <c r="AE479" s="256" t="str">
        <v/>
      </c>
      <c r="AF479" s="257" t="str">
        <v/>
      </c>
      <c r="AG479" s="255" t="str">
        <v/>
      </c>
      <c r="AH479" s="256" t="str">
        <v/>
      </c>
      <c r="AI479" s="257" t="str">
        <v/>
      </c>
      <c r="AJ479" s="255" t="str">
        <v/>
      </c>
      <c r="AK479" s="256" t="str">
        <v/>
      </c>
      <c r="AL479" s="257" t="str">
        <v/>
      </c>
      <c r="AM479" s="255" t="str">
        <v/>
      </c>
      <c r="AN479" s="256" t="str">
        <v/>
      </c>
      <c r="AO479" s="257" t="str">
        <v/>
      </c>
      <c r="AP479" s="255" t="str">
        <v/>
      </c>
      <c r="AQ479" s="256" t="str">
        <v/>
      </c>
      <c r="AR479" s="257" t="str">
        <v/>
      </c>
      <c r="AS479" s="255" t="str">
        <v/>
      </c>
      <c r="AT479" s="256" t="str">
        <v/>
      </c>
      <c r="AU479" s="257" t="str">
        <v/>
      </c>
      <c r="AV479" s="255" t="str">
        <v/>
      </c>
      <c r="AW479" s="256" t="str">
        <v/>
      </c>
      <c r="AX479" s="257" t="str">
        <v/>
      </c>
      <c r="AY479" s="243">
        <v>0</v>
      </c>
      <c r="AZ479" s="244">
        <v>0</v>
      </c>
      <c r="BA479" s="244">
        <v>0</v>
      </c>
      <c r="BB479" s="244">
        <v>0</v>
      </c>
      <c r="BC479" s="244">
        <v>0</v>
      </c>
      <c r="BD479" s="244">
        <v>0</v>
      </c>
      <c r="BE479" s="244">
        <v>0</v>
      </c>
      <c r="BF479" s="244">
        <v>0</v>
      </c>
      <c r="BG479" s="244">
        <v>0</v>
      </c>
      <c r="BH479" s="245">
        <v>0</v>
      </c>
      <c r="BK479">
        <v>421</v>
      </c>
      <c r="BL479" s="281"/>
      <c r="BM479" s="281"/>
      <c r="BN479" s="282"/>
      <c r="BO479" s="282"/>
      <c r="BP479" s="282"/>
      <c r="BQ479" s="283"/>
      <c r="BR479" s="284"/>
      <c r="BS479" s="147"/>
      <c r="BT479" s="285"/>
      <c r="BU479" s="288"/>
      <c r="BV479" s="287"/>
      <c r="BW479" s="288"/>
      <c r="BX479" s="286"/>
      <c r="BY479" s="287"/>
      <c r="BZ479" s="288"/>
      <c r="CA479" s="286"/>
      <c r="CB479" s="286"/>
      <c r="CC479" s="287"/>
      <c r="CD479" s="286"/>
      <c r="CE479" s="286"/>
      <c r="CF479" s="286"/>
      <c r="CG479" s="287"/>
      <c r="CH479" s="288"/>
      <c r="CI479" s="286"/>
      <c r="CJ479" s="286"/>
      <c r="CK479" s="287"/>
      <c r="CL479" s="288"/>
      <c r="CM479" s="286"/>
      <c r="CN479" s="294"/>
      <c r="CO479" s="289"/>
      <c r="CP479" s="290"/>
      <c r="CQ479" s="289"/>
      <c r="CR479" s="290"/>
      <c r="CS479" s="284"/>
      <c r="CT479" s="147"/>
      <c r="CU479" s="291"/>
      <c r="CV479" s="292"/>
    </row>
    <row r="480" spans="2:100">
      <c r="B480">
        <v>422</v>
      </c>
      <c r="C480" s="243" t="str">
        <v/>
      </c>
      <c r="D480" s="592" t="str">
        <v/>
      </c>
      <c r="E480" s="245" t="str">
        <v/>
      </c>
      <c r="F480" s="243" t="str">
        <v/>
      </c>
      <c r="G480" s="245" t="str">
        <v/>
      </c>
      <c r="H480" s="243" t="str">
        <v/>
      </c>
      <c r="I480" s="245" t="str">
        <v/>
      </c>
      <c r="J480" s="242" t="str">
        <v/>
      </c>
      <c r="K480" s="242" t="str">
        <v/>
      </c>
      <c r="L480" s="242" t="str">
        <v/>
      </c>
      <c r="M480" s="243" t="str">
        <v/>
      </c>
      <c r="N480" s="592" t="str">
        <v/>
      </c>
      <c r="O480" s="245" t="str">
        <v/>
      </c>
      <c r="P480" s="245" t="str">
        <v/>
      </c>
      <c r="Q480" s="254" t="str">
        <v/>
      </c>
      <c r="R480" s="255" t="str">
        <v/>
      </c>
      <c r="S480" s="256" t="str">
        <v/>
      </c>
      <c r="T480" s="257" t="str">
        <v/>
      </c>
      <c r="U480" s="255" t="str">
        <v/>
      </c>
      <c r="V480" s="256" t="str">
        <v/>
      </c>
      <c r="W480" s="257" t="str">
        <v/>
      </c>
      <c r="X480" s="255" t="str">
        <v/>
      </c>
      <c r="Y480" s="256" t="str">
        <v/>
      </c>
      <c r="Z480" s="257" t="str">
        <v/>
      </c>
      <c r="AA480" s="255" t="str">
        <v/>
      </c>
      <c r="AB480" s="256" t="str">
        <v/>
      </c>
      <c r="AC480" s="257" t="str">
        <v/>
      </c>
      <c r="AD480" s="255" t="str">
        <v/>
      </c>
      <c r="AE480" s="256" t="str">
        <v/>
      </c>
      <c r="AF480" s="257" t="str">
        <v/>
      </c>
      <c r="AG480" s="255" t="str">
        <v/>
      </c>
      <c r="AH480" s="256" t="str">
        <v/>
      </c>
      <c r="AI480" s="257" t="str">
        <v/>
      </c>
      <c r="AJ480" s="255" t="str">
        <v/>
      </c>
      <c r="AK480" s="256" t="str">
        <v/>
      </c>
      <c r="AL480" s="257" t="str">
        <v/>
      </c>
      <c r="AM480" s="255" t="str">
        <v/>
      </c>
      <c r="AN480" s="256" t="str">
        <v/>
      </c>
      <c r="AO480" s="257" t="str">
        <v/>
      </c>
      <c r="AP480" s="255" t="str">
        <v/>
      </c>
      <c r="AQ480" s="256" t="str">
        <v/>
      </c>
      <c r="AR480" s="257" t="str">
        <v/>
      </c>
      <c r="AS480" s="255" t="str">
        <v/>
      </c>
      <c r="AT480" s="256" t="str">
        <v/>
      </c>
      <c r="AU480" s="257" t="str">
        <v/>
      </c>
      <c r="AV480" s="255" t="str">
        <v/>
      </c>
      <c r="AW480" s="256" t="str">
        <v/>
      </c>
      <c r="AX480" s="257" t="str">
        <v/>
      </c>
      <c r="AY480" s="243">
        <v>0</v>
      </c>
      <c r="AZ480" s="244">
        <v>0</v>
      </c>
      <c r="BA480" s="244">
        <v>0</v>
      </c>
      <c r="BB480" s="244">
        <v>0</v>
      </c>
      <c r="BC480" s="244">
        <v>0</v>
      </c>
      <c r="BD480" s="244">
        <v>0</v>
      </c>
      <c r="BE480" s="244">
        <v>0</v>
      </c>
      <c r="BF480" s="244">
        <v>0</v>
      </c>
      <c r="BG480" s="244">
        <v>0</v>
      </c>
      <c r="BH480" s="245">
        <v>0</v>
      </c>
      <c r="BK480">
        <v>422</v>
      </c>
      <c r="BL480" s="281"/>
      <c r="BM480" s="281"/>
      <c r="BN480" s="282"/>
      <c r="BO480" s="282"/>
      <c r="BP480" s="282"/>
      <c r="BQ480" s="283"/>
      <c r="BR480" s="284"/>
      <c r="BS480" s="147"/>
      <c r="BT480" s="285"/>
      <c r="BU480" s="288"/>
      <c r="BV480" s="287"/>
      <c r="BW480" s="288"/>
      <c r="BX480" s="286"/>
      <c r="BY480" s="287"/>
      <c r="BZ480" s="288"/>
      <c r="CA480" s="286"/>
      <c r="CB480" s="286"/>
      <c r="CC480" s="287"/>
      <c r="CD480" s="286"/>
      <c r="CE480" s="286"/>
      <c r="CF480" s="286"/>
      <c r="CG480" s="287"/>
      <c r="CH480" s="288"/>
      <c r="CI480" s="286"/>
      <c r="CJ480" s="286"/>
      <c r="CK480" s="287"/>
      <c r="CL480" s="288"/>
      <c r="CM480" s="286"/>
      <c r="CN480" s="294"/>
      <c r="CO480" s="289"/>
      <c r="CP480" s="290"/>
      <c r="CQ480" s="289"/>
      <c r="CR480" s="290"/>
      <c r="CS480" s="284"/>
      <c r="CT480" s="147"/>
      <c r="CU480" s="291"/>
      <c r="CV480" s="292"/>
    </row>
    <row r="481" spans="2:100">
      <c r="B481">
        <v>423</v>
      </c>
      <c r="C481" s="243" t="str">
        <v/>
      </c>
      <c r="D481" s="592" t="str">
        <v/>
      </c>
      <c r="E481" s="245" t="str">
        <v/>
      </c>
      <c r="F481" s="243" t="str">
        <v/>
      </c>
      <c r="G481" s="245" t="str">
        <v/>
      </c>
      <c r="H481" s="243" t="str">
        <v/>
      </c>
      <c r="I481" s="245" t="str">
        <v/>
      </c>
      <c r="J481" s="242" t="str">
        <v/>
      </c>
      <c r="K481" s="242" t="str">
        <v/>
      </c>
      <c r="L481" s="242" t="str">
        <v/>
      </c>
      <c r="M481" s="243" t="str">
        <v/>
      </c>
      <c r="N481" s="592" t="str">
        <v/>
      </c>
      <c r="O481" s="245" t="str">
        <v/>
      </c>
      <c r="P481" s="245" t="str">
        <v/>
      </c>
      <c r="Q481" s="254" t="str">
        <v/>
      </c>
      <c r="R481" s="255" t="str">
        <v/>
      </c>
      <c r="S481" s="256" t="str">
        <v/>
      </c>
      <c r="T481" s="257" t="str">
        <v/>
      </c>
      <c r="U481" s="255" t="str">
        <v/>
      </c>
      <c r="V481" s="256" t="str">
        <v/>
      </c>
      <c r="W481" s="257" t="str">
        <v/>
      </c>
      <c r="X481" s="255" t="str">
        <v/>
      </c>
      <c r="Y481" s="256" t="str">
        <v/>
      </c>
      <c r="Z481" s="257" t="str">
        <v/>
      </c>
      <c r="AA481" s="255" t="str">
        <v/>
      </c>
      <c r="AB481" s="256" t="str">
        <v/>
      </c>
      <c r="AC481" s="257" t="str">
        <v/>
      </c>
      <c r="AD481" s="255" t="str">
        <v/>
      </c>
      <c r="AE481" s="256" t="str">
        <v/>
      </c>
      <c r="AF481" s="257" t="str">
        <v/>
      </c>
      <c r="AG481" s="255" t="str">
        <v/>
      </c>
      <c r="AH481" s="256" t="str">
        <v/>
      </c>
      <c r="AI481" s="257" t="str">
        <v/>
      </c>
      <c r="AJ481" s="255" t="str">
        <v/>
      </c>
      <c r="AK481" s="256" t="str">
        <v/>
      </c>
      <c r="AL481" s="257" t="str">
        <v/>
      </c>
      <c r="AM481" s="255" t="str">
        <v/>
      </c>
      <c r="AN481" s="256" t="str">
        <v/>
      </c>
      <c r="AO481" s="257" t="str">
        <v/>
      </c>
      <c r="AP481" s="255" t="str">
        <v/>
      </c>
      <c r="AQ481" s="256" t="str">
        <v/>
      </c>
      <c r="AR481" s="257" t="str">
        <v/>
      </c>
      <c r="AS481" s="255" t="str">
        <v/>
      </c>
      <c r="AT481" s="256" t="str">
        <v/>
      </c>
      <c r="AU481" s="257" t="str">
        <v/>
      </c>
      <c r="AV481" s="255" t="str">
        <v/>
      </c>
      <c r="AW481" s="256" t="str">
        <v/>
      </c>
      <c r="AX481" s="257" t="str">
        <v/>
      </c>
      <c r="AY481" s="243">
        <v>0</v>
      </c>
      <c r="AZ481" s="244">
        <v>0</v>
      </c>
      <c r="BA481" s="244">
        <v>0</v>
      </c>
      <c r="BB481" s="244">
        <v>0</v>
      </c>
      <c r="BC481" s="244">
        <v>0</v>
      </c>
      <c r="BD481" s="244">
        <v>0</v>
      </c>
      <c r="BE481" s="244">
        <v>0</v>
      </c>
      <c r="BF481" s="244">
        <v>0</v>
      </c>
      <c r="BG481" s="244">
        <v>0</v>
      </c>
      <c r="BH481" s="245">
        <v>0</v>
      </c>
      <c r="BK481">
        <v>423</v>
      </c>
      <c r="BL481" s="281"/>
      <c r="BM481" s="281"/>
      <c r="BN481" s="282"/>
      <c r="BO481" s="282"/>
      <c r="BP481" s="282"/>
      <c r="BQ481" s="283"/>
      <c r="BR481" s="284"/>
      <c r="BS481" s="147"/>
      <c r="BT481" s="285"/>
      <c r="BU481" s="288"/>
      <c r="BV481" s="287"/>
      <c r="BW481" s="288"/>
      <c r="BX481" s="286"/>
      <c r="BY481" s="287"/>
      <c r="BZ481" s="288"/>
      <c r="CA481" s="286"/>
      <c r="CB481" s="286"/>
      <c r="CC481" s="287"/>
      <c r="CD481" s="286"/>
      <c r="CE481" s="286"/>
      <c r="CF481" s="286"/>
      <c r="CG481" s="287"/>
      <c r="CH481" s="288"/>
      <c r="CI481" s="286"/>
      <c r="CJ481" s="286"/>
      <c r="CK481" s="287"/>
      <c r="CL481" s="288"/>
      <c r="CM481" s="286"/>
      <c r="CN481" s="294"/>
      <c r="CO481" s="289"/>
      <c r="CP481" s="290"/>
      <c r="CQ481" s="289"/>
      <c r="CR481" s="290"/>
      <c r="CS481" s="284"/>
      <c r="CT481" s="147"/>
      <c r="CU481" s="291"/>
      <c r="CV481" s="292"/>
    </row>
    <row r="482" spans="2:100">
      <c r="B482">
        <v>424</v>
      </c>
      <c r="C482" s="243" t="str">
        <v/>
      </c>
      <c r="D482" s="592" t="str">
        <v/>
      </c>
      <c r="E482" s="245" t="str">
        <v/>
      </c>
      <c r="F482" s="243" t="str">
        <v/>
      </c>
      <c r="G482" s="245" t="str">
        <v/>
      </c>
      <c r="H482" s="243" t="str">
        <v/>
      </c>
      <c r="I482" s="245" t="str">
        <v/>
      </c>
      <c r="J482" s="242" t="str">
        <v/>
      </c>
      <c r="K482" s="242" t="str">
        <v/>
      </c>
      <c r="L482" s="242" t="str">
        <v/>
      </c>
      <c r="M482" s="243" t="str">
        <v/>
      </c>
      <c r="N482" s="592" t="str">
        <v/>
      </c>
      <c r="O482" s="245" t="str">
        <v/>
      </c>
      <c r="P482" s="245" t="str">
        <v/>
      </c>
      <c r="Q482" s="254" t="str">
        <v/>
      </c>
      <c r="R482" s="255" t="str">
        <v/>
      </c>
      <c r="S482" s="256" t="str">
        <v/>
      </c>
      <c r="T482" s="257" t="str">
        <v/>
      </c>
      <c r="U482" s="255" t="str">
        <v/>
      </c>
      <c r="V482" s="256" t="str">
        <v/>
      </c>
      <c r="W482" s="257" t="str">
        <v/>
      </c>
      <c r="X482" s="255" t="str">
        <v/>
      </c>
      <c r="Y482" s="256" t="str">
        <v/>
      </c>
      <c r="Z482" s="257" t="str">
        <v/>
      </c>
      <c r="AA482" s="255" t="str">
        <v/>
      </c>
      <c r="AB482" s="256" t="str">
        <v/>
      </c>
      <c r="AC482" s="257" t="str">
        <v/>
      </c>
      <c r="AD482" s="255" t="str">
        <v/>
      </c>
      <c r="AE482" s="256" t="str">
        <v/>
      </c>
      <c r="AF482" s="257" t="str">
        <v/>
      </c>
      <c r="AG482" s="255" t="str">
        <v/>
      </c>
      <c r="AH482" s="256" t="str">
        <v/>
      </c>
      <c r="AI482" s="257" t="str">
        <v/>
      </c>
      <c r="AJ482" s="255" t="str">
        <v/>
      </c>
      <c r="AK482" s="256" t="str">
        <v/>
      </c>
      <c r="AL482" s="257" t="str">
        <v/>
      </c>
      <c r="AM482" s="255" t="str">
        <v/>
      </c>
      <c r="AN482" s="256" t="str">
        <v/>
      </c>
      <c r="AO482" s="257" t="str">
        <v/>
      </c>
      <c r="AP482" s="255" t="str">
        <v/>
      </c>
      <c r="AQ482" s="256" t="str">
        <v/>
      </c>
      <c r="AR482" s="257" t="str">
        <v/>
      </c>
      <c r="AS482" s="255" t="str">
        <v/>
      </c>
      <c r="AT482" s="256" t="str">
        <v/>
      </c>
      <c r="AU482" s="257" t="str">
        <v/>
      </c>
      <c r="AV482" s="255" t="str">
        <v/>
      </c>
      <c r="AW482" s="256" t="str">
        <v/>
      </c>
      <c r="AX482" s="257" t="str">
        <v/>
      </c>
      <c r="AY482" s="243">
        <v>0</v>
      </c>
      <c r="AZ482" s="244">
        <v>0</v>
      </c>
      <c r="BA482" s="244">
        <v>0</v>
      </c>
      <c r="BB482" s="244">
        <v>0</v>
      </c>
      <c r="BC482" s="244">
        <v>0</v>
      </c>
      <c r="BD482" s="244">
        <v>0</v>
      </c>
      <c r="BE482" s="244">
        <v>0</v>
      </c>
      <c r="BF482" s="244">
        <v>0</v>
      </c>
      <c r="BG482" s="244">
        <v>0</v>
      </c>
      <c r="BH482" s="245">
        <v>0</v>
      </c>
      <c r="BK482">
        <v>424</v>
      </c>
      <c r="BL482" s="281"/>
      <c r="BM482" s="281"/>
      <c r="BN482" s="282"/>
      <c r="BO482" s="282"/>
      <c r="BP482" s="282"/>
      <c r="BQ482" s="283"/>
      <c r="BR482" s="284"/>
      <c r="BS482" s="147"/>
      <c r="BT482" s="285"/>
      <c r="BU482" s="288"/>
      <c r="BV482" s="287"/>
      <c r="BW482" s="288"/>
      <c r="BX482" s="286"/>
      <c r="BY482" s="287"/>
      <c r="BZ482" s="288"/>
      <c r="CA482" s="286"/>
      <c r="CB482" s="286"/>
      <c r="CC482" s="287"/>
      <c r="CD482" s="286"/>
      <c r="CE482" s="286"/>
      <c r="CF482" s="286"/>
      <c r="CG482" s="287"/>
      <c r="CH482" s="288"/>
      <c r="CI482" s="286"/>
      <c r="CJ482" s="286"/>
      <c r="CK482" s="287"/>
      <c r="CL482" s="288"/>
      <c r="CM482" s="286"/>
      <c r="CN482" s="294"/>
      <c r="CO482" s="289"/>
      <c r="CP482" s="290"/>
      <c r="CQ482" s="289"/>
      <c r="CR482" s="290"/>
      <c r="CS482" s="284"/>
      <c r="CT482" s="147"/>
      <c r="CU482" s="291"/>
      <c r="CV482" s="292"/>
    </row>
    <row r="483" spans="2:100">
      <c r="B483">
        <v>425</v>
      </c>
      <c r="C483" s="243" t="str">
        <v/>
      </c>
      <c r="D483" s="592" t="str">
        <v/>
      </c>
      <c r="E483" s="245" t="str">
        <v/>
      </c>
      <c r="F483" s="243" t="str">
        <v/>
      </c>
      <c r="G483" s="245" t="str">
        <v/>
      </c>
      <c r="H483" s="243" t="str">
        <v/>
      </c>
      <c r="I483" s="245" t="str">
        <v/>
      </c>
      <c r="J483" s="242" t="str">
        <v/>
      </c>
      <c r="K483" s="242" t="str">
        <v/>
      </c>
      <c r="L483" s="242" t="str">
        <v/>
      </c>
      <c r="M483" s="243" t="str">
        <v/>
      </c>
      <c r="N483" s="592" t="str">
        <v/>
      </c>
      <c r="O483" s="245" t="str">
        <v/>
      </c>
      <c r="P483" s="245" t="str">
        <v/>
      </c>
      <c r="Q483" s="254" t="str">
        <v/>
      </c>
      <c r="R483" s="255" t="str">
        <v/>
      </c>
      <c r="S483" s="256" t="str">
        <v/>
      </c>
      <c r="T483" s="257" t="str">
        <v/>
      </c>
      <c r="U483" s="255" t="str">
        <v/>
      </c>
      <c r="V483" s="256" t="str">
        <v/>
      </c>
      <c r="W483" s="257" t="str">
        <v/>
      </c>
      <c r="X483" s="255" t="str">
        <v/>
      </c>
      <c r="Y483" s="256" t="str">
        <v/>
      </c>
      <c r="Z483" s="257" t="str">
        <v/>
      </c>
      <c r="AA483" s="255" t="str">
        <v/>
      </c>
      <c r="AB483" s="256" t="str">
        <v/>
      </c>
      <c r="AC483" s="257" t="str">
        <v/>
      </c>
      <c r="AD483" s="255" t="str">
        <v/>
      </c>
      <c r="AE483" s="256" t="str">
        <v/>
      </c>
      <c r="AF483" s="257" t="str">
        <v/>
      </c>
      <c r="AG483" s="255" t="str">
        <v/>
      </c>
      <c r="AH483" s="256" t="str">
        <v/>
      </c>
      <c r="AI483" s="257" t="str">
        <v/>
      </c>
      <c r="AJ483" s="255" t="str">
        <v/>
      </c>
      <c r="AK483" s="256" t="str">
        <v/>
      </c>
      <c r="AL483" s="257" t="str">
        <v/>
      </c>
      <c r="AM483" s="255" t="str">
        <v/>
      </c>
      <c r="AN483" s="256" t="str">
        <v/>
      </c>
      <c r="AO483" s="257" t="str">
        <v/>
      </c>
      <c r="AP483" s="255" t="str">
        <v/>
      </c>
      <c r="AQ483" s="256" t="str">
        <v/>
      </c>
      <c r="AR483" s="257" t="str">
        <v/>
      </c>
      <c r="AS483" s="255" t="str">
        <v/>
      </c>
      <c r="AT483" s="256" t="str">
        <v/>
      </c>
      <c r="AU483" s="257" t="str">
        <v/>
      </c>
      <c r="AV483" s="255" t="str">
        <v/>
      </c>
      <c r="AW483" s="256" t="str">
        <v/>
      </c>
      <c r="AX483" s="257" t="str">
        <v/>
      </c>
      <c r="AY483" s="243">
        <v>0</v>
      </c>
      <c r="AZ483" s="244">
        <v>0</v>
      </c>
      <c r="BA483" s="244">
        <v>0</v>
      </c>
      <c r="BB483" s="244">
        <v>0</v>
      </c>
      <c r="BC483" s="244">
        <v>0</v>
      </c>
      <c r="BD483" s="244">
        <v>0</v>
      </c>
      <c r="BE483" s="244">
        <v>0</v>
      </c>
      <c r="BF483" s="244">
        <v>0</v>
      </c>
      <c r="BG483" s="244">
        <v>0</v>
      </c>
      <c r="BH483" s="245">
        <v>0</v>
      </c>
      <c r="BK483">
        <v>425</v>
      </c>
      <c r="BL483" s="281"/>
      <c r="BM483" s="281"/>
      <c r="BN483" s="282"/>
      <c r="BO483" s="282"/>
      <c r="BP483" s="282"/>
      <c r="BQ483" s="283"/>
      <c r="BR483" s="284"/>
      <c r="BS483" s="147"/>
      <c r="BT483" s="285"/>
      <c r="BU483" s="288"/>
      <c r="BV483" s="287"/>
      <c r="BW483" s="288"/>
      <c r="BX483" s="286"/>
      <c r="BY483" s="287"/>
      <c r="BZ483" s="288"/>
      <c r="CA483" s="286"/>
      <c r="CB483" s="286"/>
      <c r="CC483" s="287"/>
      <c r="CD483" s="286"/>
      <c r="CE483" s="286"/>
      <c r="CF483" s="286"/>
      <c r="CG483" s="287"/>
      <c r="CH483" s="288"/>
      <c r="CI483" s="286"/>
      <c r="CJ483" s="286"/>
      <c r="CK483" s="287"/>
      <c r="CL483" s="288"/>
      <c r="CM483" s="286"/>
      <c r="CN483" s="294"/>
      <c r="CO483" s="289"/>
      <c r="CP483" s="290"/>
      <c r="CQ483" s="289"/>
      <c r="CR483" s="290"/>
      <c r="CS483" s="284"/>
      <c r="CT483" s="147"/>
      <c r="CU483" s="291"/>
      <c r="CV483" s="292"/>
    </row>
    <row r="484" spans="2:100">
      <c r="B484">
        <v>426</v>
      </c>
      <c r="C484" s="243" t="str">
        <v/>
      </c>
      <c r="D484" s="592" t="str">
        <v/>
      </c>
      <c r="E484" s="245" t="str">
        <v/>
      </c>
      <c r="F484" s="243" t="str">
        <v/>
      </c>
      <c r="G484" s="245" t="str">
        <v/>
      </c>
      <c r="H484" s="243" t="str">
        <v/>
      </c>
      <c r="I484" s="245" t="str">
        <v/>
      </c>
      <c r="J484" s="242" t="str">
        <v/>
      </c>
      <c r="K484" s="242" t="str">
        <v/>
      </c>
      <c r="L484" s="242" t="str">
        <v/>
      </c>
      <c r="M484" s="243" t="str">
        <v/>
      </c>
      <c r="N484" s="592" t="str">
        <v/>
      </c>
      <c r="O484" s="245" t="str">
        <v/>
      </c>
      <c r="P484" s="245" t="str">
        <v/>
      </c>
      <c r="Q484" s="254" t="str">
        <v/>
      </c>
      <c r="R484" s="255" t="str">
        <v/>
      </c>
      <c r="S484" s="256" t="str">
        <v/>
      </c>
      <c r="T484" s="257" t="str">
        <v/>
      </c>
      <c r="U484" s="255" t="str">
        <v/>
      </c>
      <c r="V484" s="256" t="str">
        <v/>
      </c>
      <c r="W484" s="257" t="str">
        <v/>
      </c>
      <c r="X484" s="255" t="str">
        <v/>
      </c>
      <c r="Y484" s="256" t="str">
        <v/>
      </c>
      <c r="Z484" s="257" t="str">
        <v/>
      </c>
      <c r="AA484" s="255" t="str">
        <v/>
      </c>
      <c r="AB484" s="256" t="str">
        <v/>
      </c>
      <c r="AC484" s="257" t="str">
        <v/>
      </c>
      <c r="AD484" s="255" t="str">
        <v/>
      </c>
      <c r="AE484" s="256" t="str">
        <v/>
      </c>
      <c r="AF484" s="257" t="str">
        <v/>
      </c>
      <c r="AG484" s="255" t="str">
        <v/>
      </c>
      <c r="AH484" s="256" t="str">
        <v/>
      </c>
      <c r="AI484" s="257" t="str">
        <v/>
      </c>
      <c r="AJ484" s="255" t="str">
        <v/>
      </c>
      <c r="AK484" s="256" t="str">
        <v/>
      </c>
      <c r="AL484" s="257" t="str">
        <v/>
      </c>
      <c r="AM484" s="255" t="str">
        <v/>
      </c>
      <c r="AN484" s="256" t="str">
        <v/>
      </c>
      <c r="AO484" s="257" t="str">
        <v/>
      </c>
      <c r="AP484" s="255" t="str">
        <v/>
      </c>
      <c r="AQ484" s="256" t="str">
        <v/>
      </c>
      <c r="AR484" s="257" t="str">
        <v/>
      </c>
      <c r="AS484" s="255" t="str">
        <v/>
      </c>
      <c r="AT484" s="256" t="str">
        <v/>
      </c>
      <c r="AU484" s="257" t="str">
        <v/>
      </c>
      <c r="AV484" s="255" t="str">
        <v/>
      </c>
      <c r="AW484" s="256" t="str">
        <v/>
      </c>
      <c r="AX484" s="257" t="str">
        <v/>
      </c>
      <c r="AY484" s="243">
        <v>0</v>
      </c>
      <c r="AZ484" s="244">
        <v>0</v>
      </c>
      <c r="BA484" s="244">
        <v>0</v>
      </c>
      <c r="BB484" s="244">
        <v>0</v>
      </c>
      <c r="BC484" s="244">
        <v>0</v>
      </c>
      <c r="BD484" s="244">
        <v>0</v>
      </c>
      <c r="BE484" s="244">
        <v>0</v>
      </c>
      <c r="BF484" s="244">
        <v>0</v>
      </c>
      <c r="BG484" s="244">
        <v>0</v>
      </c>
      <c r="BH484" s="245">
        <v>0</v>
      </c>
      <c r="BK484">
        <v>426</v>
      </c>
      <c r="BL484" s="281"/>
      <c r="BM484" s="281"/>
      <c r="BN484" s="282"/>
      <c r="BO484" s="282"/>
      <c r="BP484" s="282"/>
      <c r="BQ484" s="283"/>
      <c r="BR484" s="284"/>
      <c r="BS484" s="147"/>
      <c r="BT484" s="285"/>
      <c r="BU484" s="288"/>
      <c r="BV484" s="287"/>
      <c r="BW484" s="288"/>
      <c r="BX484" s="286"/>
      <c r="BY484" s="287"/>
      <c r="BZ484" s="288"/>
      <c r="CA484" s="286"/>
      <c r="CB484" s="286"/>
      <c r="CC484" s="287"/>
      <c r="CD484" s="286"/>
      <c r="CE484" s="286"/>
      <c r="CF484" s="286"/>
      <c r="CG484" s="287"/>
      <c r="CH484" s="288"/>
      <c r="CI484" s="286"/>
      <c r="CJ484" s="286"/>
      <c r="CK484" s="287"/>
      <c r="CL484" s="288"/>
      <c r="CM484" s="286"/>
      <c r="CN484" s="294"/>
      <c r="CO484" s="289"/>
      <c r="CP484" s="290"/>
      <c r="CQ484" s="289"/>
      <c r="CR484" s="290"/>
      <c r="CS484" s="284"/>
      <c r="CT484" s="147"/>
      <c r="CU484" s="291"/>
      <c r="CV484" s="292"/>
    </row>
    <row r="485" spans="2:100">
      <c r="B485">
        <v>427</v>
      </c>
      <c r="C485" s="243" t="str">
        <v/>
      </c>
      <c r="D485" s="592" t="str">
        <v/>
      </c>
      <c r="E485" s="245" t="str">
        <v/>
      </c>
      <c r="F485" s="243" t="str">
        <v/>
      </c>
      <c r="G485" s="245" t="str">
        <v/>
      </c>
      <c r="H485" s="243" t="str">
        <v/>
      </c>
      <c r="I485" s="245" t="str">
        <v/>
      </c>
      <c r="J485" s="242" t="str">
        <v/>
      </c>
      <c r="K485" s="242" t="str">
        <v/>
      </c>
      <c r="L485" s="242" t="str">
        <v/>
      </c>
      <c r="M485" s="243" t="str">
        <v/>
      </c>
      <c r="N485" s="592" t="str">
        <v/>
      </c>
      <c r="O485" s="245" t="str">
        <v/>
      </c>
      <c r="P485" s="245" t="str">
        <v/>
      </c>
      <c r="Q485" s="254" t="str">
        <v/>
      </c>
      <c r="R485" s="255" t="str">
        <v/>
      </c>
      <c r="S485" s="256" t="str">
        <v/>
      </c>
      <c r="T485" s="257" t="str">
        <v/>
      </c>
      <c r="U485" s="255" t="str">
        <v/>
      </c>
      <c r="V485" s="256" t="str">
        <v/>
      </c>
      <c r="W485" s="257" t="str">
        <v/>
      </c>
      <c r="X485" s="255" t="str">
        <v/>
      </c>
      <c r="Y485" s="256" t="str">
        <v/>
      </c>
      <c r="Z485" s="257" t="str">
        <v/>
      </c>
      <c r="AA485" s="255" t="str">
        <v/>
      </c>
      <c r="AB485" s="256" t="str">
        <v/>
      </c>
      <c r="AC485" s="257" t="str">
        <v/>
      </c>
      <c r="AD485" s="255" t="str">
        <v/>
      </c>
      <c r="AE485" s="256" t="str">
        <v/>
      </c>
      <c r="AF485" s="257" t="str">
        <v/>
      </c>
      <c r="AG485" s="255" t="str">
        <v/>
      </c>
      <c r="AH485" s="256" t="str">
        <v/>
      </c>
      <c r="AI485" s="257" t="str">
        <v/>
      </c>
      <c r="AJ485" s="255" t="str">
        <v/>
      </c>
      <c r="AK485" s="256" t="str">
        <v/>
      </c>
      <c r="AL485" s="257" t="str">
        <v/>
      </c>
      <c r="AM485" s="255" t="str">
        <v/>
      </c>
      <c r="AN485" s="256" t="str">
        <v/>
      </c>
      <c r="AO485" s="257" t="str">
        <v/>
      </c>
      <c r="AP485" s="255" t="str">
        <v/>
      </c>
      <c r="AQ485" s="256" t="str">
        <v/>
      </c>
      <c r="AR485" s="257" t="str">
        <v/>
      </c>
      <c r="AS485" s="255" t="str">
        <v/>
      </c>
      <c r="AT485" s="256" t="str">
        <v/>
      </c>
      <c r="AU485" s="257" t="str">
        <v/>
      </c>
      <c r="AV485" s="255" t="str">
        <v/>
      </c>
      <c r="AW485" s="256" t="str">
        <v/>
      </c>
      <c r="AX485" s="257" t="str">
        <v/>
      </c>
      <c r="AY485" s="243">
        <v>0</v>
      </c>
      <c r="AZ485" s="244">
        <v>0</v>
      </c>
      <c r="BA485" s="244">
        <v>0</v>
      </c>
      <c r="BB485" s="244">
        <v>0</v>
      </c>
      <c r="BC485" s="244">
        <v>0</v>
      </c>
      <c r="BD485" s="244">
        <v>0</v>
      </c>
      <c r="BE485" s="244">
        <v>0</v>
      </c>
      <c r="BF485" s="244">
        <v>0</v>
      </c>
      <c r="BG485" s="244">
        <v>0</v>
      </c>
      <c r="BH485" s="245">
        <v>0</v>
      </c>
      <c r="BK485">
        <v>427</v>
      </c>
      <c r="BL485" s="281"/>
      <c r="BM485" s="281"/>
      <c r="BN485" s="282"/>
      <c r="BO485" s="282"/>
      <c r="BP485" s="282"/>
      <c r="BQ485" s="283"/>
      <c r="BR485" s="284"/>
      <c r="BS485" s="147"/>
      <c r="BT485" s="285"/>
      <c r="BU485" s="288"/>
      <c r="BV485" s="287"/>
      <c r="BW485" s="288"/>
      <c r="BX485" s="286"/>
      <c r="BY485" s="287"/>
      <c r="BZ485" s="288"/>
      <c r="CA485" s="286"/>
      <c r="CB485" s="286"/>
      <c r="CC485" s="287"/>
      <c r="CD485" s="286"/>
      <c r="CE485" s="286"/>
      <c r="CF485" s="286"/>
      <c r="CG485" s="287"/>
      <c r="CH485" s="288"/>
      <c r="CI485" s="286"/>
      <c r="CJ485" s="286"/>
      <c r="CK485" s="287"/>
      <c r="CL485" s="288"/>
      <c r="CM485" s="286"/>
      <c r="CN485" s="294"/>
      <c r="CO485" s="289"/>
      <c r="CP485" s="290"/>
      <c r="CQ485" s="289"/>
      <c r="CR485" s="290"/>
      <c r="CS485" s="284"/>
      <c r="CT485" s="147"/>
      <c r="CU485" s="291"/>
      <c r="CV485" s="292"/>
    </row>
    <row r="486" spans="2:100">
      <c r="B486">
        <v>428</v>
      </c>
      <c r="C486" s="243" t="str">
        <v/>
      </c>
      <c r="D486" s="592" t="str">
        <v/>
      </c>
      <c r="E486" s="245" t="str">
        <v/>
      </c>
      <c r="F486" s="243" t="str">
        <v/>
      </c>
      <c r="G486" s="245" t="str">
        <v/>
      </c>
      <c r="H486" s="243" t="str">
        <v/>
      </c>
      <c r="I486" s="245" t="str">
        <v/>
      </c>
      <c r="J486" s="242" t="str">
        <v/>
      </c>
      <c r="K486" s="242" t="str">
        <v/>
      </c>
      <c r="L486" s="242" t="str">
        <v/>
      </c>
      <c r="M486" s="243" t="str">
        <v/>
      </c>
      <c r="N486" s="592" t="str">
        <v/>
      </c>
      <c r="O486" s="245" t="str">
        <v/>
      </c>
      <c r="P486" s="245" t="str">
        <v/>
      </c>
      <c r="Q486" s="254" t="str">
        <v/>
      </c>
      <c r="R486" s="255" t="str">
        <v/>
      </c>
      <c r="S486" s="256" t="str">
        <v/>
      </c>
      <c r="T486" s="257" t="str">
        <v/>
      </c>
      <c r="U486" s="255" t="str">
        <v/>
      </c>
      <c r="V486" s="256" t="str">
        <v/>
      </c>
      <c r="W486" s="257" t="str">
        <v/>
      </c>
      <c r="X486" s="255" t="str">
        <v/>
      </c>
      <c r="Y486" s="256" t="str">
        <v/>
      </c>
      <c r="Z486" s="257" t="str">
        <v/>
      </c>
      <c r="AA486" s="255" t="str">
        <v/>
      </c>
      <c r="AB486" s="256" t="str">
        <v/>
      </c>
      <c r="AC486" s="257" t="str">
        <v/>
      </c>
      <c r="AD486" s="255" t="str">
        <v/>
      </c>
      <c r="AE486" s="256" t="str">
        <v/>
      </c>
      <c r="AF486" s="257" t="str">
        <v/>
      </c>
      <c r="AG486" s="255" t="str">
        <v/>
      </c>
      <c r="AH486" s="256" t="str">
        <v/>
      </c>
      <c r="AI486" s="257" t="str">
        <v/>
      </c>
      <c r="AJ486" s="255" t="str">
        <v/>
      </c>
      <c r="AK486" s="256" t="str">
        <v/>
      </c>
      <c r="AL486" s="257" t="str">
        <v/>
      </c>
      <c r="AM486" s="255" t="str">
        <v/>
      </c>
      <c r="AN486" s="256" t="str">
        <v/>
      </c>
      <c r="AO486" s="257" t="str">
        <v/>
      </c>
      <c r="AP486" s="255" t="str">
        <v/>
      </c>
      <c r="AQ486" s="256" t="str">
        <v/>
      </c>
      <c r="AR486" s="257" t="str">
        <v/>
      </c>
      <c r="AS486" s="255" t="str">
        <v/>
      </c>
      <c r="AT486" s="256" t="str">
        <v/>
      </c>
      <c r="AU486" s="257" t="str">
        <v/>
      </c>
      <c r="AV486" s="255" t="str">
        <v/>
      </c>
      <c r="AW486" s="256" t="str">
        <v/>
      </c>
      <c r="AX486" s="257" t="str">
        <v/>
      </c>
      <c r="AY486" s="243">
        <v>0</v>
      </c>
      <c r="AZ486" s="244">
        <v>0</v>
      </c>
      <c r="BA486" s="244">
        <v>0</v>
      </c>
      <c r="BB486" s="244">
        <v>0</v>
      </c>
      <c r="BC486" s="244">
        <v>0</v>
      </c>
      <c r="BD486" s="244">
        <v>0</v>
      </c>
      <c r="BE486" s="244">
        <v>0</v>
      </c>
      <c r="BF486" s="244">
        <v>0</v>
      </c>
      <c r="BG486" s="244">
        <v>0</v>
      </c>
      <c r="BH486" s="245">
        <v>0</v>
      </c>
      <c r="BK486">
        <v>428</v>
      </c>
      <c r="BL486" s="281"/>
      <c r="BM486" s="281"/>
      <c r="BN486" s="282"/>
      <c r="BO486" s="282"/>
      <c r="BP486" s="282"/>
      <c r="BQ486" s="283"/>
      <c r="BR486" s="284"/>
      <c r="BS486" s="147"/>
      <c r="BT486" s="285"/>
      <c r="BU486" s="288"/>
      <c r="BV486" s="287"/>
      <c r="BW486" s="288"/>
      <c r="BX486" s="286"/>
      <c r="BY486" s="287"/>
      <c r="BZ486" s="288"/>
      <c r="CA486" s="286"/>
      <c r="CB486" s="286"/>
      <c r="CC486" s="287"/>
      <c r="CD486" s="286"/>
      <c r="CE486" s="286"/>
      <c r="CF486" s="286"/>
      <c r="CG486" s="287"/>
      <c r="CH486" s="288"/>
      <c r="CI486" s="286"/>
      <c r="CJ486" s="286"/>
      <c r="CK486" s="287"/>
      <c r="CL486" s="288"/>
      <c r="CM486" s="286"/>
      <c r="CN486" s="294"/>
      <c r="CO486" s="289"/>
      <c r="CP486" s="290"/>
      <c r="CQ486" s="289"/>
      <c r="CR486" s="290"/>
      <c r="CS486" s="284"/>
      <c r="CT486" s="147"/>
      <c r="CU486" s="291"/>
      <c r="CV486" s="292"/>
    </row>
    <row r="487" spans="2:100">
      <c r="B487">
        <v>429</v>
      </c>
      <c r="C487" s="243" t="str">
        <v/>
      </c>
      <c r="D487" s="592" t="str">
        <v/>
      </c>
      <c r="E487" s="245" t="str">
        <v/>
      </c>
      <c r="F487" s="243" t="str">
        <v/>
      </c>
      <c r="G487" s="245" t="str">
        <v/>
      </c>
      <c r="H487" s="243" t="str">
        <v/>
      </c>
      <c r="I487" s="245" t="str">
        <v/>
      </c>
      <c r="J487" s="242" t="str">
        <v/>
      </c>
      <c r="K487" s="242" t="str">
        <v/>
      </c>
      <c r="L487" s="242" t="str">
        <v/>
      </c>
      <c r="M487" s="243" t="str">
        <v/>
      </c>
      <c r="N487" s="592" t="str">
        <v/>
      </c>
      <c r="O487" s="245" t="str">
        <v/>
      </c>
      <c r="P487" s="245" t="str">
        <v/>
      </c>
      <c r="Q487" s="254" t="str">
        <v/>
      </c>
      <c r="R487" s="255" t="str">
        <v/>
      </c>
      <c r="S487" s="256" t="str">
        <v/>
      </c>
      <c r="T487" s="257" t="str">
        <v/>
      </c>
      <c r="U487" s="255" t="str">
        <v/>
      </c>
      <c r="V487" s="256" t="str">
        <v/>
      </c>
      <c r="W487" s="257" t="str">
        <v/>
      </c>
      <c r="X487" s="255" t="str">
        <v/>
      </c>
      <c r="Y487" s="256" t="str">
        <v/>
      </c>
      <c r="Z487" s="257" t="str">
        <v/>
      </c>
      <c r="AA487" s="255" t="str">
        <v/>
      </c>
      <c r="AB487" s="256" t="str">
        <v/>
      </c>
      <c r="AC487" s="257" t="str">
        <v/>
      </c>
      <c r="AD487" s="255" t="str">
        <v/>
      </c>
      <c r="AE487" s="256" t="str">
        <v/>
      </c>
      <c r="AF487" s="257" t="str">
        <v/>
      </c>
      <c r="AG487" s="255" t="str">
        <v/>
      </c>
      <c r="AH487" s="256" t="str">
        <v/>
      </c>
      <c r="AI487" s="257" t="str">
        <v/>
      </c>
      <c r="AJ487" s="255" t="str">
        <v/>
      </c>
      <c r="AK487" s="256" t="str">
        <v/>
      </c>
      <c r="AL487" s="257" t="str">
        <v/>
      </c>
      <c r="AM487" s="255" t="str">
        <v/>
      </c>
      <c r="AN487" s="256" t="str">
        <v/>
      </c>
      <c r="AO487" s="257" t="str">
        <v/>
      </c>
      <c r="AP487" s="255" t="str">
        <v/>
      </c>
      <c r="AQ487" s="256" t="str">
        <v/>
      </c>
      <c r="AR487" s="257" t="str">
        <v/>
      </c>
      <c r="AS487" s="255" t="str">
        <v/>
      </c>
      <c r="AT487" s="256" t="str">
        <v/>
      </c>
      <c r="AU487" s="257" t="str">
        <v/>
      </c>
      <c r="AV487" s="255" t="str">
        <v/>
      </c>
      <c r="AW487" s="256" t="str">
        <v/>
      </c>
      <c r="AX487" s="257" t="str">
        <v/>
      </c>
      <c r="AY487" s="243">
        <v>0</v>
      </c>
      <c r="AZ487" s="244">
        <v>0</v>
      </c>
      <c r="BA487" s="244">
        <v>0</v>
      </c>
      <c r="BB487" s="244">
        <v>0</v>
      </c>
      <c r="BC487" s="244">
        <v>0</v>
      </c>
      <c r="BD487" s="244">
        <v>0</v>
      </c>
      <c r="BE487" s="244">
        <v>0</v>
      </c>
      <c r="BF487" s="244">
        <v>0</v>
      </c>
      <c r="BG487" s="244">
        <v>0</v>
      </c>
      <c r="BH487" s="245">
        <v>0</v>
      </c>
      <c r="BK487">
        <v>429</v>
      </c>
      <c r="BL487" s="281"/>
      <c r="BM487" s="281"/>
      <c r="BN487" s="282"/>
      <c r="BO487" s="282"/>
      <c r="BP487" s="282"/>
      <c r="BQ487" s="283"/>
      <c r="BR487" s="284"/>
      <c r="BS487" s="147"/>
      <c r="BT487" s="285"/>
      <c r="BU487" s="288"/>
      <c r="BV487" s="287"/>
      <c r="BW487" s="288"/>
      <c r="BX487" s="286"/>
      <c r="BY487" s="287"/>
      <c r="BZ487" s="288"/>
      <c r="CA487" s="286"/>
      <c r="CB487" s="286"/>
      <c r="CC487" s="287"/>
      <c r="CD487" s="286"/>
      <c r="CE487" s="286"/>
      <c r="CF487" s="286"/>
      <c r="CG487" s="287"/>
      <c r="CH487" s="288"/>
      <c r="CI487" s="286"/>
      <c r="CJ487" s="286"/>
      <c r="CK487" s="287"/>
      <c r="CL487" s="288"/>
      <c r="CM487" s="286"/>
      <c r="CN487" s="294"/>
      <c r="CO487" s="289"/>
      <c r="CP487" s="290"/>
      <c r="CQ487" s="289"/>
      <c r="CR487" s="290"/>
      <c r="CS487" s="284"/>
      <c r="CT487" s="147"/>
      <c r="CU487" s="291"/>
      <c r="CV487" s="292"/>
    </row>
    <row r="488" spans="2:100">
      <c r="B488">
        <v>430</v>
      </c>
      <c r="C488" s="243" t="str">
        <v/>
      </c>
      <c r="D488" s="592" t="str">
        <v/>
      </c>
      <c r="E488" s="245" t="str">
        <v/>
      </c>
      <c r="F488" s="243" t="str">
        <v/>
      </c>
      <c r="G488" s="245" t="str">
        <v/>
      </c>
      <c r="H488" s="243" t="str">
        <v/>
      </c>
      <c r="I488" s="245" t="str">
        <v/>
      </c>
      <c r="J488" s="242" t="str">
        <v/>
      </c>
      <c r="K488" s="242" t="str">
        <v/>
      </c>
      <c r="L488" s="242" t="str">
        <v/>
      </c>
      <c r="M488" s="243" t="str">
        <v/>
      </c>
      <c r="N488" s="592" t="str">
        <v/>
      </c>
      <c r="O488" s="245" t="str">
        <v/>
      </c>
      <c r="P488" s="245" t="str">
        <v/>
      </c>
      <c r="Q488" s="254" t="str">
        <v/>
      </c>
      <c r="R488" s="255" t="str">
        <v/>
      </c>
      <c r="S488" s="256" t="str">
        <v/>
      </c>
      <c r="T488" s="257" t="str">
        <v/>
      </c>
      <c r="U488" s="255" t="str">
        <v/>
      </c>
      <c r="V488" s="256" t="str">
        <v/>
      </c>
      <c r="W488" s="257" t="str">
        <v/>
      </c>
      <c r="X488" s="255" t="str">
        <v/>
      </c>
      <c r="Y488" s="256" t="str">
        <v/>
      </c>
      <c r="Z488" s="257" t="str">
        <v/>
      </c>
      <c r="AA488" s="255" t="str">
        <v/>
      </c>
      <c r="AB488" s="256" t="str">
        <v/>
      </c>
      <c r="AC488" s="257" t="str">
        <v/>
      </c>
      <c r="AD488" s="255" t="str">
        <v/>
      </c>
      <c r="AE488" s="256" t="str">
        <v/>
      </c>
      <c r="AF488" s="257" t="str">
        <v/>
      </c>
      <c r="AG488" s="255" t="str">
        <v/>
      </c>
      <c r="AH488" s="256" t="str">
        <v/>
      </c>
      <c r="AI488" s="257" t="str">
        <v/>
      </c>
      <c r="AJ488" s="255" t="str">
        <v/>
      </c>
      <c r="AK488" s="256" t="str">
        <v/>
      </c>
      <c r="AL488" s="257" t="str">
        <v/>
      </c>
      <c r="AM488" s="255" t="str">
        <v/>
      </c>
      <c r="AN488" s="256" t="str">
        <v/>
      </c>
      <c r="AO488" s="257" t="str">
        <v/>
      </c>
      <c r="AP488" s="255" t="str">
        <v/>
      </c>
      <c r="AQ488" s="256" t="str">
        <v/>
      </c>
      <c r="AR488" s="257" t="str">
        <v/>
      </c>
      <c r="AS488" s="255" t="str">
        <v/>
      </c>
      <c r="AT488" s="256" t="str">
        <v/>
      </c>
      <c r="AU488" s="257" t="str">
        <v/>
      </c>
      <c r="AV488" s="255" t="str">
        <v/>
      </c>
      <c r="AW488" s="256" t="str">
        <v/>
      </c>
      <c r="AX488" s="257" t="str">
        <v/>
      </c>
      <c r="AY488" s="243">
        <v>0</v>
      </c>
      <c r="AZ488" s="244">
        <v>0</v>
      </c>
      <c r="BA488" s="244">
        <v>0</v>
      </c>
      <c r="BB488" s="244">
        <v>0</v>
      </c>
      <c r="BC488" s="244">
        <v>0</v>
      </c>
      <c r="BD488" s="244">
        <v>0</v>
      </c>
      <c r="BE488" s="244">
        <v>0</v>
      </c>
      <c r="BF488" s="244">
        <v>0</v>
      </c>
      <c r="BG488" s="244">
        <v>0</v>
      </c>
      <c r="BH488" s="245">
        <v>0</v>
      </c>
      <c r="BK488">
        <v>430</v>
      </c>
      <c r="BL488" s="281"/>
      <c r="BM488" s="281"/>
      <c r="BN488" s="282"/>
      <c r="BO488" s="282"/>
      <c r="BP488" s="282"/>
      <c r="BQ488" s="283"/>
      <c r="BR488" s="284"/>
      <c r="BS488" s="147"/>
      <c r="BT488" s="285"/>
      <c r="BU488" s="288"/>
      <c r="BV488" s="287"/>
      <c r="BW488" s="288"/>
      <c r="BX488" s="286"/>
      <c r="BY488" s="287"/>
      <c r="BZ488" s="288"/>
      <c r="CA488" s="286"/>
      <c r="CB488" s="286"/>
      <c r="CC488" s="287"/>
      <c r="CD488" s="286"/>
      <c r="CE488" s="286"/>
      <c r="CF488" s="286"/>
      <c r="CG488" s="287"/>
      <c r="CH488" s="288"/>
      <c r="CI488" s="286"/>
      <c r="CJ488" s="286"/>
      <c r="CK488" s="287"/>
      <c r="CL488" s="288"/>
      <c r="CM488" s="286"/>
      <c r="CN488" s="294"/>
      <c r="CO488" s="289"/>
      <c r="CP488" s="290"/>
      <c r="CQ488" s="289"/>
      <c r="CR488" s="290"/>
      <c r="CS488" s="284"/>
      <c r="CT488" s="147"/>
      <c r="CU488" s="291"/>
      <c r="CV488" s="292"/>
    </row>
    <row r="489" spans="2:100">
      <c r="B489">
        <v>431</v>
      </c>
      <c r="C489" s="243" t="str">
        <v/>
      </c>
      <c r="D489" s="592" t="str">
        <v/>
      </c>
      <c r="E489" s="245" t="str">
        <v/>
      </c>
      <c r="F489" s="243" t="str">
        <v/>
      </c>
      <c r="G489" s="245" t="str">
        <v/>
      </c>
      <c r="H489" s="243" t="str">
        <v/>
      </c>
      <c r="I489" s="245" t="str">
        <v/>
      </c>
      <c r="J489" s="242" t="str">
        <v/>
      </c>
      <c r="K489" s="242" t="str">
        <v/>
      </c>
      <c r="L489" s="242" t="str">
        <v/>
      </c>
      <c r="M489" s="243" t="str">
        <v/>
      </c>
      <c r="N489" s="592" t="str">
        <v/>
      </c>
      <c r="O489" s="245" t="str">
        <v/>
      </c>
      <c r="P489" s="245" t="str">
        <v/>
      </c>
      <c r="Q489" s="254" t="str">
        <v/>
      </c>
      <c r="R489" s="255" t="str">
        <v/>
      </c>
      <c r="S489" s="256" t="str">
        <v/>
      </c>
      <c r="T489" s="257" t="str">
        <v/>
      </c>
      <c r="U489" s="255" t="str">
        <v/>
      </c>
      <c r="V489" s="256" t="str">
        <v/>
      </c>
      <c r="W489" s="257" t="str">
        <v/>
      </c>
      <c r="X489" s="255" t="str">
        <v/>
      </c>
      <c r="Y489" s="256" t="str">
        <v/>
      </c>
      <c r="Z489" s="257" t="str">
        <v/>
      </c>
      <c r="AA489" s="255" t="str">
        <v/>
      </c>
      <c r="AB489" s="256" t="str">
        <v/>
      </c>
      <c r="AC489" s="257" t="str">
        <v/>
      </c>
      <c r="AD489" s="255" t="str">
        <v/>
      </c>
      <c r="AE489" s="256" t="str">
        <v/>
      </c>
      <c r="AF489" s="257" t="str">
        <v/>
      </c>
      <c r="AG489" s="255" t="str">
        <v/>
      </c>
      <c r="AH489" s="256" t="str">
        <v/>
      </c>
      <c r="AI489" s="257" t="str">
        <v/>
      </c>
      <c r="AJ489" s="255" t="str">
        <v/>
      </c>
      <c r="AK489" s="256" t="str">
        <v/>
      </c>
      <c r="AL489" s="257" t="str">
        <v/>
      </c>
      <c r="AM489" s="255" t="str">
        <v/>
      </c>
      <c r="AN489" s="256" t="str">
        <v/>
      </c>
      <c r="AO489" s="257" t="str">
        <v/>
      </c>
      <c r="AP489" s="255" t="str">
        <v/>
      </c>
      <c r="AQ489" s="256" t="str">
        <v/>
      </c>
      <c r="AR489" s="257" t="str">
        <v/>
      </c>
      <c r="AS489" s="255" t="str">
        <v/>
      </c>
      <c r="AT489" s="256" t="str">
        <v/>
      </c>
      <c r="AU489" s="257" t="str">
        <v/>
      </c>
      <c r="AV489" s="255" t="str">
        <v/>
      </c>
      <c r="AW489" s="256" t="str">
        <v/>
      </c>
      <c r="AX489" s="257" t="str">
        <v/>
      </c>
      <c r="AY489" s="243">
        <v>0</v>
      </c>
      <c r="AZ489" s="244">
        <v>0</v>
      </c>
      <c r="BA489" s="244">
        <v>0</v>
      </c>
      <c r="BB489" s="244">
        <v>0</v>
      </c>
      <c r="BC489" s="244">
        <v>0</v>
      </c>
      <c r="BD489" s="244">
        <v>0</v>
      </c>
      <c r="BE489" s="244">
        <v>0</v>
      </c>
      <c r="BF489" s="244">
        <v>0</v>
      </c>
      <c r="BG489" s="244">
        <v>0</v>
      </c>
      <c r="BH489" s="245">
        <v>0</v>
      </c>
      <c r="BK489">
        <v>431</v>
      </c>
      <c r="BL489" s="281"/>
      <c r="BM489" s="281"/>
      <c r="BN489" s="282"/>
      <c r="BO489" s="282"/>
      <c r="BP489" s="282"/>
      <c r="BQ489" s="283"/>
      <c r="BR489" s="284"/>
      <c r="BS489" s="147"/>
      <c r="BT489" s="285"/>
      <c r="BU489" s="288"/>
      <c r="BV489" s="287"/>
      <c r="BW489" s="288"/>
      <c r="BX489" s="286"/>
      <c r="BY489" s="287"/>
      <c r="BZ489" s="288"/>
      <c r="CA489" s="286"/>
      <c r="CB489" s="286"/>
      <c r="CC489" s="287"/>
      <c r="CD489" s="286"/>
      <c r="CE489" s="286"/>
      <c r="CF489" s="286"/>
      <c r="CG489" s="287"/>
      <c r="CH489" s="288"/>
      <c r="CI489" s="286"/>
      <c r="CJ489" s="286"/>
      <c r="CK489" s="287"/>
      <c r="CL489" s="288"/>
      <c r="CM489" s="286"/>
      <c r="CN489" s="294"/>
      <c r="CO489" s="289"/>
      <c r="CP489" s="290"/>
      <c r="CQ489" s="289"/>
      <c r="CR489" s="290"/>
      <c r="CS489" s="284"/>
      <c r="CT489" s="147"/>
      <c r="CU489" s="291"/>
      <c r="CV489" s="292"/>
    </row>
    <row r="490" spans="2:100">
      <c r="B490">
        <v>432</v>
      </c>
      <c r="C490" s="243" t="str">
        <v/>
      </c>
      <c r="D490" s="592" t="str">
        <v/>
      </c>
      <c r="E490" s="245" t="str">
        <v/>
      </c>
      <c r="F490" s="243" t="str">
        <v/>
      </c>
      <c r="G490" s="245" t="str">
        <v/>
      </c>
      <c r="H490" s="243" t="str">
        <v/>
      </c>
      <c r="I490" s="245" t="str">
        <v/>
      </c>
      <c r="J490" s="242" t="str">
        <v/>
      </c>
      <c r="K490" s="242" t="str">
        <v/>
      </c>
      <c r="L490" s="242" t="str">
        <v/>
      </c>
      <c r="M490" s="243" t="str">
        <v/>
      </c>
      <c r="N490" s="592" t="str">
        <v/>
      </c>
      <c r="O490" s="245" t="str">
        <v/>
      </c>
      <c r="P490" s="245" t="str">
        <v/>
      </c>
      <c r="Q490" s="254" t="str">
        <v/>
      </c>
      <c r="R490" s="255" t="str">
        <v/>
      </c>
      <c r="S490" s="256" t="str">
        <v/>
      </c>
      <c r="T490" s="257" t="str">
        <v/>
      </c>
      <c r="U490" s="255" t="str">
        <v/>
      </c>
      <c r="V490" s="256" t="str">
        <v/>
      </c>
      <c r="W490" s="257" t="str">
        <v/>
      </c>
      <c r="X490" s="255" t="str">
        <v/>
      </c>
      <c r="Y490" s="256" t="str">
        <v/>
      </c>
      <c r="Z490" s="257" t="str">
        <v/>
      </c>
      <c r="AA490" s="255" t="str">
        <v/>
      </c>
      <c r="AB490" s="256" t="str">
        <v/>
      </c>
      <c r="AC490" s="257" t="str">
        <v/>
      </c>
      <c r="AD490" s="255" t="str">
        <v/>
      </c>
      <c r="AE490" s="256" t="str">
        <v/>
      </c>
      <c r="AF490" s="257" t="str">
        <v/>
      </c>
      <c r="AG490" s="255" t="str">
        <v/>
      </c>
      <c r="AH490" s="256" t="str">
        <v/>
      </c>
      <c r="AI490" s="257" t="str">
        <v/>
      </c>
      <c r="AJ490" s="255" t="str">
        <v/>
      </c>
      <c r="AK490" s="256" t="str">
        <v/>
      </c>
      <c r="AL490" s="257" t="str">
        <v/>
      </c>
      <c r="AM490" s="255" t="str">
        <v/>
      </c>
      <c r="AN490" s="256" t="str">
        <v/>
      </c>
      <c r="AO490" s="257" t="str">
        <v/>
      </c>
      <c r="AP490" s="255" t="str">
        <v/>
      </c>
      <c r="AQ490" s="256" t="str">
        <v/>
      </c>
      <c r="AR490" s="257" t="str">
        <v/>
      </c>
      <c r="AS490" s="255" t="str">
        <v/>
      </c>
      <c r="AT490" s="256" t="str">
        <v/>
      </c>
      <c r="AU490" s="257" t="str">
        <v/>
      </c>
      <c r="AV490" s="255" t="str">
        <v/>
      </c>
      <c r="AW490" s="256" t="str">
        <v/>
      </c>
      <c r="AX490" s="257" t="str">
        <v/>
      </c>
      <c r="AY490" s="243">
        <v>0</v>
      </c>
      <c r="AZ490" s="244">
        <v>0</v>
      </c>
      <c r="BA490" s="244">
        <v>0</v>
      </c>
      <c r="BB490" s="244">
        <v>0</v>
      </c>
      <c r="BC490" s="244">
        <v>0</v>
      </c>
      <c r="BD490" s="244">
        <v>0</v>
      </c>
      <c r="BE490" s="244">
        <v>0</v>
      </c>
      <c r="BF490" s="244">
        <v>0</v>
      </c>
      <c r="BG490" s="244">
        <v>0</v>
      </c>
      <c r="BH490" s="245">
        <v>0</v>
      </c>
      <c r="BK490">
        <v>432</v>
      </c>
      <c r="BL490" s="281"/>
      <c r="BM490" s="281"/>
      <c r="BN490" s="282"/>
      <c r="BO490" s="282"/>
      <c r="BP490" s="282"/>
      <c r="BQ490" s="283"/>
      <c r="BR490" s="284"/>
      <c r="BS490" s="147"/>
      <c r="BT490" s="285"/>
      <c r="BU490" s="288"/>
      <c r="BV490" s="287"/>
      <c r="BW490" s="288"/>
      <c r="BX490" s="286"/>
      <c r="BY490" s="287"/>
      <c r="BZ490" s="288"/>
      <c r="CA490" s="286"/>
      <c r="CB490" s="286"/>
      <c r="CC490" s="287"/>
      <c r="CD490" s="286"/>
      <c r="CE490" s="286"/>
      <c r="CF490" s="286"/>
      <c r="CG490" s="287"/>
      <c r="CH490" s="288"/>
      <c r="CI490" s="286"/>
      <c r="CJ490" s="286"/>
      <c r="CK490" s="287"/>
      <c r="CL490" s="288"/>
      <c r="CM490" s="286"/>
      <c r="CN490" s="294"/>
      <c r="CO490" s="289"/>
      <c r="CP490" s="290"/>
      <c r="CQ490" s="289"/>
      <c r="CR490" s="290"/>
      <c r="CS490" s="284"/>
      <c r="CT490" s="147"/>
      <c r="CU490" s="291"/>
      <c r="CV490" s="292"/>
    </row>
    <row r="491" spans="2:100">
      <c r="B491">
        <v>433</v>
      </c>
      <c r="C491" s="243" t="str">
        <v/>
      </c>
      <c r="D491" s="592" t="str">
        <v/>
      </c>
      <c r="E491" s="245" t="str">
        <v/>
      </c>
      <c r="F491" s="243" t="str">
        <v/>
      </c>
      <c r="G491" s="245" t="str">
        <v/>
      </c>
      <c r="H491" s="243" t="str">
        <v/>
      </c>
      <c r="I491" s="245" t="str">
        <v/>
      </c>
      <c r="J491" s="242" t="str">
        <v/>
      </c>
      <c r="K491" s="242" t="str">
        <v/>
      </c>
      <c r="L491" s="242" t="str">
        <v/>
      </c>
      <c r="M491" s="243" t="str">
        <v/>
      </c>
      <c r="N491" s="592" t="str">
        <v/>
      </c>
      <c r="O491" s="245" t="str">
        <v/>
      </c>
      <c r="P491" s="245" t="str">
        <v/>
      </c>
      <c r="Q491" s="254" t="str">
        <v/>
      </c>
      <c r="R491" s="255" t="str">
        <v/>
      </c>
      <c r="S491" s="256" t="str">
        <v/>
      </c>
      <c r="T491" s="257" t="str">
        <v/>
      </c>
      <c r="U491" s="255" t="str">
        <v/>
      </c>
      <c r="V491" s="256" t="str">
        <v/>
      </c>
      <c r="W491" s="257" t="str">
        <v/>
      </c>
      <c r="X491" s="255" t="str">
        <v/>
      </c>
      <c r="Y491" s="256" t="str">
        <v/>
      </c>
      <c r="Z491" s="257" t="str">
        <v/>
      </c>
      <c r="AA491" s="255" t="str">
        <v/>
      </c>
      <c r="AB491" s="256" t="str">
        <v/>
      </c>
      <c r="AC491" s="257" t="str">
        <v/>
      </c>
      <c r="AD491" s="255" t="str">
        <v/>
      </c>
      <c r="AE491" s="256" t="str">
        <v/>
      </c>
      <c r="AF491" s="257" t="str">
        <v/>
      </c>
      <c r="AG491" s="255" t="str">
        <v/>
      </c>
      <c r="AH491" s="256" t="str">
        <v/>
      </c>
      <c r="AI491" s="257" t="str">
        <v/>
      </c>
      <c r="AJ491" s="255" t="str">
        <v/>
      </c>
      <c r="AK491" s="256" t="str">
        <v/>
      </c>
      <c r="AL491" s="257" t="str">
        <v/>
      </c>
      <c r="AM491" s="255" t="str">
        <v/>
      </c>
      <c r="AN491" s="256" t="str">
        <v/>
      </c>
      <c r="AO491" s="257" t="str">
        <v/>
      </c>
      <c r="AP491" s="255" t="str">
        <v/>
      </c>
      <c r="AQ491" s="256" t="str">
        <v/>
      </c>
      <c r="AR491" s="257" t="str">
        <v/>
      </c>
      <c r="AS491" s="255" t="str">
        <v/>
      </c>
      <c r="AT491" s="256" t="str">
        <v/>
      </c>
      <c r="AU491" s="257" t="str">
        <v/>
      </c>
      <c r="AV491" s="255" t="str">
        <v/>
      </c>
      <c r="AW491" s="256" t="str">
        <v/>
      </c>
      <c r="AX491" s="257" t="str">
        <v/>
      </c>
      <c r="AY491" s="243">
        <v>0</v>
      </c>
      <c r="AZ491" s="244">
        <v>0</v>
      </c>
      <c r="BA491" s="244">
        <v>0</v>
      </c>
      <c r="BB491" s="244">
        <v>0</v>
      </c>
      <c r="BC491" s="244">
        <v>0</v>
      </c>
      <c r="BD491" s="244">
        <v>0</v>
      </c>
      <c r="BE491" s="244">
        <v>0</v>
      </c>
      <c r="BF491" s="244">
        <v>0</v>
      </c>
      <c r="BG491" s="244">
        <v>0</v>
      </c>
      <c r="BH491" s="245">
        <v>0</v>
      </c>
      <c r="BK491">
        <v>433</v>
      </c>
      <c r="BL491" s="281"/>
      <c r="BM491" s="281"/>
      <c r="BN491" s="282"/>
      <c r="BO491" s="282"/>
      <c r="BP491" s="282"/>
      <c r="BQ491" s="283"/>
      <c r="BR491" s="284"/>
      <c r="BS491" s="147"/>
      <c r="BT491" s="285"/>
      <c r="BU491" s="288"/>
      <c r="BV491" s="287"/>
      <c r="BW491" s="288"/>
      <c r="BX491" s="286"/>
      <c r="BY491" s="287"/>
      <c r="BZ491" s="288"/>
      <c r="CA491" s="286"/>
      <c r="CB491" s="286"/>
      <c r="CC491" s="287"/>
      <c r="CD491" s="286"/>
      <c r="CE491" s="286"/>
      <c r="CF491" s="286"/>
      <c r="CG491" s="287"/>
      <c r="CH491" s="288"/>
      <c r="CI491" s="286"/>
      <c r="CJ491" s="286"/>
      <c r="CK491" s="287"/>
      <c r="CL491" s="288"/>
      <c r="CM491" s="286"/>
      <c r="CN491" s="294"/>
      <c r="CO491" s="289"/>
      <c r="CP491" s="290"/>
      <c r="CQ491" s="289"/>
      <c r="CR491" s="290"/>
      <c r="CS491" s="284"/>
      <c r="CT491" s="147"/>
      <c r="CU491" s="291"/>
      <c r="CV491" s="292"/>
    </row>
    <row r="492" spans="2:100">
      <c r="B492">
        <v>434</v>
      </c>
      <c r="C492" s="243" t="str">
        <v/>
      </c>
      <c r="D492" s="592" t="str">
        <v/>
      </c>
      <c r="E492" s="245" t="str">
        <v/>
      </c>
      <c r="F492" s="243" t="str">
        <v/>
      </c>
      <c r="G492" s="245" t="str">
        <v/>
      </c>
      <c r="H492" s="243" t="str">
        <v/>
      </c>
      <c r="I492" s="245" t="str">
        <v/>
      </c>
      <c r="J492" s="242" t="str">
        <v/>
      </c>
      <c r="K492" s="242" t="str">
        <v/>
      </c>
      <c r="L492" s="242" t="str">
        <v/>
      </c>
      <c r="M492" s="243" t="str">
        <v/>
      </c>
      <c r="N492" s="592" t="str">
        <v/>
      </c>
      <c r="O492" s="245" t="str">
        <v/>
      </c>
      <c r="P492" s="245" t="str">
        <v/>
      </c>
      <c r="Q492" s="254" t="str">
        <v/>
      </c>
      <c r="R492" s="255" t="str">
        <v/>
      </c>
      <c r="S492" s="256" t="str">
        <v/>
      </c>
      <c r="T492" s="257" t="str">
        <v/>
      </c>
      <c r="U492" s="255" t="str">
        <v/>
      </c>
      <c r="V492" s="256" t="str">
        <v/>
      </c>
      <c r="W492" s="257" t="str">
        <v/>
      </c>
      <c r="X492" s="255" t="str">
        <v/>
      </c>
      <c r="Y492" s="256" t="str">
        <v/>
      </c>
      <c r="Z492" s="257" t="str">
        <v/>
      </c>
      <c r="AA492" s="255" t="str">
        <v/>
      </c>
      <c r="AB492" s="256" t="str">
        <v/>
      </c>
      <c r="AC492" s="257" t="str">
        <v/>
      </c>
      <c r="AD492" s="255" t="str">
        <v/>
      </c>
      <c r="AE492" s="256" t="str">
        <v/>
      </c>
      <c r="AF492" s="257" t="str">
        <v/>
      </c>
      <c r="AG492" s="255" t="str">
        <v/>
      </c>
      <c r="AH492" s="256" t="str">
        <v/>
      </c>
      <c r="AI492" s="257" t="str">
        <v/>
      </c>
      <c r="AJ492" s="255" t="str">
        <v/>
      </c>
      <c r="AK492" s="256" t="str">
        <v/>
      </c>
      <c r="AL492" s="257" t="str">
        <v/>
      </c>
      <c r="AM492" s="255" t="str">
        <v/>
      </c>
      <c r="AN492" s="256" t="str">
        <v/>
      </c>
      <c r="AO492" s="257" t="str">
        <v/>
      </c>
      <c r="AP492" s="255" t="str">
        <v/>
      </c>
      <c r="AQ492" s="256" t="str">
        <v/>
      </c>
      <c r="AR492" s="257" t="str">
        <v/>
      </c>
      <c r="AS492" s="255" t="str">
        <v/>
      </c>
      <c r="AT492" s="256" t="str">
        <v/>
      </c>
      <c r="AU492" s="257" t="str">
        <v/>
      </c>
      <c r="AV492" s="255" t="str">
        <v/>
      </c>
      <c r="AW492" s="256" t="str">
        <v/>
      </c>
      <c r="AX492" s="257" t="str">
        <v/>
      </c>
      <c r="AY492" s="243">
        <v>0</v>
      </c>
      <c r="AZ492" s="244">
        <v>0</v>
      </c>
      <c r="BA492" s="244">
        <v>0</v>
      </c>
      <c r="BB492" s="244">
        <v>0</v>
      </c>
      <c r="BC492" s="244">
        <v>0</v>
      </c>
      <c r="BD492" s="244">
        <v>0</v>
      </c>
      <c r="BE492" s="244">
        <v>0</v>
      </c>
      <c r="BF492" s="244">
        <v>0</v>
      </c>
      <c r="BG492" s="244">
        <v>0</v>
      </c>
      <c r="BH492" s="245">
        <v>0</v>
      </c>
      <c r="BK492">
        <v>434</v>
      </c>
      <c r="BL492" s="281"/>
      <c r="BM492" s="281"/>
      <c r="BN492" s="282"/>
      <c r="BO492" s="282"/>
      <c r="BP492" s="282"/>
      <c r="BQ492" s="283"/>
      <c r="BR492" s="284"/>
      <c r="BS492" s="147"/>
      <c r="BT492" s="285"/>
      <c r="BU492" s="288"/>
      <c r="BV492" s="287"/>
      <c r="BW492" s="288"/>
      <c r="BX492" s="286"/>
      <c r="BY492" s="287"/>
      <c r="BZ492" s="288"/>
      <c r="CA492" s="286"/>
      <c r="CB492" s="286"/>
      <c r="CC492" s="287"/>
      <c r="CD492" s="286"/>
      <c r="CE492" s="286"/>
      <c r="CF492" s="286"/>
      <c r="CG492" s="287"/>
      <c r="CH492" s="288"/>
      <c r="CI492" s="286"/>
      <c r="CJ492" s="286"/>
      <c r="CK492" s="287"/>
      <c r="CL492" s="288"/>
      <c r="CM492" s="286"/>
      <c r="CN492" s="294"/>
      <c r="CO492" s="289"/>
      <c r="CP492" s="290"/>
      <c r="CQ492" s="289"/>
      <c r="CR492" s="290"/>
      <c r="CS492" s="284"/>
      <c r="CT492" s="147"/>
      <c r="CU492" s="291"/>
      <c r="CV492" s="292"/>
    </row>
    <row r="493" spans="2:100">
      <c r="B493">
        <v>435</v>
      </c>
      <c r="C493" s="243" t="str">
        <v/>
      </c>
      <c r="D493" s="592" t="str">
        <v/>
      </c>
      <c r="E493" s="245" t="str">
        <v/>
      </c>
      <c r="F493" s="243" t="str">
        <v/>
      </c>
      <c r="G493" s="245" t="str">
        <v/>
      </c>
      <c r="H493" s="243" t="str">
        <v/>
      </c>
      <c r="I493" s="245" t="str">
        <v/>
      </c>
      <c r="J493" s="242" t="str">
        <v/>
      </c>
      <c r="K493" s="242" t="str">
        <v/>
      </c>
      <c r="L493" s="242" t="str">
        <v/>
      </c>
      <c r="M493" s="243" t="str">
        <v/>
      </c>
      <c r="N493" s="592" t="str">
        <v/>
      </c>
      <c r="O493" s="245" t="str">
        <v/>
      </c>
      <c r="P493" s="245" t="str">
        <v/>
      </c>
      <c r="Q493" s="254" t="str">
        <v/>
      </c>
      <c r="R493" s="255" t="str">
        <v/>
      </c>
      <c r="S493" s="256" t="str">
        <v/>
      </c>
      <c r="T493" s="257" t="str">
        <v/>
      </c>
      <c r="U493" s="255" t="str">
        <v/>
      </c>
      <c r="V493" s="256" t="str">
        <v/>
      </c>
      <c r="W493" s="257" t="str">
        <v/>
      </c>
      <c r="X493" s="255" t="str">
        <v/>
      </c>
      <c r="Y493" s="256" t="str">
        <v/>
      </c>
      <c r="Z493" s="257" t="str">
        <v/>
      </c>
      <c r="AA493" s="255" t="str">
        <v/>
      </c>
      <c r="AB493" s="256" t="str">
        <v/>
      </c>
      <c r="AC493" s="257" t="str">
        <v/>
      </c>
      <c r="AD493" s="255" t="str">
        <v/>
      </c>
      <c r="AE493" s="256" t="str">
        <v/>
      </c>
      <c r="AF493" s="257" t="str">
        <v/>
      </c>
      <c r="AG493" s="255" t="str">
        <v/>
      </c>
      <c r="AH493" s="256" t="str">
        <v/>
      </c>
      <c r="AI493" s="257" t="str">
        <v/>
      </c>
      <c r="AJ493" s="255" t="str">
        <v/>
      </c>
      <c r="AK493" s="256" t="str">
        <v/>
      </c>
      <c r="AL493" s="257" t="str">
        <v/>
      </c>
      <c r="AM493" s="255" t="str">
        <v/>
      </c>
      <c r="AN493" s="256" t="str">
        <v/>
      </c>
      <c r="AO493" s="257" t="str">
        <v/>
      </c>
      <c r="AP493" s="255" t="str">
        <v/>
      </c>
      <c r="AQ493" s="256" t="str">
        <v/>
      </c>
      <c r="AR493" s="257" t="str">
        <v/>
      </c>
      <c r="AS493" s="255" t="str">
        <v/>
      </c>
      <c r="AT493" s="256" t="str">
        <v/>
      </c>
      <c r="AU493" s="257" t="str">
        <v/>
      </c>
      <c r="AV493" s="255" t="str">
        <v/>
      </c>
      <c r="AW493" s="256" t="str">
        <v/>
      </c>
      <c r="AX493" s="257" t="str">
        <v/>
      </c>
      <c r="AY493" s="243">
        <v>0</v>
      </c>
      <c r="AZ493" s="244">
        <v>0</v>
      </c>
      <c r="BA493" s="244">
        <v>0</v>
      </c>
      <c r="BB493" s="244">
        <v>0</v>
      </c>
      <c r="BC493" s="244">
        <v>0</v>
      </c>
      <c r="BD493" s="244">
        <v>0</v>
      </c>
      <c r="BE493" s="244">
        <v>0</v>
      </c>
      <c r="BF493" s="244">
        <v>0</v>
      </c>
      <c r="BG493" s="244">
        <v>0</v>
      </c>
      <c r="BH493" s="245">
        <v>0</v>
      </c>
      <c r="BK493">
        <v>435</v>
      </c>
      <c r="BL493" s="281"/>
      <c r="BM493" s="281"/>
      <c r="BN493" s="282"/>
      <c r="BO493" s="282"/>
      <c r="BP493" s="282"/>
      <c r="BQ493" s="283"/>
      <c r="BR493" s="284"/>
      <c r="BS493" s="147"/>
      <c r="BT493" s="285"/>
      <c r="BU493" s="288"/>
      <c r="BV493" s="287"/>
      <c r="BW493" s="288"/>
      <c r="BX493" s="286"/>
      <c r="BY493" s="287"/>
      <c r="BZ493" s="288"/>
      <c r="CA493" s="286"/>
      <c r="CB493" s="286"/>
      <c r="CC493" s="287"/>
      <c r="CD493" s="286"/>
      <c r="CE493" s="286"/>
      <c r="CF493" s="286"/>
      <c r="CG493" s="287"/>
      <c r="CH493" s="288"/>
      <c r="CI493" s="286"/>
      <c r="CJ493" s="286"/>
      <c r="CK493" s="287"/>
      <c r="CL493" s="288"/>
      <c r="CM493" s="286"/>
      <c r="CN493" s="294"/>
      <c r="CO493" s="289"/>
      <c r="CP493" s="290"/>
      <c r="CQ493" s="289"/>
      <c r="CR493" s="290"/>
      <c r="CS493" s="284"/>
      <c r="CT493" s="147"/>
      <c r="CU493" s="291"/>
      <c r="CV493" s="292"/>
    </row>
    <row r="494" spans="2:100">
      <c r="B494">
        <v>436</v>
      </c>
      <c r="C494" s="243" t="str">
        <v/>
      </c>
      <c r="D494" s="592" t="str">
        <v/>
      </c>
      <c r="E494" s="245" t="str">
        <v/>
      </c>
      <c r="F494" s="243" t="str">
        <v/>
      </c>
      <c r="G494" s="245" t="str">
        <v/>
      </c>
      <c r="H494" s="243" t="str">
        <v/>
      </c>
      <c r="I494" s="245" t="str">
        <v/>
      </c>
      <c r="J494" s="242" t="str">
        <v/>
      </c>
      <c r="K494" s="242" t="str">
        <v/>
      </c>
      <c r="L494" s="242" t="str">
        <v/>
      </c>
      <c r="M494" s="243" t="str">
        <v/>
      </c>
      <c r="N494" s="592" t="str">
        <v/>
      </c>
      <c r="O494" s="245" t="str">
        <v/>
      </c>
      <c r="P494" s="245" t="str">
        <v/>
      </c>
      <c r="Q494" s="254" t="str">
        <v/>
      </c>
      <c r="R494" s="255" t="str">
        <v/>
      </c>
      <c r="S494" s="256" t="str">
        <v/>
      </c>
      <c r="T494" s="257" t="str">
        <v/>
      </c>
      <c r="U494" s="255" t="str">
        <v/>
      </c>
      <c r="V494" s="256" t="str">
        <v/>
      </c>
      <c r="W494" s="257" t="str">
        <v/>
      </c>
      <c r="X494" s="255" t="str">
        <v/>
      </c>
      <c r="Y494" s="256" t="str">
        <v/>
      </c>
      <c r="Z494" s="257" t="str">
        <v/>
      </c>
      <c r="AA494" s="255" t="str">
        <v/>
      </c>
      <c r="AB494" s="256" t="str">
        <v/>
      </c>
      <c r="AC494" s="257" t="str">
        <v/>
      </c>
      <c r="AD494" s="255" t="str">
        <v/>
      </c>
      <c r="AE494" s="256" t="str">
        <v/>
      </c>
      <c r="AF494" s="257" t="str">
        <v/>
      </c>
      <c r="AG494" s="255" t="str">
        <v/>
      </c>
      <c r="AH494" s="256" t="str">
        <v/>
      </c>
      <c r="AI494" s="257" t="str">
        <v/>
      </c>
      <c r="AJ494" s="255" t="str">
        <v/>
      </c>
      <c r="AK494" s="256" t="str">
        <v/>
      </c>
      <c r="AL494" s="257" t="str">
        <v/>
      </c>
      <c r="AM494" s="255" t="str">
        <v/>
      </c>
      <c r="AN494" s="256" t="str">
        <v/>
      </c>
      <c r="AO494" s="257" t="str">
        <v/>
      </c>
      <c r="AP494" s="255" t="str">
        <v/>
      </c>
      <c r="AQ494" s="256" t="str">
        <v/>
      </c>
      <c r="AR494" s="257" t="str">
        <v/>
      </c>
      <c r="AS494" s="255" t="str">
        <v/>
      </c>
      <c r="AT494" s="256" t="str">
        <v/>
      </c>
      <c r="AU494" s="257" t="str">
        <v/>
      </c>
      <c r="AV494" s="255" t="str">
        <v/>
      </c>
      <c r="AW494" s="256" t="str">
        <v/>
      </c>
      <c r="AX494" s="257" t="str">
        <v/>
      </c>
      <c r="AY494" s="243">
        <v>0</v>
      </c>
      <c r="AZ494" s="244">
        <v>0</v>
      </c>
      <c r="BA494" s="244">
        <v>0</v>
      </c>
      <c r="BB494" s="244">
        <v>0</v>
      </c>
      <c r="BC494" s="244">
        <v>0</v>
      </c>
      <c r="BD494" s="244">
        <v>0</v>
      </c>
      <c r="BE494" s="244">
        <v>0</v>
      </c>
      <c r="BF494" s="244">
        <v>0</v>
      </c>
      <c r="BG494" s="244">
        <v>0</v>
      </c>
      <c r="BH494" s="245">
        <v>0</v>
      </c>
      <c r="BK494">
        <v>436</v>
      </c>
      <c r="BL494" s="281"/>
      <c r="BM494" s="281"/>
      <c r="BN494" s="282"/>
      <c r="BO494" s="282"/>
      <c r="BP494" s="282"/>
      <c r="BQ494" s="283"/>
      <c r="BR494" s="284"/>
      <c r="BS494" s="147"/>
      <c r="BT494" s="285"/>
      <c r="BU494" s="288"/>
      <c r="BV494" s="287"/>
      <c r="BW494" s="288"/>
      <c r="BX494" s="286"/>
      <c r="BY494" s="287"/>
      <c r="BZ494" s="288"/>
      <c r="CA494" s="286"/>
      <c r="CB494" s="286"/>
      <c r="CC494" s="287"/>
      <c r="CD494" s="286"/>
      <c r="CE494" s="286"/>
      <c r="CF494" s="286"/>
      <c r="CG494" s="287"/>
      <c r="CH494" s="288"/>
      <c r="CI494" s="286"/>
      <c r="CJ494" s="286"/>
      <c r="CK494" s="287"/>
      <c r="CL494" s="288"/>
      <c r="CM494" s="286"/>
      <c r="CN494" s="294"/>
      <c r="CO494" s="289"/>
      <c r="CP494" s="290"/>
      <c r="CQ494" s="289"/>
      <c r="CR494" s="290"/>
      <c r="CS494" s="284"/>
      <c r="CT494" s="147"/>
      <c r="CU494" s="291"/>
      <c r="CV494" s="292"/>
    </row>
    <row r="495" spans="2:100">
      <c r="B495">
        <v>437</v>
      </c>
      <c r="C495" s="243" t="str">
        <v/>
      </c>
      <c r="D495" s="592" t="str">
        <v/>
      </c>
      <c r="E495" s="245" t="str">
        <v/>
      </c>
      <c r="F495" s="243" t="str">
        <v/>
      </c>
      <c r="G495" s="245" t="str">
        <v/>
      </c>
      <c r="H495" s="243" t="str">
        <v/>
      </c>
      <c r="I495" s="245" t="str">
        <v/>
      </c>
      <c r="J495" s="242" t="str">
        <v/>
      </c>
      <c r="K495" s="242" t="str">
        <v/>
      </c>
      <c r="L495" s="242" t="str">
        <v/>
      </c>
      <c r="M495" s="243" t="str">
        <v/>
      </c>
      <c r="N495" s="592" t="str">
        <v/>
      </c>
      <c r="O495" s="245" t="str">
        <v/>
      </c>
      <c r="P495" s="245" t="str">
        <v/>
      </c>
      <c r="Q495" s="254" t="str">
        <v/>
      </c>
      <c r="R495" s="255" t="str">
        <v/>
      </c>
      <c r="S495" s="256" t="str">
        <v/>
      </c>
      <c r="T495" s="257" t="str">
        <v/>
      </c>
      <c r="U495" s="255" t="str">
        <v/>
      </c>
      <c r="V495" s="256" t="str">
        <v/>
      </c>
      <c r="W495" s="257" t="str">
        <v/>
      </c>
      <c r="X495" s="255" t="str">
        <v/>
      </c>
      <c r="Y495" s="256" t="str">
        <v/>
      </c>
      <c r="Z495" s="257" t="str">
        <v/>
      </c>
      <c r="AA495" s="255" t="str">
        <v/>
      </c>
      <c r="AB495" s="256" t="str">
        <v/>
      </c>
      <c r="AC495" s="257" t="str">
        <v/>
      </c>
      <c r="AD495" s="255" t="str">
        <v/>
      </c>
      <c r="AE495" s="256" t="str">
        <v/>
      </c>
      <c r="AF495" s="257" t="str">
        <v/>
      </c>
      <c r="AG495" s="255" t="str">
        <v/>
      </c>
      <c r="AH495" s="256" t="str">
        <v/>
      </c>
      <c r="AI495" s="257" t="str">
        <v/>
      </c>
      <c r="AJ495" s="255" t="str">
        <v/>
      </c>
      <c r="AK495" s="256" t="str">
        <v/>
      </c>
      <c r="AL495" s="257" t="str">
        <v/>
      </c>
      <c r="AM495" s="255" t="str">
        <v/>
      </c>
      <c r="AN495" s="256" t="str">
        <v/>
      </c>
      <c r="AO495" s="257" t="str">
        <v/>
      </c>
      <c r="AP495" s="255" t="str">
        <v/>
      </c>
      <c r="AQ495" s="256" t="str">
        <v/>
      </c>
      <c r="AR495" s="257" t="str">
        <v/>
      </c>
      <c r="AS495" s="255" t="str">
        <v/>
      </c>
      <c r="AT495" s="256" t="str">
        <v/>
      </c>
      <c r="AU495" s="257" t="str">
        <v/>
      </c>
      <c r="AV495" s="255" t="str">
        <v/>
      </c>
      <c r="AW495" s="256" t="str">
        <v/>
      </c>
      <c r="AX495" s="257" t="str">
        <v/>
      </c>
      <c r="AY495" s="243">
        <v>0</v>
      </c>
      <c r="AZ495" s="244">
        <v>0</v>
      </c>
      <c r="BA495" s="244">
        <v>0</v>
      </c>
      <c r="BB495" s="244">
        <v>0</v>
      </c>
      <c r="BC495" s="244">
        <v>0</v>
      </c>
      <c r="BD495" s="244">
        <v>0</v>
      </c>
      <c r="BE495" s="244">
        <v>0</v>
      </c>
      <c r="BF495" s="244">
        <v>0</v>
      </c>
      <c r="BG495" s="244">
        <v>0</v>
      </c>
      <c r="BH495" s="245">
        <v>0</v>
      </c>
      <c r="BK495">
        <v>437</v>
      </c>
      <c r="BL495" s="281"/>
      <c r="BM495" s="281"/>
      <c r="BN495" s="282"/>
      <c r="BO495" s="282"/>
      <c r="BP495" s="282"/>
      <c r="BQ495" s="283"/>
      <c r="BR495" s="284"/>
      <c r="BS495" s="147"/>
      <c r="BT495" s="285"/>
      <c r="BU495" s="288"/>
      <c r="BV495" s="287"/>
      <c r="BW495" s="288"/>
      <c r="BX495" s="286"/>
      <c r="BY495" s="287"/>
      <c r="BZ495" s="288"/>
      <c r="CA495" s="286"/>
      <c r="CB495" s="286"/>
      <c r="CC495" s="287"/>
      <c r="CD495" s="286"/>
      <c r="CE495" s="286"/>
      <c r="CF495" s="286"/>
      <c r="CG495" s="287"/>
      <c r="CH495" s="288"/>
      <c r="CI495" s="286"/>
      <c r="CJ495" s="286"/>
      <c r="CK495" s="287"/>
      <c r="CL495" s="288"/>
      <c r="CM495" s="286"/>
      <c r="CN495" s="294"/>
      <c r="CO495" s="289"/>
      <c r="CP495" s="290"/>
      <c r="CQ495" s="289"/>
      <c r="CR495" s="290"/>
      <c r="CS495" s="284"/>
      <c r="CT495" s="147"/>
      <c r="CU495" s="291"/>
      <c r="CV495" s="292"/>
    </row>
    <row r="496" spans="2:100">
      <c r="B496">
        <v>438</v>
      </c>
      <c r="C496" s="243" t="str">
        <v/>
      </c>
      <c r="D496" s="592" t="str">
        <v/>
      </c>
      <c r="E496" s="245" t="str">
        <v/>
      </c>
      <c r="F496" s="243" t="str">
        <v/>
      </c>
      <c r="G496" s="245" t="str">
        <v/>
      </c>
      <c r="H496" s="243" t="str">
        <v/>
      </c>
      <c r="I496" s="245" t="str">
        <v/>
      </c>
      <c r="J496" s="242" t="str">
        <v/>
      </c>
      <c r="K496" s="242" t="str">
        <v/>
      </c>
      <c r="L496" s="242" t="str">
        <v/>
      </c>
      <c r="M496" s="243" t="str">
        <v/>
      </c>
      <c r="N496" s="592" t="str">
        <v/>
      </c>
      <c r="O496" s="245" t="str">
        <v/>
      </c>
      <c r="P496" s="245" t="str">
        <v/>
      </c>
      <c r="Q496" s="254" t="str">
        <v/>
      </c>
      <c r="R496" s="255" t="str">
        <v/>
      </c>
      <c r="S496" s="256" t="str">
        <v/>
      </c>
      <c r="T496" s="257" t="str">
        <v/>
      </c>
      <c r="U496" s="255" t="str">
        <v/>
      </c>
      <c r="V496" s="256" t="str">
        <v/>
      </c>
      <c r="W496" s="257" t="str">
        <v/>
      </c>
      <c r="X496" s="255" t="str">
        <v/>
      </c>
      <c r="Y496" s="256" t="str">
        <v/>
      </c>
      <c r="Z496" s="257" t="str">
        <v/>
      </c>
      <c r="AA496" s="255" t="str">
        <v/>
      </c>
      <c r="AB496" s="256" t="str">
        <v/>
      </c>
      <c r="AC496" s="257" t="str">
        <v/>
      </c>
      <c r="AD496" s="255" t="str">
        <v/>
      </c>
      <c r="AE496" s="256" t="str">
        <v/>
      </c>
      <c r="AF496" s="257" t="str">
        <v/>
      </c>
      <c r="AG496" s="255" t="str">
        <v/>
      </c>
      <c r="AH496" s="256" t="str">
        <v/>
      </c>
      <c r="AI496" s="257" t="str">
        <v/>
      </c>
      <c r="AJ496" s="255" t="str">
        <v/>
      </c>
      <c r="AK496" s="256" t="str">
        <v/>
      </c>
      <c r="AL496" s="257" t="str">
        <v/>
      </c>
      <c r="AM496" s="255" t="str">
        <v/>
      </c>
      <c r="AN496" s="256" t="str">
        <v/>
      </c>
      <c r="AO496" s="257" t="str">
        <v/>
      </c>
      <c r="AP496" s="255" t="str">
        <v/>
      </c>
      <c r="AQ496" s="256" t="str">
        <v/>
      </c>
      <c r="AR496" s="257" t="str">
        <v/>
      </c>
      <c r="AS496" s="255" t="str">
        <v/>
      </c>
      <c r="AT496" s="256" t="str">
        <v/>
      </c>
      <c r="AU496" s="257" t="str">
        <v/>
      </c>
      <c r="AV496" s="255" t="str">
        <v/>
      </c>
      <c r="AW496" s="256" t="str">
        <v/>
      </c>
      <c r="AX496" s="257" t="str">
        <v/>
      </c>
      <c r="AY496" s="243">
        <v>0</v>
      </c>
      <c r="AZ496" s="244">
        <v>0</v>
      </c>
      <c r="BA496" s="244">
        <v>0</v>
      </c>
      <c r="BB496" s="244">
        <v>0</v>
      </c>
      <c r="BC496" s="244">
        <v>0</v>
      </c>
      <c r="BD496" s="244">
        <v>0</v>
      </c>
      <c r="BE496" s="244">
        <v>0</v>
      </c>
      <c r="BF496" s="244">
        <v>0</v>
      </c>
      <c r="BG496" s="244">
        <v>0</v>
      </c>
      <c r="BH496" s="245">
        <v>0</v>
      </c>
      <c r="BK496">
        <v>438</v>
      </c>
      <c r="BL496" s="281"/>
      <c r="BM496" s="281"/>
      <c r="BN496" s="282"/>
      <c r="BO496" s="282"/>
      <c r="BP496" s="282"/>
      <c r="BQ496" s="283"/>
      <c r="BR496" s="284"/>
      <c r="BS496" s="147"/>
      <c r="BT496" s="285"/>
      <c r="BU496" s="288"/>
      <c r="BV496" s="287"/>
      <c r="BW496" s="288"/>
      <c r="BX496" s="286"/>
      <c r="BY496" s="287"/>
      <c r="BZ496" s="288"/>
      <c r="CA496" s="286"/>
      <c r="CB496" s="286"/>
      <c r="CC496" s="287"/>
      <c r="CD496" s="286"/>
      <c r="CE496" s="286"/>
      <c r="CF496" s="286"/>
      <c r="CG496" s="287"/>
      <c r="CH496" s="288"/>
      <c r="CI496" s="286"/>
      <c r="CJ496" s="286"/>
      <c r="CK496" s="287"/>
      <c r="CL496" s="288"/>
      <c r="CM496" s="286"/>
      <c r="CN496" s="294"/>
      <c r="CO496" s="289"/>
      <c r="CP496" s="290"/>
      <c r="CQ496" s="289"/>
      <c r="CR496" s="290"/>
      <c r="CS496" s="284"/>
      <c r="CT496" s="147"/>
      <c r="CU496" s="291"/>
      <c r="CV496" s="292"/>
    </row>
    <row r="497" spans="2:100">
      <c r="B497">
        <v>439</v>
      </c>
      <c r="C497" s="243" t="str">
        <v/>
      </c>
      <c r="D497" s="592" t="str">
        <v/>
      </c>
      <c r="E497" s="245" t="str">
        <v/>
      </c>
      <c r="F497" s="243" t="str">
        <v/>
      </c>
      <c r="G497" s="245" t="str">
        <v/>
      </c>
      <c r="H497" s="243" t="str">
        <v/>
      </c>
      <c r="I497" s="245" t="str">
        <v/>
      </c>
      <c r="J497" s="242" t="str">
        <v/>
      </c>
      <c r="K497" s="242" t="str">
        <v/>
      </c>
      <c r="L497" s="242" t="str">
        <v/>
      </c>
      <c r="M497" s="243" t="str">
        <v/>
      </c>
      <c r="N497" s="592" t="str">
        <v/>
      </c>
      <c r="O497" s="245" t="str">
        <v/>
      </c>
      <c r="P497" s="245" t="str">
        <v/>
      </c>
      <c r="Q497" s="254" t="str">
        <v/>
      </c>
      <c r="R497" s="255" t="str">
        <v/>
      </c>
      <c r="S497" s="256" t="str">
        <v/>
      </c>
      <c r="T497" s="257" t="str">
        <v/>
      </c>
      <c r="U497" s="255" t="str">
        <v/>
      </c>
      <c r="V497" s="256" t="str">
        <v/>
      </c>
      <c r="W497" s="257" t="str">
        <v/>
      </c>
      <c r="X497" s="255" t="str">
        <v/>
      </c>
      <c r="Y497" s="256" t="str">
        <v/>
      </c>
      <c r="Z497" s="257" t="str">
        <v/>
      </c>
      <c r="AA497" s="255" t="str">
        <v/>
      </c>
      <c r="AB497" s="256" t="str">
        <v/>
      </c>
      <c r="AC497" s="257" t="str">
        <v/>
      </c>
      <c r="AD497" s="255" t="str">
        <v/>
      </c>
      <c r="AE497" s="256" t="str">
        <v/>
      </c>
      <c r="AF497" s="257" t="str">
        <v/>
      </c>
      <c r="AG497" s="255" t="str">
        <v/>
      </c>
      <c r="AH497" s="256" t="str">
        <v/>
      </c>
      <c r="AI497" s="257" t="str">
        <v/>
      </c>
      <c r="AJ497" s="255" t="str">
        <v/>
      </c>
      <c r="AK497" s="256" t="str">
        <v/>
      </c>
      <c r="AL497" s="257" t="str">
        <v/>
      </c>
      <c r="AM497" s="255" t="str">
        <v/>
      </c>
      <c r="AN497" s="256" t="str">
        <v/>
      </c>
      <c r="AO497" s="257" t="str">
        <v/>
      </c>
      <c r="AP497" s="255" t="str">
        <v/>
      </c>
      <c r="AQ497" s="256" t="str">
        <v/>
      </c>
      <c r="AR497" s="257" t="str">
        <v/>
      </c>
      <c r="AS497" s="255" t="str">
        <v/>
      </c>
      <c r="AT497" s="256" t="str">
        <v/>
      </c>
      <c r="AU497" s="257" t="str">
        <v/>
      </c>
      <c r="AV497" s="255" t="str">
        <v/>
      </c>
      <c r="AW497" s="256" t="str">
        <v/>
      </c>
      <c r="AX497" s="257" t="str">
        <v/>
      </c>
      <c r="AY497" s="243">
        <v>0</v>
      </c>
      <c r="AZ497" s="244">
        <v>0</v>
      </c>
      <c r="BA497" s="244">
        <v>0</v>
      </c>
      <c r="BB497" s="244">
        <v>0</v>
      </c>
      <c r="BC497" s="244">
        <v>0</v>
      </c>
      <c r="BD497" s="244">
        <v>0</v>
      </c>
      <c r="BE497" s="244">
        <v>0</v>
      </c>
      <c r="BF497" s="244">
        <v>0</v>
      </c>
      <c r="BG497" s="244">
        <v>0</v>
      </c>
      <c r="BH497" s="245">
        <v>0</v>
      </c>
      <c r="BK497">
        <v>439</v>
      </c>
      <c r="BL497" s="281"/>
      <c r="BM497" s="281"/>
      <c r="BN497" s="282"/>
      <c r="BO497" s="282"/>
      <c r="BP497" s="282"/>
      <c r="BQ497" s="283"/>
      <c r="BR497" s="284"/>
      <c r="BS497" s="147"/>
      <c r="BT497" s="285"/>
      <c r="BU497" s="288"/>
      <c r="BV497" s="287"/>
      <c r="BW497" s="288"/>
      <c r="BX497" s="286"/>
      <c r="BY497" s="287"/>
      <c r="BZ497" s="288"/>
      <c r="CA497" s="286"/>
      <c r="CB497" s="286"/>
      <c r="CC497" s="287"/>
      <c r="CD497" s="286"/>
      <c r="CE497" s="286"/>
      <c r="CF497" s="286"/>
      <c r="CG497" s="287"/>
      <c r="CH497" s="288"/>
      <c r="CI497" s="286"/>
      <c r="CJ497" s="286"/>
      <c r="CK497" s="287"/>
      <c r="CL497" s="288"/>
      <c r="CM497" s="286"/>
      <c r="CN497" s="294"/>
      <c r="CO497" s="289"/>
      <c r="CP497" s="290"/>
      <c r="CQ497" s="289"/>
      <c r="CR497" s="290"/>
      <c r="CS497" s="284"/>
      <c r="CT497" s="147"/>
      <c r="CU497" s="291"/>
      <c r="CV497" s="292"/>
    </row>
    <row r="498" spans="2:100">
      <c r="B498">
        <v>440</v>
      </c>
      <c r="C498" s="243" t="str">
        <v/>
      </c>
      <c r="D498" s="592" t="str">
        <v/>
      </c>
      <c r="E498" s="245" t="str">
        <v/>
      </c>
      <c r="F498" s="243" t="str">
        <v/>
      </c>
      <c r="G498" s="245" t="str">
        <v/>
      </c>
      <c r="H498" s="243" t="str">
        <v/>
      </c>
      <c r="I498" s="245" t="str">
        <v/>
      </c>
      <c r="J498" s="242" t="str">
        <v/>
      </c>
      <c r="K498" s="242" t="str">
        <v/>
      </c>
      <c r="L498" s="242" t="str">
        <v/>
      </c>
      <c r="M498" s="243" t="str">
        <v/>
      </c>
      <c r="N498" s="592" t="str">
        <v/>
      </c>
      <c r="O498" s="245" t="str">
        <v/>
      </c>
      <c r="P498" s="245" t="str">
        <v/>
      </c>
      <c r="Q498" s="254" t="str">
        <v/>
      </c>
      <c r="R498" s="255" t="str">
        <v/>
      </c>
      <c r="S498" s="256" t="str">
        <v/>
      </c>
      <c r="T498" s="257" t="str">
        <v/>
      </c>
      <c r="U498" s="255" t="str">
        <v/>
      </c>
      <c r="V498" s="256" t="str">
        <v/>
      </c>
      <c r="W498" s="257" t="str">
        <v/>
      </c>
      <c r="X498" s="255" t="str">
        <v/>
      </c>
      <c r="Y498" s="256" t="str">
        <v/>
      </c>
      <c r="Z498" s="257" t="str">
        <v/>
      </c>
      <c r="AA498" s="255" t="str">
        <v/>
      </c>
      <c r="AB498" s="256" t="str">
        <v/>
      </c>
      <c r="AC498" s="257" t="str">
        <v/>
      </c>
      <c r="AD498" s="255" t="str">
        <v/>
      </c>
      <c r="AE498" s="256" t="str">
        <v/>
      </c>
      <c r="AF498" s="257" t="str">
        <v/>
      </c>
      <c r="AG498" s="255" t="str">
        <v/>
      </c>
      <c r="AH498" s="256" t="str">
        <v/>
      </c>
      <c r="AI498" s="257" t="str">
        <v/>
      </c>
      <c r="AJ498" s="255" t="str">
        <v/>
      </c>
      <c r="AK498" s="256" t="str">
        <v/>
      </c>
      <c r="AL498" s="257" t="str">
        <v/>
      </c>
      <c r="AM498" s="255" t="str">
        <v/>
      </c>
      <c r="AN498" s="256" t="str">
        <v/>
      </c>
      <c r="AO498" s="257" t="str">
        <v/>
      </c>
      <c r="AP498" s="255" t="str">
        <v/>
      </c>
      <c r="AQ498" s="256" t="str">
        <v/>
      </c>
      <c r="AR498" s="257" t="str">
        <v/>
      </c>
      <c r="AS498" s="255" t="str">
        <v/>
      </c>
      <c r="AT498" s="256" t="str">
        <v/>
      </c>
      <c r="AU498" s="257" t="str">
        <v/>
      </c>
      <c r="AV498" s="255" t="str">
        <v/>
      </c>
      <c r="AW498" s="256" t="str">
        <v/>
      </c>
      <c r="AX498" s="257" t="str">
        <v/>
      </c>
      <c r="AY498" s="243">
        <v>0</v>
      </c>
      <c r="AZ498" s="244">
        <v>0</v>
      </c>
      <c r="BA498" s="244">
        <v>0</v>
      </c>
      <c r="BB498" s="244">
        <v>0</v>
      </c>
      <c r="BC498" s="244">
        <v>0</v>
      </c>
      <c r="BD498" s="244">
        <v>0</v>
      </c>
      <c r="BE498" s="244">
        <v>0</v>
      </c>
      <c r="BF498" s="244">
        <v>0</v>
      </c>
      <c r="BG498" s="244">
        <v>0</v>
      </c>
      <c r="BH498" s="245">
        <v>0</v>
      </c>
      <c r="BK498">
        <v>440</v>
      </c>
      <c r="BL498" s="281"/>
      <c r="BM498" s="281"/>
      <c r="BN498" s="282"/>
      <c r="BO498" s="282"/>
      <c r="BP498" s="282"/>
      <c r="BQ498" s="283"/>
      <c r="BR498" s="284"/>
      <c r="BS498" s="147"/>
      <c r="BT498" s="285"/>
      <c r="BU498" s="288"/>
      <c r="BV498" s="287"/>
      <c r="BW498" s="288"/>
      <c r="BX498" s="286"/>
      <c r="BY498" s="287"/>
      <c r="BZ498" s="288"/>
      <c r="CA498" s="286"/>
      <c r="CB498" s="286"/>
      <c r="CC498" s="287"/>
      <c r="CD498" s="286"/>
      <c r="CE498" s="286"/>
      <c r="CF498" s="286"/>
      <c r="CG498" s="287"/>
      <c r="CH498" s="288"/>
      <c r="CI498" s="286"/>
      <c r="CJ498" s="286"/>
      <c r="CK498" s="287"/>
      <c r="CL498" s="288"/>
      <c r="CM498" s="286"/>
      <c r="CN498" s="294"/>
      <c r="CO498" s="289"/>
      <c r="CP498" s="290"/>
      <c r="CQ498" s="289"/>
      <c r="CR498" s="290"/>
      <c r="CS498" s="284"/>
      <c r="CT498" s="147"/>
      <c r="CU498" s="291"/>
      <c r="CV498" s="292"/>
    </row>
    <row r="499" spans="2:100">
      <c r="B499">
        <v>441</v>
      </c>
      <c r="C499" s="243" t="str">
        <v/>
      </c>
      <c r="D499" s="592" t="str">
        <v/>
      </c>
      <c r="E499" s="245" t="str">
        <v/>
      </c>
      <c r="F499" s="243" t="str">
        <v/>
      </c>
      <c r="G499" s="245" t="str">
        <v/>
      </c>
      <c r="H499" s="243" t="str">
        <v/>
      </c>
      <c r="I499" s="245" t="str">
        <v/>
      </c>
      <c r="J499" s="242" t="str">
        <v/>
      </c>
      <c r="K499" s="242" t="str">
        <v/>
      </c>
      <c r="L499" s="242" t="str">
        <v/>
      </c>
      <c r="M499" s="243" t="str">
        <v/>
      </c>
      <c r="N499" s="592" t="str">
        <v/>
      </c>
      <c r="O499" s="245" t="str">
        <v/>
      </c>
      <c r="P499" s="245" t="str">
        <v/>
      </c>
      <c r="Q499" s="254" t="str">
        <v/>
      </c>
      <c r="R499" s="255" t="str">
        <v/>
      </c>
      <c r="S499" s="256" t="str">
        <v/>
      </c>
      <c r="T499" s="257" t="str">
        <v/>
      </c>
      <c r="U499" s="255" t="str">
        <v/>
      </c>
      <c r="V499" s="256" t="str">
        <v/>
      </c>
      <c r="W499" s="257" t="str">
        <v/>
      </c>
      <c r="X499" s="255" t="str">
        <v/>
      </c>
      <c r="Y499" s="256" t="str">
        <v/>
      </c>
      <c r="Z499" s="257" t="str">
        <v/>
      </c>
      <c r="AA499" s="255" t="str">
        <v/>
      </c>
      <c r="AB499" s="256" t="str">
        <v/>
      </c>
      <c r="AC499" s="257" t="str">
        <v/>
      </c>
      <c r="AD499" s="255" t="str">
        <v/>
      </c>
      <c r="AE499" s="256" t="str">
        <v/>
      </c>
      <c r="AF499" s="257" t="str">
        <v/>
      </c>
      <c r="AG499" s="255" t="str">
        <v/>
      </c>
      <c r="AH499" s="256" t="str">
        <v/>
      </c>
      <c r="AI499" s="257" t="str">
        <v/>
      </c>
      <c r="AJ499" s="255" t="str">
        <v/>
      </c>
      <c r="AK499" s="256" t="str">
        <v/>
      </c>
      <c r="AL499" s="257" t="str">
        <v/>
      </c>
      <c r="AM499" s="255" t="str">
        <v/>
      </c>
      <c r="AN499" s="256" t="str">
        <v/>
      </c>
      <c r="AO499" s="257" t="str">
        <v/>
      </c>
      <c r="AP499" s="255" t="str">
        <v/>
      </c>
      <c r="AQ499" s="256" t="str">
        <v/>
      </c>
      <c r="AR499" s="257" t="str">
        <v/>
      </c>
      <c r="AS499" s="255" t="str">
        <v/>
      </c>
      <c r="AT499" s="256" t="str">
        <v/>
      </c>
      <c r="AU499" s="257" t="str">
        <v/>
      </c>
      <c r="AV499" s="255" t="str">
        <v/>
      </c>
      <c r="AW499" s="256" t="str">
        <v/>
      </c>
      <c r="AX499" s="257" t="str">
        <v/>
      </c>
      <c r="AY499" s="243">
        <v>0</v>
      </c>
      <c r="AZ499" s="244">
        <v>0</v>
      </c>
      <c r="BA499" s="244">
        <v>0</v>
      </c>
      <c r="BB499" s="244">
        <v>0</v>
      </c>
      <c r="BC499" s="244">
        <v>0</v>
      </c>
      <c r="BD499" s="244">
        <v>0</v>
      </c>
      <c r="BE499" s="244">
        <v>0</v>
      </c>
      <c r="BF499" s="244">
        <v>0</v>
      </c>
      <c r="BG499" s="244">
        <v>0</v>
      </c>
      <c r="BH499" s="245">
        <v>0</v>
      </c>
      <c r="BK499">
        <v>441</v>
      </c>
      <c r="BL499" s="281"/>
      <c r="BM499" s="281"/>
      <c r="BN499" s="282"/>
      <c r="BO499" s="282"/>
      <c r="BP499" s="282"/>
      <c r="BQ499" s="283"/>
      <c r="BR499" s="284"/>
      <c r="BS499" s="147"/>
      <c r="BT499" s="285"/>
      <c r="BU499" s="288"/>
      <c r="BV499" s="287"/>
      <c r="BW499" s="288"/>
      <c r="BX499" s="286"/>
      <c r="BY499" s="287"/>
      <c r="BZ499" s="288"/>
      <c r="CA499" s="286"/>
      <c r="CB499" s="286"/>
      <c r="CC499" s="287"/>
      <c r="CD499" s="286"/>
      <c r="CE499" s="286"/>
      <c r="CF499" s="286"/>
      <c r="CG499" s="287"/>
      <c r="CH499" s="288"/>
      <c r="CI499" s="286"/>
      <c r="CJ499" s="286"/>
      <c r="CK499" s="287"/>
      <c r="CL499" s="288"/>
      <c r="CM499" s="286"/>
      <c r="CN499" s="294"/>
      <c r="CO499" s="289"/>
      <c r="CP499" s="290"/>
      <c r="CQ499" s="289"/>
      <c r="CR499" s="290"/>
      <c r="CS499" s="284"/>
      <c r="CT499" s="147"/>
      <c r="CU499" s="291"/>
      <c r="CV499" s="292"/>
    </row>
    <row r="500" spans="2:100">
      <c r="B500">
        <v>442</v>
      </c>
      <c r="C500" s="243" t="str">
        <v/>
      </c>
      <c r="D500" s="592" t="str">
        <v/>
      </c>
      <c r="E500" s="245" t="str">
        <v/>
      </c>
      <c r="F500" s="243" t="str">
        <v/>
      </c>
      <c r="G500" s="245" t="str">
        <v/>
      </c>
      <c r="H500" s="243" t="str">
        <v/>
      </c>
      <c r="I500" s="245" t="str">
        <v/>
      </c>
      <c r="J500" s="242" t="str">
        <v/>
      </c>
      <c r="K500" s="242" t="str">
        <v/>
      </c>
      <c r="L500" s="242" t="str">
        <v/>
      </c>
      <c r="M500" s="243" t="str">
        <v/>
      </c>
      <c r="N500" s="592" t="str">
        <v/>
      </c>
      <c r="O500" s="245" t="str">
        <v/>
      </c>
      <c r="P500" s="245" t="str">
        <v/>
      </c>
      <c r="Q500" s="254" t="str">
        <v/>
      </c>
      <c r="R500" s="255" t="str">
        <v/>
      </c>
      <c r="S500" s="256" t="str">
        <v/>
      </c>
      <c r="T500" s="257" t="str">
        <v/>
      </c>
      <c r="U500" s="255" t="str">
        <v/>
      </c>
      <c r="V500" s="256" t="str">
        <v/>
      </c>
      <c r="W500" s="257" t="str">
        <v/>
      </c>
      <c r="X500" s="255" t="str">
        <v/>
      </c>
      <c r="Y500" s="256" t="str">
        <v/>
      </c>
      <c r="Z500" s="257" t="str">
        <v/>
      </c>
      <c r="AA500" s="255" t="str">
        <v/>
      </c>
      <c r="AB500" s="256" t="str">
        <v/>
      </c>
      <c r="AC500" s="257" t="str">
        <v/>
      </c>
      <c r="AD500" s="255" t="str">
        <v/>
      </c>
      <c r="AE500" s="256" t="str">
        <v/>
      </c>
      <c r="AF500" s="257" t="str">
        <v/>
      </c>
      <c r="AG500" s="255" t="str">
        <v/>
      </c>
      <c r="AH500" s="256" t="str">
        <v/>
      </c>
      <c r="AI500" s="257" t="str">
        <v/>
      </c>
      <c r="AJ500" s="255" t="str">
        <v/>
      </c>
      <c r="AK500" s="256" t="str">
        <v/>
      </c>
      <c r="AL500" s="257" t="str">
        <v/>
      </c>
      <c r="AM500" s="255" t="str">
        <v/>
      </c>
      <c r="AN500" s="256" t="str">
        <v/>
      </c>
      <c r="AO500" s="257" t="str">
        <v/>
      </c>
      <c r="AP500" s="255" t="str">
        <v/>
      </c>
      <c r="AQ500" s="256" t="str">
        <v/>
      </c>
      <c r="AR500" s="257" t="str">
        <v/>
      </c>
      <c r="AS500" s="255" t="str">
        <v/>
      </c>
      <c r="AT500" s="256" t="str">
        <v/>
      </c>
      <c r="AU500" s="257" t="str">
        <v/>
      </c>
      <c r="AV500" s="255" t="str">
        <v/>
      </c>
      <c r="AW500" s="256" t="str">
        <v/>
      </c>
      <c r="AX500" s="257" t="str">
        <v/>
      </c>
      <c r="AY500" s="243">
        <v>0</v>
      </c>
      <c r="AZ500" s="244">
        <v>0</v>
      </c>
      <c r="BA500" s="244">
        <v>0</v>
      </c>
      <c r="BB500" s="244">
        <v>0</v>
      </c>
      <c r="BC500" s="244">
        <v>0</v>
      </c>
      <c r="BD500" s="244">
        <v>0</v>
      </c>
      <c r="BE500" s="244">
        <v>0</v>
      </c>
      <c r="BF500" s="244">
        <v>0</v>
      </c>
      <c r="BG500" s="244">
        <v>0</v>
      </c>
      <c r="BH500" s="245">
        <v>0</v>
      </c>
      <c r="BK500">
        <v>442</v>
      </c>
      <c r="BL500" s="281"/>
      <c r="BM500" s="281"/>
      <c r="BN500" s="282"/>
      <c r="BO500" s="282"/>
      <c r="BP500" s="282"/>
      <c r="BQ500" s="283"/>
      <c r="BR500" s="284"/>
      <c r="BS500" s="147"/>
      <c r="BT500" s="285"/>
      <c r="BU500" s="288"/>
      <c r="BV500" s="287"/>
      <c r="BW500" s="288"/>
      <c r="BX500" s="286"/>
      <c r="BY500" s="287"/>
      <c r="BZ500" s="288"/>
      <c r="CA500" s="286"/>
      <c r="CB500" s="286"/>
      <c r="CC500" s="287"/>
      <c r="CD500" s="286"/>
      <c r="CE500" s="286"/>
      <c r="CF500" s="286"/>
      <c r="CG500" s="287"/>
      <c r="CH500" s="288"/>
      <c r="CI500" s="286"/>
      <c r="CJ500" s="286"/>
      <c r="CK500" s="287"/>
      <c r="CL500" s="288"/>
      <c r="CM500" s="286"/>
      <c r="CN500" s="294"/>
      <c r="CO500" s="289"/>
      <c r="CP500" s="290"/>
      <c r="CQ500" s="289"/>
      <c r="CR500" s="290"/>
      <c r="CS500" s="284"/>
      <c r="CT500" s="147"/>
      <c r="CU500" s="291"/>
      <c r="CV500" s="292"/>
    </row>
    <row r="501" spans="2:100">
      <c r="B501">
        <v>443</v>
      </c>
      <c r="C501" s="243" t="str">
        <v/>
      </c>
      <c r="D501" s="592" t="str">
        <v/>
      </c>
      <c r="E501" s="245" t="str">
        <v/>
      </c>
      <c r="F501" s="243" t="str">
        <v/>
      </c>
      <c r="G501" s="245" t="str">
        <v/>
      </c>
      <c r="H501" s="243" t="str">
        <v/>
      </c>
      <c r="I501" s="245" t="str">
        <v/>
      </c>
      <c r="J501" s="242" t="str">
        <v/>
      </c>
      <c r="K501" s="242" t="str">
        <v/>
      </c>
      <c r="L501" s="242" t="str">
        <v/>
      </c>
      <c r="M501" s="243" t="str">
        <v/>
      </c>
      <c r="N501" s="592" t="str">
        <v/>
      </c>
      <c r="O501" s="245" t="str">
        <v/>
      </c>
      <c r="P501" s="245" t="str">
        <v/>
      </c>
      <c r="Q501" s="254" t="str">
        <v/>
      </c>
      <c r="R501" s="255" t="str">
        <v/>
      </c>
      <c r="S501" s="256" t="str">
        <v/>
      </c>
      <c r="T501" s="257" t="str">
        <v/>
      </c>
      <c r="U501" s="255" t="str">
        <v/>
      </c>
      <c r="V501" s="256" t="str">
        <v/>
      </c>
      <c r="W501" s="257" t="str">
        <v/>
      </c>
      <c r="X501" s="255" t="str">
        <v/>
      </c>
      <c r="Y501" s="256" t="str">
        <v/>
      </c>
      <c r="Z501" s="257" t="str">
        <v/>
      </c>
      <c r="AA501" s="255" t="str">
        <v/>
      </c>
      <c r="AB501" s="256" t="str">
        <v/>
      </c>
      <c r="AC501" s="257" t="str">
        <v/>
      </c>
      <c r="AD501" s="255" t="str">
        <v/>
      </c>
      <c r="AE501" s="256" t="str">
        <v/>
      </c>
      <c r="AF501" s="257" t="str">
        <v/>
      </c>
      <c r="AG501" s="255" t="str">
        <v/>
      </c>
      <c r="AH501" s="256" t="str">
        <v/>
      </c>
      <c r="AI501" s="257" t="str">
        <v/>
      </c>
      <c r="AJ501" s="255" t="str">
        <v/>
      </c>
      <c r="AK501" s="256" t="str">
        <v/>
      </c>
      <c r="AL501" s="257" t="str">
        <v/>
      </c>
      <c r="AM501" s="255" t="str">
        <v/>
      </c>
      <c r="AN501" s="256" t="str">
        <v/>
      </c>
      <c r="AO501" s="257" t="str">
        <v/>
      </c>
      <c r="AP501" s="255" t="str">
        <v/>
      </c>
      <c r="AQ501" s="256" t="str">
        <v/>
      </c>
      <c r="AR501" s="257" t="str">
        <v/>
      </c>
      <c r="AS501" s="255" t="str">
        <v/>
      </c>
      <c r="AT501" s="256" t="str">
        <v/>
      </c>
      <c r="AU501" s="257" t="str">
        <v/>
      </c>
      <c r="AV501" s="255" t="str">
        <v/>
      </c>
      <c r="AW501" s="256" t="str">
        <v/>
      </c>
      <c r="AX501" s="257" t="str">
        <v/>
      </c>
      <c r="AY501" s="243">
        <v>0</v>
      </c>
      <c r="AZ501" s="244">
        <v>0</v>
      </c>
      <c r="BA501" s="244">
        <v>0</v>
      </c>
      <c r="BB501" s="244">
        <v>0</v>
      </c>
      <c r="BC501" s="244">
        <v>0</v>
      </c>
      <c r="BD501" s="244">
        <v>0</v>
      </c>
      <c r="BE501" s="244">
        <v>0</v>
      </c>
      <c r="BF501" s="244">
        <v>0</v>
      </c>
      <c r="BG501" s="244">
        <v>0</v>
      </c>
      <c r="BH501" s="245">
        <v>0</v>
      </c>
      <c r="BK501">
        <v>443</v>
      </c>
      <c r="BL501" s="281"/>
      <c r="BM501" s="281"/>
      <c r="BN501" s="282"/>
      <c r="BO501" s="282"/>
      <c r="BP501" s="282"/>
      <c r="BQ501" s="283"/>
      <c r="BR501" s="284"/>
      <c r="BS501" s="147"/>
      <c r="BT501" s="285"/>
      <c r="BU501" s="288"/>
      <c r="BV501" s="287"/>
      <c r="BW501" s="288"/>
      <c r="BX501" s="286"/>
      <c r="BY501" s="287"/>
      <c r="BZ501" s="288"/>
      <c r="CA501" s="286"/>
      <c r="CB501" s="286"/>
      <c r="CC501" s="287"/>
      <c r="CD501" s="286"/>
      <c r="CE501" s="286"/>
      <c r="CF501" s="286"/>
      <c r="CG501" s="287"/>
      <c r="CH501" s="288"/>
      <c r="CI501" s="286"/>
      <c r="CJ501" s="286"/>
      <c r="CK501" s="287"/>
      <c r="CL501" s="288"/>
      <c r="CM501" s="286"/>
      <c r="CN501" s="294"/>
      <c r="CO501" s="289"/>
      <c r="CP501" s="290"/>
      <c r="CQ501" s="289"/>
      <c r="CR501" s="290"/>
      <c r="CS501" s="284"/>
      <c r="CT501" s="147"/>
      <c r="CU501" s="291"/>
      <c r="CV501" s="292"/>
    </row>
    <row r="502" spans="2:100">
      <c r="B502">
        <v>444</v>
      </c>
      <c r="C502" s="243" t="str">
        <v/>
      </c>
      <c r="D502" s="592" t="str">
        <v/>
      </c>
      <c r="E502" s="245" t="str">
        <v/>
      </c>
      <c r="F502" s="243" t="str">
        <v/>
      </c>
      <c r="G502" s="245" t="str">
        <v/>
      </c>
      <c r="H502" s="243" t="str">
        <v/>
      </c>
      <c r="I502" s="245" t="str">
        <v/>
      </c>
      <c r="J502" s="242" t="str">
        <v/>
      </c>
      <c r="K502" s="242" t="str">
        <v/>
      </c>
      <c r="L502" s="242" t="str">
        <v/>
      </c>
      <c r="M502" s="243" t="str">
        <v/>
      </c>
      <c r="N502" s="592" t="str">
        <v/>
      </c>
      <c r="O502" s="245" t="str">
        <v/>
      </c>
      <c r="P502" s="245" t="str">
        <v/>
      </c>
      <c r="Q502" s="254" t="str">
        <v/>
      </c>
      <c r="R502" s="255" t="str">
        <v/>
      </c>
      <c r="S502" s="256" t="str">
        <v/>
      </c>
      <c r="T502" s="257" t="str">
        <v/>
      </c>
      <c r="U502" s="255" t="str">
        <v/>
      </c>
      <c r="V502" s="256" t="str">
        <v/>
      </c>
      <c r="W502" s="257" t="str">
        <v/>
      </c>
      <c r="X502" s="255" t="str">
        <v/>
      </c>
      <c r="Y502" s="256" t="str">
        <v/>
      </c>
      <c r="Z502" s="257" t="str">
        <v/>
      </c>
      <c r="AA502" s="255" t="str">
        <v/>
      </c>
      <c r="AB502" s="256" t="str">
        <v/>
      </c>
      <c r="AC502" s="257" t="str">
        <v/>
      </c>
      <c r="AD502" s="255" t="str">
        <v/>
      </c>
      <c r="AE502" s="256" t="str">
        <v/>
      </c>
      <c r="AF502" s="257" t="str">
        <v/>
      </c>
      <c r="AG502" s="255" t="str">
        <v/>
      </c>
      <c r="AH502" s="256" t="str">
        <v/>
      </c>
      <c r="AI502" s="257" t="str">
        <v/>
      </c>
      <c r="AJ502" s="255" t="str">
        <v/>
      </c>
      <c r="AK502" s="256" t="str">
        <v/>
      </c>
      <c r="AL502" s="257" t="str">
        <v/>
      </c>
      <c r="AM502" s="255" t="str">
        <v/>
      </c>
      <c r="AN502" s="256" t="str">
        <v/>
      </c>
      <c r="AO502" s="257" t="str">
        <v/>
      </c>
      <c r="AP502" s="255" t="str">
        <v/>
      </c>
      <c r="AQ502" s="256" t="str">
        <v/>
      </c>
      <c r="AR502" s="257" t="str">
        <v/>
      </c>
      <c r="AS502" s="255" t="str">
        <v/>
      </c>
      <c r="AT502" s="256" t="str">
        <v/>
      </c>
      <c r="AU502" s="257" t="str">
        <v/>
      </c>
      <c r="AV502" s="255" t="str">
        <v/>
      </c>
      <c r="AW502" s="256" t="str">
        <v/>
      </c>
      <c r="AX502" s="257" t="str">
        <v/>
      </c>
      <c r="AY502" s="243">
        <v>0</v>
      </c>
      <c r="AZ502" s="244">
        <v>0</v>
      </c>
      <c r="BA502" s="244">
        <v>0</v>
      </c>
      <c r="BB502" s="244">
        <v>0</v>
      </c>
      <c r="BC502" s="244">
        <v>0</v>
      </c>
      <c r="BD502" s="244">
        <v>0</v>
      </c>
      <c r="BE502" s="244">
        <v>0</v>
      </c>
      <c r="BF502" s="244">
        <v>0</v>
      </c>
      <c r="BG502" s="244">
        <v>0</v>
      </c>
      <c r="BH502" s="245">
        <v>0</v>
      </c>
      <c r="BK502">
        <v>444</v>
      </c>
      <c r="BL502" s="281"/>
      <c r="BM502" s="281"/>
      <c r="BN502" s="282"/>
      <c r="BO502" s="282"/>
      <c r="BP502" s="282"/>
      <c r="BQ502" s="283"/>
      <c r="BR502" s="284"/>
      <c r="BS502" s="147"/>
      <c r="BT502" s="285"/>
      <c r="BU502" s="288"/>
      <c r="BV502" s="287"/>
      <c r="BW502" s="288"/>
      <c r="BX502" s="286"/>
      <c r="BY502" s="287"/>
      <c r="BZ502" s="288"/>
      <c r="CA502" s="286"/>
      <c r="CB502" s="286"/>
      <c r="CC502" s="287"/>
      <c r="CD502" s="286"/>
      <c r="CE502" s="286"/>
      <c r="CF502" s="286"/>
      <c r="CG502" s="287"/>
      <c r="CH502" s="288"/>
      <c r="CI502" s="286"/>
      <c r="CJ502" s="286"/>
      <c r="CK502" s="287"/>
      <c r="CL502" s="288"/>
      <c r="CM502" s="286"/>
      <c r="CN502" s="294"/>
      <c r="CO502" s="289"/>
      <c r="CP502" s="290"/>
      <c r="CQ502" s="289"/>
      <c r="CR502" s="290"/>
      <c r="CS502" s="284"/>
      <c r="CT502" s="147"/>
      <c r="CU502" s="291"/>
      <c r="CV502" s="292"/>
    </row>
    <row r="503" spans="2:100">
      <c r="B503">
        <v>445</v>
      </c>
      <c r="C503" s="243" t="str">
        <v/>
      </c>
      <c r="D503" s="592" t="str">
        <v/>
      </c>
      <c r="E503" s="245" t="str">
        <v/>
      </c>
      <c r="F503" s="243" t="str">
        <v/>
      </c>
      <c r="G503" s="245" t="str">
        <v/>
      </c>
      <c r="H503" s="243" t="str">
        <v/>
      </c>
      <c r="I503" s="245" t="str">
        <v/>
      </c>
      <c r="J503" s="242" t="str">
        <v/>
      </c>
      <c r="K503" s="242" t="str">
        <v/>
      </c>
      <c r="L503" s="242" t="str">
        <v/>
      </c>
      <c r="M503" s="243" t="str">
        <v/>
      </c>
      <c r="N503" s="592" t="str">
        <v/>
      </c>
      <c r="O503" s="245" t="str">
        <v/>
      </c>
      <c r="P503" s="245" t="str">
        <v/>
      </c>
      <c r="Q503" s="254" t="str">
        <v/>
      </c>
      <c r="R503" s="255" t="str">
        <v/>
      </c>
      <c r="S503" s="256" t="str">
        <v/>
      </c>
      <c r="T503" s="257" t="str">
        <v/>
      </c>
      <c r="U503" s="255" t="str">
        <v/>
      </c>
      <c r="V503" s="256" t="str">
        <v/>
      </c>
      <c r="W503" s="257" t="str">
        <v/>
      </c>
      <c r="X503" s="255" t="str">
        <v/>
      </c>
      <c r="Y503" s="256" t="str">
        <v/>
      </c>
      <c r="Z503" s="257" t="str">
        <v/>
      </c>
      <c r="AA503" s="255" t="str">
        <v/>
      </c>
      <c r="AB503" s="256" t="str">
        <v/>
      </c>
      <c r="AC503" s="257" t="str">
        <v/>
      </c>
      <c r="AD503" s="255" t="str">
        <v/>
      </c>
      <c r="AE503" s="256" t="str">
        <v/>
      </c>
      <c r="AF503" s="257" t="str">
        <v/>
      </c>
      <c r="AG503" s="255" t="str">
        <v/>
      </c>
      <c r="AH503" s="256" t="str">
        <v/>
      </c>
      <c r="AI503" s="257" t="str">
        <v/>
      </c>
      <c r="AJ503" s="255" t="str">
        <v/>
      </c>
      <c r="AK503" s="256" t="str">
        <v/>
      </c>
      <c r="AL503" s="257" t="str">
        <v/>
      </c>
      <c r="AM503" s="255" t="str">
        <v/>
      </c>
      <c r="AN503" s="256" t="str">
        <v/>
      </c>
      <c r="AO503" s="257" t="str">
        <v/>
      </c>
      <c r="AP503" s="255" t="str">
        <v/>
      </c>
      <c r="AQ503" s="256" t="str">
        <v/>
      </c>
      <c r="AR503" s="257" t="str">
        <v/>
      </c>
      <c r="AS503" s="255" t="str">
        <v/>
      </c>
      <c r="AT503" s="256" t="str">
        <v/>
      </c>
      <c r="AU503" s="257" t="str">
        <v/>
      </c>
      <c r="AV503" s="255" t="str">
        <v/>
      </c>
      <c r="AW503" s="256" t="str">
        <v/>
      </c>
      <c r="AX503" s="257" t="str">
        <v/>
      </c>
      <c r="AY503" s="243">
        <v>0</v>
      </c>
      <c r="AZ503" s="244">
        <v>0</v>
      </c>
      <c r="BA503" s="244">
        <v>0</v>
      </c>
      <c r="BB503" s="244">
        <v>0</v>
      </c>
      <c r="BC503" s="244">
        <v>0</v>
      </c>
      <c r="BD503" s="244">
        <v>0</v>
      </c>
      <c r="BE503" s="244">
        <v>0</v>
      </c>
      <c r="BF503" s="244">
        <v>0</v>
      </c>
      <c r="BG503" s="244">
        <v>0</v>
      </c>
      <c r="BH503" s="245">
        <v>0</v>
      </c>
      <c r="BK503">
        <v>445</v>
      </c>
      <c r="BL503" s="281"/>
      <c r="BM503" s="281"/>
      <c r="BN503" s="282"/>
      <c r="BO503" s="282"/>
      <c r="BP503" s="282"/>
      <c r="BQ503" s="283"/>
      <c r="BR503" s="284"/>
      <c r="BS503" s="147"/>
      <c r="BT503" s="285"/>
      <c r="BU503" s="288"/>
      <c r="BV503" s="287"/>
      <c r="BW503" s="288"/>
      <c r="BX503" s="286"/>
      <c r="BY503" s="287"/>
      <c r="BZ503" s="288"/>
      <c r="CA503" s="286"/>
      <c r="CB503" s="286"/>
      <c r="CC503" s="287"/>
      <c r="CD503" s="286"/>
      <c r="CE503" s="286"/>
      <c r="CF503" s="286"/>
      <c r="CG503" s="287"/>
      <c r="CH503" s="288"/>
      <c r="CI503" s="286"/>
      <c r="CJ503" s="286"/>
      <c r="CK503" s="287"/>
      <c r="CL503" s="288"/>
      <c r="CM503" s="286"/>
      <c r="CN503" s="294"/>
      <c r="CO503" s="289"/>
      <c r="CP503" s="290"/>
      <c r="CQ503" s="289"/>
      <c r="CR503" s="290"/>
      <c r="CS503" s="284"/>
      <c r="CT503" s="147"/>
      <c r="CU503" s="291"/>
      <c r="CV503" s="292"/>
    </row>
    <row r="504" spans="2:100">
      <c r="B504">
        <v>446</v>
      </c>
      <c r="C504" s="243" t="str">
        <v/>
      </c>
      <c r="D504" s="592" t="str">
        <v/>
      </c>
      <c r="E504" s="245" t="str">
        <v/>
      </c>
      <c r="F504" s="243" t="str">
        <v/>
      </c>
      <c r="G504" s="245" t="str">
        <v/>
      </c>
      <c r="H504" s="243" t="str">
        <v/>
      </c>
      <c r="I504" s="245" t="str">
        <v/>
      </c>
      <c r="J504" s="242" t="str">
        <v/>
      </c>
      <c r="K504" s="242" t="str">
        <v/>
      </c>
      <c r="L504" s="242" t="str">
        <v/>
      </c>
      <c r="M504" s="243" t="str">
        <v/>
      </c>
      <c r="N504" s="592" t="str">
        <v/>
      </c>
      <c r="O504" s="245" t="str">
        <v/>
      </c>
      <c r="P504" s="245" t="str">
        <v/>
      </c>
      <c r="Q504" s="254" t="str">
        <v/>
      </c>
      <c r="R504" s="255" t="str">
        <v/>
      </c>
      <c r="S504" s="256" t="str">
        <v/>
      </c>
      <c r="T504" s="257" t="str">
        <v/>
      </c>
      <c r="U504" s="255" t="str">
        <v/>
      </c>
      <c r="V504" s="256" t="str">
        <v/>
      </c>
      <c r="W504" s="257" t="str">
        <v/>
      </c>
      <c r="X504" s="255" t="str">
        <v/>
      </c>
      <c r="Y504" s="256" t="str">
        <v/>
      </c>
      <c r="Z504" s="257" t="str">
        <v/>
      </c>
      <c r="AA504" s="255" t="str">
        <v/>
      </c>
      <c r="AB504" s="256" t="str">
        <v/>
      </c>
      <c r="AC504" s="257" t="str">
        <v/>
      </c>
      <c r="AD504" s="255" t="str">
        <v/>
      </c>
      <c r="AE504" s="256" t="str">
        <v/>
      </c>
      <c r="AF504" s="257" t="str">
        <v/>
      </c>
      <c r="AG504" s="255" t="str">
        <v/>
      </c>
      <c r="AH504" s="256" t="str">
        <v/>
      </c>
      <c r="AI504" s="257" t="str">
        <v/>
      </c>
      <c r="AJ504" s="255" t="str">
        <v/>
      </c>
      <c r="AK504" s="256" t="str">
        <v/>
      </c>
      <c r="AL504" s="257" t="str">
        <v/>
      </c>
      <c r="AM504" s="255" t="str">
        <v/>
      </c>
      <c r="AN504" s="256" t="str">
        <v/>
      </c>
      <c r="AO504" s="257" t="str">
        <v/>
      </c>
      <c r="AP504" s="255" t="str">
        <v/>
      </c>
      <c r="AQ504" s="256" t="str">
        <v/>
      </c>
      <c r="AR504" s="257" t="str">
        <v/>
      </c>
      <c r="AS504" s="255" t="str">
        <v/>
      </c>
      <c r="AT504" s="256" t="str">
        <v/>
      </c>
      <c r="AU504" s="257" t="str">
        <v/>
      </c>
      <c r="AV504" s="255" t="str">
        <v/>
      </c>
      <c r="AW504" s="256" t="str">
        <v/>
      </c>
      <c r="AX504" s="257" t="str">
        <v/>
      </c>
      <c r="AY504" s="243">
        <v>0</v>
      </c>
      <c r="AZ504" s="244">
        <v>0</v>
      </c>
      <c r="BA504" s="244">
        <v>0</v>
      </c>
      <c r="BB504" s="244">
        <v>0</v>
      </c>
      <c r="BC504" s="244">
        <v>0</v>
      </c>
      <c r="BD504" s="244">
        <v>0</v>
      </c>
      <c r="BE504" s="244">
        <v>0</v>
      </c>
      <c r="BF504" s="244">
        <v>0</v>
      </c>
      <c r="BG504" s="244">
        <v>0</v>
      </c>
      <c r="BH504" s="245">
        <v>0</v>
      </c>
      <c r="BK504">
        <v>446</v>
      </c>
      <c r="BL504" s="281"/>
      <c r="BM504" s="281"/>
      <c r="BN504" s="282"/>
      <c r="BO504" s="282"/>
      <c r="BP504" s="282"/>
      <c r="BQ504" s="283"/>
      <c r="BR504" s="284"/>
      <c r="BS504" s="147"/>
      <c r="BT504" s="285"/>
      <c r="BU504" s="288"/>
      <c r="BV504" s="287"/>
      <c r="BW504" s="288"/>
      <c r="BX504" s="286"/>
      <c r="BY504" s="287"/>
      <c r="BZ504" s="288"/>
      <c r="CA504" s="286"/>
      <c r="CB504" s="286"/>
      <c r="CC504" s="287"/>
      <c r="CD504" s="286"/>
      <c r="CE504" s="286"/>
      <c r="CF504" s="286"/>
      <c r="CG504" s="287"/>
      <c r="CH504" s="288"/>
      <c r="CI504" s="286"/>
      <c r="CJ504" s="286"/>
      <c r="CK504" s="287"/>
      <c r="CL504" s="288"/>
      <c r="CM504" s="286"/>
      <c r="CN504" s="294"/>
      <c r="CO504" s="289"/>
      <c r="CP504" s="290"/>
      <c r="CQ504" s="289"/>
      <c r="CR504" s="290"/>
      <c r="CS504" s="284"/>
      <c r="CT504" s="147"/>
      <c r="CU504" s="291"/>
      <c r="CV504" s="292"/>
    </row>
    <row r="505" spans="2:100">
      <c r="B505">
        <v>447</v>
      </c>
      <c r="C505" s="243" t="str">
        <v/>
      </c>
      <c r="D505" s="592" t="str">
        <v/>
      </c>
      <c r="E505" s="245" t="str">
        <v/>
      </c>
      <c r="F505" s="243" t="str">
        <v/>
      </c>
      <c r="G505" s="245" t="str">
        <v/>
      </c>
      <c r="H505" s="243" t="str">
        <v/>
      </c>
      <c r="I505" s="245" t="str">
        <v/>
      </c>
      <c r="J505" s="242" t="str">
        <v/>
      </c>
      <c r="K505" s="242" t="str">
        <v/>
      </c>
      <c r="L505" s="242" t="str">
        <v/>
      </c>
      <c r="M505" s="243" t="str">
        <v/>
      </c>
      <c r="N505" s="592" t="str">
        <v/>
      </c>
      <c r="O505" s="245" t="str">
        <v/>
      </c>
      <c r="P505" s="245" t="str">
        <v/>
      </c>
      <c r="Q505" s="254" t="str">
        <v/>
      </c>
      <c r="R505" s="255" t="str">
        <v/>
      </c>
      <c r="S505" s="256" t="str">
        <v/>
      </c>
      <c r="T505" s="257" t="str">
        <v/>
      </c>
      <c r="U505" s="255" t="str">
        <v/>
      </c>
      <c r="V505" s="256" t="str">
        <v/>
      </c>
      <c r="W505" s="257" t="str">
        <v/>
      </c>
      <c r="X505" s="255" t="str">
        <v/>
      </c>
      <c r="Y505" s="256" t="str">
        <v/>
      </c>
      <c r="Z505" s="257" t="str">
        <v/>
      </c>
      <c r="AA505" s="255" t="str">
        <v/>
      </c>
      <c r="AB505" s="256" t="str">
        <v/>
      </c>
      <c r="AC505" s="257" t="str">
        <v/>
      </c>
      <c r="AD505" s="255" t="str">
        <v/>
      </c>
      <c r="AE505" s="256" t="str">
        <v/>
      </c>
      <c r="AF505" s="257" t="str">
        <v/>
      </c>
      <c r="AG505" s="255" t="str">
        <v/>
      </c>
      <c r="AH505" s="256" t="str">
        <v/>
      </c>
      <c r="AI505" s="257" t="str">
        <v/>
      </c>
      <c r="AJ505" s="255" t="str">
        <v/>
      </c>
      <c r="AK505" s="256" t="str">
        <v/>
      </c>
      <c r="AL505" s="257" t="str">
        <v/>
      </c>
      <c r="AM505" s="255" t="str">
        <v/>
      </c>
      <c r="AN505" s="256" t="str">
        <v/>
      </c>
      <c r="AO505" s="257" t="str">
        <v/>
      </c>
      <c r="AP505" s="255" t="str">
        <v/>
      </c>
      <c r="AQ505" s="256" t="str">
        <v/>
      </c>
      <c r="AR505" s="257" t="str">
        <v/>
      </c>
      <c r="AS505" s="255" t="str">
        <v/>
      </c>
      <c r="AT505" s="256" t="str">
        <v/>
      </c>
      <c r="AU505" s="257" t="str">
        <v/>
      </c>
      <c r="AV505" s="255" t="str">
        <v/>
      </c>
      <c r="AW505" s="256" t="str">
        <v/>
      </c>
      <c r="AX505" s="257" t="str">
        <v/>
      </c>
      <c r="AY505" s="243">
        <v>0</v>
      </c>
      <c r="AZ505" s="244">
        <v>0</v>
      </c>
      <c r="BA505" s="244">
        <v>0</v>
      </c>
      <c r="BB505" s="244">
        <v>0</v>
      </c>
      <c r="BC505" s="244">
        <v>0</v>
      </c>
      <c r="BD505" s="244">
        <v>0</v>
      </c>
      <c r="BE505" s="244">
        <v>0</v>
      </c>
      <c r="BF505" s="244">
        <v>0</v>
      </c>
      <c r="BG505" s="244">
        <v>0</v>
      </c>
      <c r="BH505" s="245">
        <v>0</v>
      </c>
      <c r="BK505">
        <v>447</v>
      </c>
      <c r="BL505" s="281"/>
      <c r="BM505" s="281"/>
      <c r="BN505" s="282"/>
      <c r="BO505" s="282"/>
      <c r="BP505" s="282"/>
      <c r="BQ505" s="283"/>
      <c r="BR505" s="284"/>
      <c r="BS505" s="147"/>
      <c r="BT505" s="285"/>
      <c r="BU505" s="288"/>
      <c r="BV505" s="287"/>
      <c r="BW505" s="288"/>
      <c r="BX505" s="286"/>
      <c r="BY505" s="287"/>
      <c r="BZ505" s="288"/>
      <c r="CA505" s="286"/>
      <c r="CB505" s="286"/>
      <c r="CC505" s="287"/>
      <c r="CD505" s="286"/>
      <c r="CE505" s="286"/>
      <c r="CF505" s="286"/>
      <c r="CG505" s="287"/>
      <c r="CH505" s="288"/>
      <c r="CI505" s="286"/>
      <c r="CJ505" s="286"/>
      <c r="CK505" s="287"/>
      <c r="CL505" s="288"/>
      <c r="CM505" s="286"/>
      <c r="CN505" s="294"/>
      <c r="CO505" s="289"/>
      <c r="CP505" s="290"/>
      <c r="CQ505" s="289"/>
      <c r="CR505" s="290"/>
      <c r="CS505" s="284"/>
      <c r="CT505" s="147"/>
      <c r="CU505" s="291"/>
      <c r="CV505" s="292"/>
    </row>
    <row r="506" spans="2:100">
      <c r="B506">
        <v>448</v>
      </c>
      <c r="C506" s="243" t="str">
        <v/>
      </c>
      <c r="D506" s="592" t="str">
        <v/>
      </c>
      <c r="E506" s="245" t="str">
        <v/>
      </c>
      <c r="F506" s="243" t="str">
        <v/>
      </c>
      <c r="G506" s="245" t="str">
        <v/>
      </c>
      <c r="H506" s="243" t="str">
        <v/>
      </c>
      <c r="I506" s="245" t="str">
        <v/>
      </c>
      <c r="J506" s="242" t="str">
        <v/>
      </c>
      <c r="K506" s="242" t="str">
        <v/>
      </c>
      <c r="L506" s="242" t="str">
        <v/>
      </c>
      <c r="M506" s="243" t="str">
        <v/>
      </c>
      <c r="N506" s="592" t="str">
        <v/>
      </c>
      <c r="O506" s="245" t="str">
        <v/>
      </c>
      <c r="P506" s="245" t="str">
        <v/>
      </c>
      <c r="Q506" s="254" t="str">
        <v/>
      </c>
      <c r="R506" s="255" t="str">
        <v/>
      </c>
      <c r="S506" s="256" t="str">
        <v/>
      </c>
      <c r="T506" s="257" t="str">
        <v/>
      </c>
      <c r="U506" s="255" t="str">
        <v/>
      </c>
      <c r="V506" s="256" t="str">
        <v/>
      </c>
      <c r="W506" s="257" t="str">
        <v/>
      </c>
      <c r="X506" s="255" t="str">
        <v/>
      </c>
      <c r="Y506" s="256" t="str">
        <v/>
      </c>
      <c r="Z506" s="257" t="str">
        <v/>
      </c>
      <c r="AA506" s="255" t="str">
        <v/>
      </c>
      <c r="AB506" s="256" t="str">
        <v/>
      </c>
      <c r="AC506" s="257" t="str">
        <v/>
      </c>
      <c r="AD506" s="255" t="str">
        <v/>
      </c>
      <c r="AE506" s="256" t="str">
        <v/>
      </c>
      <c r="AF506" s="257" t="str">
        <v/>
      </c>
      <c r="AG506" s="255" t="str">
        <v/>
      </c>
      <c r="AH506" s="256" t="str">
        <v/>
      </c>
      <c r="AI506" s="257" t="str">
        <v/>
      </c>
      <c r="AJ506" s="255" t="str">
        <v/>
      </c>
      <c r="AK506" s="256" t="str">
        <v/>
      </c>
      <c r="AL506" s="257" t="str">
        <v/>
      </c>
      <c r="AM506" s="255" t="str">
        <v/>
      </c>
      <c r="AN506" s="256" t="str">
        <v/>
      </c>
      <c r="AO506" s="257" t="str">
        <v/>
      </c>
      <c r="AP506" s="255" t="str">
        <v/>
      </c>
      <c r="AQ506" s="256" t="str">
        <v/>
      </c>
      <c r="AR506" s="257" t="str">
        <v/>
      </c>
      <c r="AS506" s="255" t="str">
        <v/>
      </c>
      <c r="AT506" s="256" t="str">
        <v/>
      </c>
      <c r="AU506" s="257" t="str">
        <v/>
      </c>
      <c r="AV506" s="255" t="str">
        <v/>
      </c>
      <c r="AW506" s="256" t="str">
        <v/>
      </c>
      <c r="AX506" s="257" t="str">
        <v/>
      </c>
      <c r="AY506" s="243">
        <v>0</v>
      </c>
      <c r="AZ506" s="244">
        <v>0</v>
      </c>
      <c r="BA506" s="244">
        <v>0</v>
      </c>
      <c r="BB506" s="244">
        <v>0</v>
      </c>
      <c r="BC506" s="244">
        <v>0</v>
      </c>
      <c r="BD506" s="244">
        <v>0</v>
      </c>
      <c r="BE506" s="244">
        <v>0</v>
      </c>
      <c r="BF506" s="244">
        <v>0</v>
      </c>
      <c r="BG506" s="244">
        <v>0</v>
      </c>
      <c r="BH506" s="245">
        <v>0</v>
      </c>
      <c r="BK506">
        <v>448</v>
      </c>
      <c r="BL506" s="281"/>
      <c r="BM506" s="281"/>
      <c r="BN506" s="282"/>
      <c r="BO506" s="282"/>
      <c r="BP506" s="282"/>
      <c r="BQ506" s="283"/>
      <c r="BR506" s="284"/>
      <c r="BS506" s="147"/>
      <c r="BT506" s="285"/>
      <c r="BU506" s="288"/>
      <c r="BV506" s="287"/>
      <c r="BW506" s="288"/>
      <c r="BX506" s="286"/>
      <c r="BY506" s="287"/>
      <c r="BZ506" s="288"/>
      <c r="CA506" s="286"/>
      <c r="CB506" s="286"/>
      <c r="CC506" s="287"/>
      <c r="CD506" s="286"/>
      <c r="CE506" s="286"/>
      <c r="CF506" s="286"/>
      <c r="CG506" s="287"/>
      <c r="CH506" s="288"/>
      <c r="CI506" s="286"/>
      <c r="CJ506" s="286"/>
      <c r="CK506" s="287"/>
      <c r="CL506" s="288"/>
      <c r="CM506" s="286"/>
      <c r="CN506" s="294"/>
      <c r="CO506" s="289"/>
      <c r="CP506" s="290"/>
      <c r="CQ506" s="289"/>
      <c r="CR506" s="290"/>
      <c r="CS506" s="284"/>
      <c r="CT506" s="147"/>
      <c r="CU506" s="291"/>
      <c r="CV506" s="292"/>
    </row>
    <row r="507" spans="2:100">
      <c r="B507">
        <v>449</v>
      </c>
      <c r="C507" s="243" t="str">
        <v/>
      </c>
      <c r="D507" s="592" t="str">
        <v/>
      </c>
      <c r="E507" s="245" t="str">
        <v/>
      </c>
      <c r="F507" s="243" t="str">
        <v/>
      </c>
      <c r="G507" s="245" t="str">
        <v/>
      </c>
      <c r="H507" s="243" t="str">
        <v/>
      </c>
      <c r="I507" s="245" t="str">
        <v/>
      </c>
      <c r="J507" s="242" t="str">
        <v/>
      </c>
      <c r="K507" s="242" t="str">
        <v/>
      </c>
      <c r="L507" s="242" t="str">
        <v/>
      </c>
      <c r="M507" s="243" t="str">
        <v/>
      </c>
      <c r="N507" s="592" t="str">
        <v/>
      </c>
      <c r="O507" s="245" t="str">
        <v/>
      </c>
      <c r="P507" s="245" t="str">
        <v/>
      </c>
      <c r="Q507" s="254" t="str">
        <v/>
      </c>
      <c r="R507" s="255" t="str">
        <v/>
      </c>
      <c r="S507" s="256" t="str">
        <v/>
      </c>
      <c r="T507" s="257" t="str">
        <v/>
      </c>
      <c r="U507" s="255" t="str">
        <v/>
      </c>
      <c r="V507" s="256" t="str">
        <v/>
      </c>
      <c r="W507" s="257" t="str">
        <v/>
      </c>
      <c r="X507" s="255" t="str">
        <v/>
      </c>
      <c r="Y507" s="256" t="str">
        <v/>
      </c>
      <c r="Z507" s="257" t="str">
        <v/>
      </c>
      <c r="AA507" s="255" t="str">
        <v/>
      </c>
      <c r="AB507" s="256" t="str">
        <v/>
      </c>
      <c r="AC507" s="257" t="str">
        <v/>
      </c>
      <c r="AD507" s="255" t="str">
        <v/>
      </c>
      <c r="AE507" s="256" t="str">
        <v/>
      </c>
      <c r="AF507" s="257" t="str">
        <v/>
      </c>
      <c r="AG507" s="255" t="str">
        <v/>
      </c>
      <c r="AH507" s="256" t="str">
        <v/>
      </c>
      <c r="AI507" s="257" t="str">
        <v/>
      </c>
      <c r="AJ507" s="255" t="str">
        <v/>
      </c>
      <c r="AK507" s="256" t="str">
        <v/>
      </c>
      <c r="AL507" s="257" t="str">
        <v/>
      </c>
      <c r="AM507" s="255" t="str">
        <v/>
      </c>
      <c r="AN507" s="256" t="str">
        <v/>
      </c>
      <c r="AO507" s="257" t="str">
        <v/>
      </c>
      <c r="AP507" s="255" t="str">
        <v/>
      </c>
      <c r="AQ507" s="256" t="str">
        <v/>
      </c>
      <c r="AR507" s="257" t="str">
        <v/>
      </c>
      <c r="AS507" s="255" t="str">
        <v/>
      </c>
      <c r="AT507" s="256" t="str">
        <v/>
      </c>
      <c r="AU507" s="257" t="str">
        <v/>
      </c>
      <c r="AV507" s="255" t="str">
        <v/>
      </c>
      <c r="AW507" s="256" t="str">
        <v/>
      </c>
      <c r="AX507" s="257" t="str">
        <v/>
      </c>
      <c r="AY507" s="243">
        <v>0</v>
      </c>
      <c r="AZ507" s="244">
        <v>0</v>
      </c>
      <c r="BA507" s="244">
        <v>0</v>
      </c>
      <c r="BB507" s="244">
        <v>0</v>
      </c>
      <c r="BC507" s="244">
        <v>0</v>
      </c>
      <c r="BD507" s="244">
        <v>0</v>
      </c>
      <c r="BE507" s="244">
        <v>0</v>
      </c>
      <c r="BF507" s="244">
        <v>0</v>
      </c>
      <c r="BG507" s="244">
        <v>0</v>
      </c>
      <c r="BH507" s="245">
        <v>0</v>
      </c>
      <c r="BK507">
        <v>449</v>
      </c>
      <c r="BL507" s="281"/>
      <c r="BM507" s="281"/>
      <c r="BN507" s="282"/>
      <c r="BO507" s="282"/>
      <c r="BP507" s="282"/>
      <c r="BQ507" s="283"/>
      <c r="BR507" s="284"/>
      <c r="BS507" s="147"/>
      <c r="BT507" s="285"/>
      <c r="BU507" s="288"/>
      <c r="BV507" s="287"/>
      <c r="BW507" s="288"/>
      <c r="BX507" s="286"/>
      <c r="BY507" s="287"/>
      <c r="BZ507" s="288"/>
      <c r="CA507" s="286"/>
      <c r="CB507" s="286"/>
      <c r="CC507" s="287"/>
      <c r="CD507" s="286"/>
      <c r="CE507" s="286"/>
      <c r="CF507" s="286"/>
      <c r="CG507" s="287"/>
      <c r="CH507" s="288"/>
      <c r="CI507" s="286"/>
      <c r="CJ507" s="286"/>
      <c r="CK507" s="287"/>
      <c r="CL507" s="288"/>
      <c r="CM507" s="286"/>
      <c r="CN507" s="294"/>
      <c r="CO507" s="289"/>
      <c r="CP507" s="290"/>
      <c r="CQ507" s="289"/>
      <c r="CR507" s="290"/>
      <c r="CS507" s="284"/>
      <c r="CT507" s="147"/>
      <c r="CU507" s="291"/>
      <c r="CV507" s="292"/>
    </row>
    <row r="508" spans="2:100">
      <c r="B508">
        <v>450</v>
      </c>
      <c r="C508" s="243" t="str">
        <v/>
      </c>
      <c r="D508" s="592" t="str">
        <v/>
      </c>
      <c r="E508" s="245" t="str">
        <v/>
      </c>
      <c r="F508" s="243" t="str">
        <v/>
      </c>
      <c r="G508" s="245" t="str">
        <v/>
      </c>
      <c r="H508" s="243" t="str">
        <v/>
      </c>
      <c r="I508" s="245" t="str">
        <v/>
      </c>
      <c r="J508" s="242" t="str">
        <v/>
      </c>
      <c r="K508" s="242" t="str">
        <v/>
      </c>
      <c r="L508" s="242" t="str">
        <v/>
      </c>
      <c r="M508" s="243" t="str">
        <v/>
      </c>
      <c r="N508" s="592" t="str">
        <v/>
      </c>
      <c r="O508" s="245" t="str">
        <v/>
      </c>
      <c r="P508" s="245" t="str">
        <v/>
      </c>
      <c r="Q508" s="254" t="str">
        <v/>
      </c>
      <c r="R508" s="255" t="str">
        <v/>
      </c>
      <c r="S508" s="256" t="str">
        <v/>
      </c>
      <c r="T508" s="257" t="str">
        <v/>
      </c>
      <c r="U508" s="255" t="str">
        <v/>
      </c>
      <c r="V508" s="256" t="str">
        <v/>
      </c>
      <c r="W508" s="257" t="str">
        <v/>
      </c>
      <c r="X508" s="255" t="str">
        <v/>
      </c>
      <c r="Y508" s="256" t="str">
        <v/>
      </c>
      <c r="Z508" s="257" t="str">
        <v/>
      </c>
      <c r="AA508" s="255" t="str">
        <v/>
      </c>
      <c r="AB508" s="256" t="str">
        <v/>
      </c>
      <c r="AC508" s="257" t="str">
        <v/>
      </c>
      <c r="AD508" s="255" t="str">
        <v/>
      </c>
      <c r="AE508" s="256" t="str">
        <v/>
      </c>
      <c r="AF508" s="257" t="str">
        <v/>
      </c>
      <c r="AG508" s="255" t="str">
        <v/>
      </c>
      <c r="AH508" s="256" t="str">
        <v/>
      </c>
      <c r="AI508" s="257" t="str">
        <v/>
      </c>
      <c r="AJ508" s="255" t="str">
        <v/>
      </c>
      <c r="AK508" s="256" t="str">
        <v/>
      </c>
      <c r="AL508" s="257" t="str">
        <v/>
      </c>
      <c r="AM508" s="255" t="str">
        <v/>
      </c>
      <c r="AN508" s="256" t="str">
        <v/>
      </c>
      <c r="AO508" s="257" t="str">
        <v/>
      </c>
      <c r="AP508" s="255" t="str">
        <v/>
      </c>
      <c r="AQ508" s="256" t="str">
        <v/>
      </c>
      <c r="AR508" s="257" t="str">
        <v/>
      </c>
      <c r="AS508" s="255" t="str">
        <v/>
      </c>
      <c r="AT508" s="256" t="str">
        <v/>
      </c>
      <c r="AU508" s="257" t="str">
        <v/>
      </c>
      <c r="AV508" s="255" t="str">
        <v/>
      </c>
      <c r="AW508" s="256" t="str">
        <v/>
      </c>
      <c r="AX508" s="257" t="str">
        <v/>
      </c>
      <c r="AY508" s="243">
        <v>0</v>
      </c>
      <c r="AZ508" s="244">
        <v>0</v>
      </c>
      <c r="BA508" s="244">
        <v>0</v>
      </c>
      <c r="BB508" s="244">
        <v>0</v>
      </c>
      <c r="BC508" s="244">
        <v>0</v>
      </c>
      <c r="BD508" s="244">
        <v>0</v>
      </c>
      <c r="BE508" s="244">
        <v>0</v>
      </c>
      <c r="BF508" s="244">
        <v>0</v>
      </c>
      <c r="BG508" s="244">
        <v>0</v>
      </c>
      <c r="BH508" s="245">
        <v>0</v>
      </c>
      <c r="BK508">
        <v>450</v>
      </c>
      <c r="BL508" s="281"/>
      <c r="BM508" s="281"/>
      <c r="BN508" s="282"/>
      <c r="BO508" s="282"/>
      <c r="BP508" s="282"/>
      <c r="BQ508" s="283"/>
      <c r="BR508" s="284"/>
      <c r="BS508" s="147"/>
      <c r="BT508" s="285"/>
      <c r="BU508" s="288"/>
      <c r="BV508" s="287"/>
      <c r="BW508" s="288"/>
      <c r="BX508" s="286"/>
      <c r="BY508" s="287"/>
      <c r="BZ508" s="288"/>
      <c r="CA508" s="286"/>
      <c r="CB508" s="286"/>
      <c r="CC508" s="287"/>
      <c r="CD508" s="286"/>
      <c r="CE508" s="286"/>
      <c r="CF508" s="286"/>
      <c r="CG508" s="287"/>
      <c r="CH508" s="288"/>
      <c r="CI508" s="286"/>
      <c r="CJ508" s="286"/>
      <c r="CK508" s="287"/>
      <c r="CL508" s="288"/>
      <c r="CM508" s="286"/>
      <c r="CN508" s="294"/>
      <c r="CO508" s="289"/>
      <c r="CP508" s="290"/>
      <c r="CQ508" s="289"/>
      <c r="CR508" s="290"/>
      <c r="CS508" s="284"/>
      <c r="CT508" s="147"/>
      <c r="CU508" s="291"/>
      <c r="CV508" s="292"/>
    </row>
    <row r="509" spans="2:100">
      <c r="B509">
        <v>451</v>
      </c>
      <c r="C509" s="243" t="str">
        <v/>
      </c>
      <c r="D509" s="592" t="str">
        <v/>
      </c>
      <c r="E509" s="245" t="str">
        <v/>
      </c>
      <c r="F509" s="243" t="str">
        <v/>
      </c>
      <c r="G509" s="245" t="str">
        <v/>
      </c>
      <c r="H509" s="243" t="str">
        <v/>
      </c>
      <c r="I509" s="245" t="str">
        <v/>
      </c>
      <c r="J509" s="242" t="str">
        <v/>
      </c>
      <c r="K509" s="242" t="str">
        <v/>
      </c>
      <c r="L509" s="242" t="str">
        <v/>
      </c>
      <c r="M509" s="243" t="str">
        <v/>
      </c>
      <c r="N509" s="592" t="str">
        <v/>
      </c>
      <c r="O509" s="245" t="str">
        <v/>
      </c>
      <c r="P509" s="245" t="str">
        <v/>
      </c>
      <c r="Q509" s="254" t="str">
        <v/>
      </c>
      <c r="R509" s="255" t="str">
        <v/>
      </c>
      <c r="S509" s="256" t="str">
        <v/>
      </c>
      <c r="T509" s="257" t="str">
        <v/>
      </c>
      <c r="U509" s="255" t="str">
        <v/>
      </c>
      <c r="V509" s="256" t="str">
        <v/>
      </c>
      <c r="W509" s="257" t="str">
        <v/>
      </c>
      <c r="X509" s="255" t="str">
        <v/>
      </c>
      <c r="Y509" s="256" t="str">
        <v/>
      </c>
      <c r="Z509" s="257" t="str">
        <v/>
      </c>
      <c r="AA509" s="255" t="str">
        <v/>
      </c>
      <c r="AB509" s="256" t="str">
        <v/>
      </c>
      <c r="AC509" s="257" t="str">
        <v/>
      </c>
      <c r="AD509" s="255" t="str">
        <v/>
      </c>
      <c r="AE509" s="256" t="str">
        <v/>
      </c>
      <c r="AF509" s="257" t="str">
        <v/>
      </c>
      <c r="AG509" s="255" t="str">
        <v/>
      </c>
      <c r="AH509" s="256" t="str">
        <v/>
      </c>
      <c r="AI509" s="257" t="str">
        <v/>
      </c>
      <c r="AJ509" s="255" t="str">
        <v/>
      </c>
      <c r="AK509" s="256" t="str">
        <v/>
      </c>
      <c r="AL509" s="257" t="str">
        <v/>
      </c>
      <c r="AM509" s="255" t="str">
        <v/>
      </c>
      <c r="AN509" s="256" t="str">
        <v/>
      </c>
      <c r="AO509" s="257" t="str">
        <v/>
      </c>
      <c r="AP509" s="255" t="str">
        <v/>
      </c>
      <c r="AQ509" s="256" t="str">
        <v/>
      </c>
      <c r="AR509" s="257" t="str">
        <v/>
      </c>
      <c r="AS509" s="255" t="str">
        <v/>
      </c>
      <c r="AT509" s="256" t="str">
        <v/>
      </c>
      <c r="AU509" s="257" t="str">
        <v/>
      </c>
      <c r="AV509" s="255" t="str">
        <v/>
      </c>
      <c r="AW509" s="256" t="str">
        <v/>
      </c>
      <c r="AX509" s="257" t="str">
        <v/>
      </c>
      <c r="AY509" s="243">
        <v>0</v>
      </c>
      <c r="AZ509" s="244">
        <v>0</v>
      </c>
      <c r="BA509" s="244">
        <v>0</v>
      </c>
      <c r="BB509" s="244">
        <v>0</v>
      </c>
      <c r="BC509" s="244">
        <v>0</v>
      </c>
      <c r="BD509" s="244">
        <v>0</v>
      </c>
      <c r="BE509" s="244">
        <v>0</v>
      </c>
      <c r="BF509" s="244">
        <v>0</v>
      </c>
      <c r="BG509" s="244">
        <v>0</v>
      </c>
      <c r="BH509" s="245">
        <v>0</v>
      </c>
      <c r="BK509">
        <v>451</v>
      </c>
      <c r="BL509" s="281"/>
      <c r="BM509" s="281"/>
      <c r="BN509" s="282"/>
      <c r="BO509" s="282"/>
      <c r="BP509" s="282"/>
      <c r="BQ509" s="283"/>
      <c r="BR509" s="284"/>
      <c r="BS509" s="147"/>
      <c r="BT509" s="285"/>
      <c r="BU509" s="288"/>
      <c r="BV509" s="287"/>
      <c r="BW509" s="288"/>
      <c r="BX509" s="286"/>
      <c r="BY509" s="287"/>
      <c r="BZ509" s="288"/>
      <c r="CA509" s="286"/>
      <c r="CB509" s="286"/>
      <c r="CC509" s="287"/>
      <c r="CD509" s="286"/>
      <c r="CE509" s="286"/>
      <c r="CF509" s="286"/>
      <c r="CG509" s="287"/>
      <c r="CH509" s="288"/>
      <c r="CI509" s="286"/>
      <c r="CJ509" s="286"/>
      <c r="CK509" s="287"/>
      <c r="CL509" s="288"/>
      <c r="CM509" s="286"/>
      <c r="CN509" s="294"/>
      <c r="CO509" s="289"/>
      <c r="CP509" s="290"/>
      <c r="CQ509" s="289"/>
      <c r="CR509" s="290"/>
      <c r="CS509" s="284"/>
      <c r="CT509" s="147"/>
      <c r="CU509" s="291"/>
      <c r="CV509" s="292"/>
    </row>
    <row r="510" spans="2:100">
      <c r="B510">
        <v>452</v>
      </c>
      <c r="C510" s="243" t="str">
        <v/>
      </c>
      <c r="D510" s="592" t="str">
        <v/>
      </c>
      <c r="E510" s="245" t="str">
        <v/>
      </c>
      <c r="F510" s="243" t="str">
        <v/>
      </c>
      <c r="G510" s="245" t="str">
        <v/>
      </c>
      <c r="H510" s="243" t="str">
        <v/>
      </c>
      <c r="I510" s="245" t="str">
        <v/>
      </c>
      <c r="J510" s="242" t="str">
        <v/>
      </c>
      <c r="K510" s="242" t="str">
        <v/>
      </c>
      <c r="L510" s="242" t="str">
        <v/>
      </c>
      <c r="M510" s="243" t="str">
        <v/>
      </c>
      <c r="N510" s="592" t="str">
        <v/>
      </c>
      <c r="O510" s="245" t="str">
        <v/>
      </c>
      <c r="P510" s="245" t="str">
        <v/>
      </c>
      <c r="Q510" s="254" t="str">
        <v/>
      </c>
      <c r="R510" s="255" t="str">
        <v/>
      </c>
      <c r="S510" s="256" t="str">
        <v/>
      </c>
      <c r="T510" s="257" t="str">
        <v/>
      </c>
      <c r="U510" s="255" t="str">
        <v/>
      </c>
      <c r="V510" s="256" t="str">
        <v/>
      </c>
      <c r="W510" s="257" t="str">
        <v/>
      </c>
      <c r="X510" s="255" t="str">
        <v/>
      </c>
      <c r="Y510" s="256" t="str">
        <v/>
      </c>
      <c r="Z510" s="257" t="str">
        <v/>
      </c>
      <c r="AA510" s="255" t="str">
        <v/>
      </c>
      <c r="AB510" s="256" t="str">
        <v/>
      </c>
      <c r="AC510" s="257" t="str">
        <v/>
      </c>
      <c r="AD510" s="255" t="str">
        <v/>
      </c>
      <c r="AE510" s="256" t="str">
        <v/>
      </c>
      <c r="AF510" s="257" t="str">
        <v/>
      </c>
      <c r="AG510" s="255" t="str">
        <v/>
      </c>
      <c r="AH510" s="256" t="str">
        <v/>
      </c>
      <c r="AI510" s="257" t="str">
        <v/>
      </c>
      <c r="AJ510" s="255" t="str">
        <v/>
      </c>
      <c r="AK510" s="256" t="str">
        <v/>
      </c>
      <c r="AL510" s="257" t="str">
        <v/>
      </c>
      <c r="AM510" s="255" t="str">
        <v/>
      </c>
      <c r="AN510" s="256" t="str">
        <v/>
      </c>
      <c r="AO510" s="257" t="str">
        <v/>
      </c>
      <c r="AP510" s="255" t="str">
        <v/>
      </c>
      <c r="AQ510" s="256" t="str">
        <v/>
      </c>
      <c r="AR510" s="257" t="str">
        <v/>
      </c>
      <c r="AS510" s="255" t="str">
        <v/>
      </c>
      <c r="AT510" s="256" t="str">
        <v/>
      </c>
      <c r="AU510" s="257" t="str">
        <v/>
      </c>
      <c r="AV510" s="255" t="str">
        <v/>
      </c>
      <c r="AW510" s="256" t="str">
        <v/>
      </c>
      <c r="AX510" s="257" t="str">
        <v/>
      </c>
      <c r="AY510" s="243">
        <v>0</v>
      </c>
      <c r="AZ510" s="244">
        <v>0</v>
      </c>
      <c r="BA510" s="244">
        <v>0</v>
      </c>
      <c r="BB510" s="244">
        <v>0</v>
      </c>
      <c r="BC510" s="244">
        <v>0</v>
      </c>
      <c r="BD510" s="244">
        <v>0</v>
      </c>
      <c r="BE510" s="244">
        <v>0</v>
      </c>
      <c r="BF510" s="244">
        <v>0</v>
      </c>
      <c r="BG510" s="244">
        <v>0</v>
      </c>
      <c r="BH510" s="245">
        <v>0</v>
      </c>
      <c r="BK510">
        <v>452</v>
      </c>
      <c r="BL510" s="281"/>
      <c r="BM510" s="281"/>
      <c r="BN510" s="282"/>
      <c r="BO510" s="282"/>
      <c r="BP510" s="282"/>
      <c r="BQ510" s="283"/>
      <c r="BR510" s="284"/>
      <c r="BS510" s="147"/>
      <c r="BT510" s="285"/>
      <c r="BU510" s="288"/>
      <c r="BV510" s="287"/>
      <c r="BW510" s="288"/>
      <c r="BX510" s="286"/>
      <c r="BY510" s="287"/>
      <c r="BZ510" s="288"/>
      <c r="CA510" s="286"/>
      <c r="CB510" s="286"/>
      <c r="CC510" s="287"/>
      <c r="CD510" s="286"/>
      <c r="CE510" s="286"/>
      <c r="CF510" s="286"/>
      <c r="CG510" s="287"/>
      <c r="CH510" s="288"/>
      <c r="CI510" s="286"/>
      <c r="CJ510" s="286"/>
      <c r="CK510" s="287"/>
      <c r="CL510" s="288"/>
      <c r="CM510" s="286"/>
      <c r="CN510" s="294"/>
      <c r="CO510" s="289"/>
      <c r="CP510" s="290"/>
      <c r="CQ510" s="289"/>
      <c r="CR510" s="290"/>
      <c r="CS510" s="284"/>
      <c r="CT510" s="147"/>
      <c r="CU510" s="291"/>
      <c r="CV510" s="292"/>
    </row>
    <row r="511" spans="2:100">
      <c r="B511">
        <v>453</v>
      </c>
      <c r="C511" s="243" t="str">
        <v/>
      </c>
      <c r="D511" s="592" t="str">
        <v/>
      </c>
      <c r="E511" s="245" t="str">
        <v/>
      </c>
      <c r="F511" s="243" t="str">
        <v/>
      </c>
      <c r="G511" s="245" t="str">
        <v/>
      </c>
      <c r="H511" s="243" t="str">
        <v/>
      </c>
      <c r="I511" s="245" t="str">
        <v/>
      </c>
      <c r="J511" s="242" t="str">
        <v/>
      </c>
      <c r="K511" s="242" t="str">
        <v/>
      </c>
      <c r="L511" s="242" t="str">
        <v/>
      </c>
      <c r="M511" s="243" t="str">
        <v/>
      </c>
      <c r="N511" s="592" t="str">
        <v/>
      </c>
      <c r="O511" s="245" t="str">
        <v/>
      </c>
      <c r="P511" s="245" t="str">
        <v/>
      </c>
      <c r="Q511" s="254" t="str">
        <v/>
      </c>
      <c r="R511" s="255" t="str">
        <v/>
      </c>
      <c r="S511" s="256" t="str">
        <v/>
      </c>
      <c r="T511" s="257" t="str">
        <v/>
      </c>
      <c r="U511" s="255" t="str">
        <v/>
      </c>
      <c r="V511" s="256" t="str">
        <v/>
      </c>
      <c r="W511" s="257" t="str">
        <v/>
      </c>
      <c r="X511" s="255" t="str">
        <v/>
      </c>
      <c r="Y511" s="256" t="str">
        <v/>
      </c>
      <c r="Z511" s="257" t="str">
        <v/>
      </c>
      <c r="AA511" s="255" t="str">
        <v/>
      </c>
      <c r="AB511" s="256" t="str">
        <v/>
      </c>
      <c r="AC511" s="257" t="str">
        <v/>
      </c>
      <c r="AD511" s="255" t="str">
        <v/>
      </c>
      <c r="AE511" s="256" t="str">
        <v/>
      </c>
      <c r="AF511" s="257" t="str">
        <v/>
      </c>
      <c r="AG511" s="255" t="str">
        <v/>
      </c>
      <c r="AH511" s="256" t="str">
        <v/>
      </c>
      <c r="AI511" s="257" t="str">
        <v/>
      </c>
      <c r="AJ511" s="255" t="str">
        <v/>
      </c>
      <c r="AK511" s="256" t="str">
        <v/>
      </c>
      <c r="AL511" s="257" t="str">
        <v/>
      </c>
      <c r="AM511" s="255" t="str">
        <v/>
      </c>
      <c r="AN511" s="256" t="str">
        <v/>
      </c>
      <c r="AO511" s="257" t="str">
        <v/>
      </c>
      <c r="AP511" s="255" t="str">
        <v/>
      </c>
      <c r="AQ511" s="256" t="str">
        <v/>
      </c>
      <c r="AR511" s="257" t="str">
        <v/>
      </c>
      <c r="AS511" s="255" t="str">
        <v/>
      </c>
      <c r="AT511" s="256" t="str">
        <v/>
      </c>
      <c r="AU511" s="257" t="str">
        <v/>
      </c>
      <c r="AV511" s="255" t="str">
        <v/>
      </c>
      <c r="AW511" s="256" t="str">
        <v/>
      </c>
      <c r="AX511" s="257" t="str">
        <v/>
      </c>
      <c r="AY511" s="243">
        <v>0</v>
      </c>
      <c r="AZ511" s="244">
        <v>0</v>
      </c>
      <c r="BA511" s="244">
        <v>0</v>
      </c>
      <c r="BB511" s="244">
        <v>0</v>
      </c>
      <c r="BC511" s="244">
        <v>0</v>
      </c>
      <c r="BD511" s="244">
        <v>0</v>
      </c>
      <c r="BE511" s="244">
        <v>0</v>
      </c>
      <c r="BF511" s="244">
        <v>0</v>
      </c>
      <c r="BG511" s="244">
        <v>0</v>
      </c>
      <c r="BH511" s="245">
        <v>0</v>
      </c>
      <c r="BK511">
        <v>453</v>
      </c>
      <c r="BL511" s="281"/>
      <c r="BM511" s="281"/>
      <c r="BN511" s="282"/>
      <c r="BO511" s="282"/>
      <c r="BP511" s="282"/>
      <c r="BQ511" s="283"/>
      <c r="BR511" s="284"/>
      <c r="BS511" s="147"/>
      <c r="BT511" s="285"/>
      <c r="BU511" s="288"/>
      <c r="BV511" s="287"/>
      <c r="BW511" s="288"/>
      <c r="BX511" s="286"/>
      <c r="BY511" s="287"/>
      <c r="BZ511" s="288"/>
      <c r="CA511" s="286"/>
      <c r="CB511" s="286"/>
      <c r="CC511" s="287"/>
      <c r="CD511" s="286"/>
      <c r="CE511" s="286"/>
      <c r="CF511" s="286"/>
      <c r="CG511" s="287"/>
      <c r="CH511" s="288"/>
      <c r="CI511" s="286"/>
      <c r="CJ511" s="286"/>
      <c r="CK511" s="287"/>
      <c r="CL511" s="288"/>
      <c r="CM511" s="286"/>
      <c r="CN511" s="294"/>
      <c r="CO511" s="289"/>
      <c r="CP511" s="290"/>
      <c r="CQ511" s="289"/>
      <c r="CR511" s="290"/>
      <c r="CS511" s="284"/>
      <c r="CT511" s="147"/>
      <c r="CU511" s="291"/>
      <c r="CV511" s="292"/>
    </row>
    <row r="512" spans="2:100">
      <c r="B512">
        <v>454</v>
      </c>
      <c r="C512" s="243" t="str">
        <v/>
      </c>
      <c r="D512" s="592" t="str">
        <v/>
      </c>
      <c r="E512" s="245" t="str">
        <v/>
      </c>
      <c r="F512" s="243" t="str">
        <v/>
      </c>
      <c r="G512" s="245" t="str">
        <v/>
      </c>
      <c r="H512" s="243" t="str">
        <v/>
      </c>
      <c r="I512" s="245" t="str">
        <v/>
      </c>
      <c r="J512" s="242" t="str">
        <v/>
      </c>
      <c r="K512" s="242" t="str">
        <v/>
      </c>
      <c r="L512" s="242" t="str">
        <v/>
      </c>
      <c r="M512" s="243" t="str">
        <v/>
      </c>
      <c r="N512" s="592" t="str">
        <v/>
      </c>
      <c r="O512" s="245" t="str">
        <v/>
      </c>
      <c r="P512" s="245" t="str">
        <v/>
      </c>
      <c r="Q512" s="254" t="str">
        <v/>
      </c>
      <c r="R512" s="255" t="str">
        <v/>
      </c>
      <c r="S512" s="256" t="str">
        <v/>
      </c>
      <c r="T512" s="257" t="str">
        <v/>
      </c>
      <c r="U512" s="255" t="str">
        <v/>
      </c>
      <c r="V512" s="256" t="str">
        <v/>
      </c>
      <c r="W512" s="257" t="str">
        <v/>
      </c>
      <c r="X512" s="255" t="str">
        <v/>
      </c>
      <c r="Y512" s="256" t="str">
        <v/>
      </c>
      <c r="Z512" s="257" t="str">
        <v/>
      </c>
      <c r="AA512" s="255" t="str">
        <v/>
      </c>
      <c r="AB512" s="256" t="str">
        <v/>
      </c>
      <c r="AC512" s="257" t="str">
        <v/>
      </c>
      <c r="AD512" s="255" t="str">
        <v/>
      </c>
      <c r="AE512" s="256" t="str">
        <v/>
      </c>
      <c r="AF512" s="257" t="str">
        <v/>
      </c>
      <c r="AG512" s="255" t="str">
        <v/>
      </c>
      <c r="AH512" s="256" t="str">
        <v/>
      </c>
      <c r="AI512" s="257" t="str">
        <v/>
      </c>
      <c r="AJ512" s="255" t="str">
        <v/>
      </c>
      <c r="AK512" s="256" t="str">
        <v/>
      </c>
      <c r="AL512" s="257" t="str">
        <v/>
      </c>
      <c r="AM512" s="255" t="str">
        <v/>
      </c>
      <c r="AN512" s="256" t="str">
        <v/>
      </c>
      <c r="AO512" s="257" t="str">
        <v/>
      </c>
      <c r="AP512" s="255" t="str">
        <v/>
      </c>
      <c r="AQ512" s="256" t="str">
        <v/>
      </c>
      <c r="AR512" s="257" t="str">
        <v/>
      </c>
      <c r="AS512" s="255" t="str">
        <v/>
      </c>
      <c r="AT512" s="256" t="str">
        <v/>
      </c>
      <c r="AU512" s="257" t="str">
        <v/>
      </c>
      <c r="AV512" s="255" t="str">
        <v/>
      </c>
      <c r="AW512" s="256" t="str">
        <v/>
      </c>
      <c r="AX512" s="257" t="str">
        <v/>
      </c>
      <c r="AY512" s="243">
        <v>0</v>
      </c>
      <c r="AZ512" s="244">
        <v>0</v>
      </c>
      <c r="BA512" s="244">
        <v>0</v>
      </c>
      <c r="BB512" s="244">
        <v>0</v>
      </c>
      <c r="BC512" s="244">
        <v>0</v>
      </c>
      <c r="BD512" s="244">
        <v>0</v>
      </c>
      <c r="BE512" s="244">
        <v>0</v>
      </c>
      <c r="BF512" s="244">
        <v>0</v>
      </c>
      <c r="BG512" s="244">
        <v>0</v>
      </c>
      <c r="BH512" s="245">
        <v>0</v>
      </c>
      <c r="BK512">
        <v>454</v>
      </c>
      <c r="BL512" s="281"/>
      <c r="BM512" s="281"/>
      <c r="BN512" s="282"/>
      <c r="BO512" s="282"/>
      <c r="BP512" s="282"/>
      <c r="BQ512" s="283"/>
      <c r="BR512" s="284"/>
      <c r="BS512" s="147"/>
      <c r="BT512" s="285"/>
      <c r="BU512" s="288"/>
      <c r="BV512" s="287"/>
      <c r="BW512" s="288"/>
      <c r="BX512" s="286"/>
      <c r="BY512" s="287"/>
      <c r="BZ512" s="288"/>
      <c r="CA512" s="286"/>
      <c r="CB512" s="286"/>
      <c r="CC512" s="287"/>
      <c r="CD512" s="286"/>
      <c r="CE512" s="286"/>
      <c r="CF512" s="286"/>
      <c r="CG512" s="287"/>
      <c r="CH512" s="288"/>
      <c r="CI512" s="286"/>
      <c r="CJ512" s="286"/>
      <c r="CK512" s="287"/>
      <c r="CL512" s="288"/>
      <c r="CM512" s="286"/>
      <c r="CN512" s="294"/>
      <c r="CO512" s="289"/>
      <c r="CP512" s="290"/>
      <c r="CQ512" s="289"/>
      <c r="CR512" s="290"/>
      <c r="CS512" s="284"/>
      <c r="CT512" s="147"/>
      <c r="CU512" s="291"/>
      <c r="CV512" s="292"/>
    </row>
    <row r="513" spans="2:100">
      <c r="B513">
        <v>455</v>
      </c>
      <c r="C513" s="243" t="str">
        <v/>
      </c>
      <c r="D513" s="592" t="str">
        <v/>
      </c>
      <c r="E513" s="245" t="str">
        <v/>
      </c>
      <c r="F513" s="243" t="str">
        <v/>
      </c>
      <c r="G513" s="245" t="str">
        <v/>
      </c>
      <c r="H513" s="243" t="str">
        <v/>
      </c>
      <c r="I513" s="245" t="str">
        <v/>
      </c>
      <c r="J513" s="242" t="str">
        <v/>
      </c>
      <c r="K513" s="242" t="str">
        <v/>
      </c>
      <c r="L513" s="242" t="str">
        <v/>
      </c>
      <c r="M513" s="243" t="str">
        <v/>
      </c>
      <c r="N513" s="592" t="str">
        <v/>
      </c>
      <c r="O513" s="245" t="str">
        <v/>
      </c>
      <c r="P513" s="245" t="str">
        <v/>
      </c>
      <c r="Q513" s="254" t="str">
        <v/>
      </c>
      <c r="R513" s="255" t="str">
        <v/>
      </c>
      <c r="S513" s="256" t="str">
        <v/>
      </c>
      <c r="T513" s="257" t="str">
        <v/>
      </c>
      <c r="U513" s="255" t="str">
        <v/>
      </c>
      <c r="V513" s="256" t="str">
        <v/>
      </c>
      <c r="W513" s="257" t="str">
        <v/>
      </c>
      <c r="X513" s="255" t="str">
        <v/>
      </c>
      <c r="Y513" s="256" t="str">
        <v/>
      </c>
      <c r="Z513" s="257" t="str">
        <v/>
      </c>
      <c r="AA513" s="255" t="str">
        <v/>
      </c>
      <c r="AB513" s="256" t="str">
        <v/>
      </c>
      <c r="AC513" s="257" t="str">
        <v/>
      </c>
      <c r="AD513" s="255" t="str">
        <v/>
      </c>
      <c r="AE513" s="256" t="str">
        <v/>
      </c>
      <c r="AF513" s="257" t="str">
        <v/>
      </c>
      <c r="AG513" s="255" t="str">
        <v/>
      </c>
      <c r="AH513" s="256" t="str">
        <v/>
      </c>
      <c r="AI513" s="257" t="str">
        <v/>
      </c>
      <c r="AJ513" s="255" t="str">
        <v/>
      </c>
      <c r="AK513" s="256" t="str">
        <v/>
      </c>
      <c r="AL513" s="257" t="str">
        <v/>
      </c>
      <c r="AM513" s="255" t="str">
        <v/>
      </c>
      <c r="AN513" s="256" t="str">
        <v/>
      </c>
      <c r="AO513" s="257" t="str">
        <v/>
      </c>
      <c r="AP513" s="255" t="str">
        <v/>
      </c>
      <c r="AQ513" s="256" t="str">
        <v/>
      </c>
      <c r="AR513" s="257" t="str">
        <v/>
      </c>
      <c r="AS513" s="255" t="str">
        <v/>
      </c>
      <c r="AT513" s="256" t="str">
        <v/>
      </c>
      <c r="AU513" s="257" t="str">
        <v/>
      </c>
      <c r="AV513" s="255" t="str">
        <v/>
      </c>
      <c r="AW513" s="256" t="str">
        <v/>
      </c>
      <c r="AX513" s="257" t="str">
        <v/>
      </c>
      <c r="AY513" s="243">
        <v>0</v>
      </c>
      <c r="AZ513" s="244">
        <v>0</v>
      </c>
      <c r="BA513" s="244">
        <v>0</v>
      </c>
      <c r="BB513" s="244">
        <v>0</v>
      </c>
      <c r="BC513" s="244">
        <v>0</v>
      </c>
      <c r="BD513" s="244">
        <v>0</v>
      </c>
      <c r="BE513" s="244">
        <v>0</v>
      </c>
      <c r="BF513" s="244">
        <v>0</v>
      </c>
      <c r="BG513" s="244">
        <v>0</v>
      </c>
      <c r="BH513" s="245">
        <v>0</v>
      </c>
      <c r="BK513">
        <v>455</v>
      </c>
      <c r="BL513" s="281"/>
      <c r="BM513" s="281"/>
      <c r="BN513" s="282"/>
      <c r="BO513" s="282"/>
      <c r="BP513" s="282"/>
      <c r="BQ513" s="283"/>
      <c r="BR513" s="284"/>
      <c r="BS513" s="147"/>
      <c r="BT513" s="285"/>
      <c r="BU513" s="288"/>
      <c r="BV513" s="287"/>
      <c r="BW513" s="288"/>
      <c r="BX513" s="286"/>
      <c r="BY513" s="287"/>
      <c r="BZ513" s="288"/>
      <c r="CA513" s="286"/>
      <c r="CB513" s="286"/>
      <c r="CC513" s="287"/>
      <c r="CD513" s="286"/>
      <c r="CE513" s="286"/>
      <c r="CF513" s="286"/>
      <c r="CG513" s="287"/>
      <c r="CH513" s="288"/>
      <c r="CI513" s="286"/>
      <c r="CJ513" s="286"/>
      <c r="CK513" s="287"/>
      <c r="CL513" s="288"/>
      <c r="CM513" s="286"/>
      <c r="CN513" s="294"/>
      <c r="CO513" s="289"/>
      <c r="CP513" s="290"/>
      <c r="CQ513" s="289"/>
      <c r="CR513" s="290"/>
      <c r="CS513" s="284"/>
      <c r="CT513" s="147"/>
      <c r="CU513" s="291"/>
      <c r="CV513" s="292"/>
    </row>
    <row r="514" spans="2:100">
      <c r="B514">
        <v>456</v>
      </c>
      <c r="C514" s="243" t="str">
        <v/>
      </c>
      <c r="D514" s="592" t="str">
        <v/>
      </c>
      <c r="E514" s="245" t="str">
        <v/>
      </c>
      <c r="F514" s="243" t="str">
        <v/>
      </c>
      <c r="G514" s="245" t="str">
        <v/>
      </c>
      <c r="H514" s="243" t="str">
        <v/>
      </c>
      <c r="I514" s="245" t="str">
        <v/>
      </c>
      <c r="J514" s="242" t="str">
        <v/>
      </c>
      <c r="K514" s="242" t="str">
        <v/>
      </c>
      <c r="L514" s="242" t="str">
        <v/>
      </c>
      <c r="M514" s="243" t="str">
        <v/>
      </c>
      <c r="N514" s="592" t="str">
        <v/>
      </c>
      <c r="O514" s="245" t="str">
        <v/>
      </c>
      <c r="P514" s="245" t="str">
        <v/>
      </c>
      <c r="Q514" s="254" t="str">
        <v/>
      </c>
      <c r="R514" s="255" t="str">
        <v/>
      </c>
      <c r="S514" s="256" t="str">
        <v/>
      </c>
      <c r="T514" s="257" t="str">
        <v/>
      </c>
      <c r="U514" s="255" t="str">
        <v/>
      </c>
      <c r="V514" s="256" t="str">
        <v/>
      </c>
      <c r="W514" s="257" t="str">
        <v/>
      </c>
      <c r="X514" s="255" t="str">
        <v/>
      </c>
      <c r="Y514" s="256" t="str">
        <v/>
      </c>
      <c r="Z514" s="257" t="str">
        <v/>
      </c>
      <c r="AA514" s="255" t="str">
        <v/>
      </c>
      <c r="AB514" s="256" t="str">
        <v/>
      </c>
      <c r="AC514" s="257" t="str">
        <v/>
      </c>
      <c r="AD514" s="255" t="str">
        <v/>
      </c>
      <c r="AE514" s="256" t="str">
        <v/>
      </c>
      <c r="AF514" s="257" t="str">
        <v/>
      </c>
      <c r="AG514" s="255" t="str">
        <v/>
      </c>
      <c r="AH514" s="256" t="str">
        <v/>
      </c>
      <c r="AI514" s="257" t="str">
        <v/>
      </c>
      <c r="AJ514" s="255" t="str">
        <v/>
      </c>
      <c r="AK514" s="256" t="str">
        <v/>
      </c>
      <c r="AL514" s="257" t="str">
        <v/>
      </c>
      <c r="AM514" s="255" t="str">
        <v/>
      </c>
      <c r="AN514" s="256" t="str">
        <v/>
      </c>
      <c r="AO514" s="257" t="str">
        <v/>
      </c>
      <c r="AP514" s="255" t="str">
        <v/>
      </c>
      <c r="AQ514" s="256" t="str">
        <v/>
      </c>
      <c r="AR514" s="257" t="str">
        <v/>
      </c>
      <c r="AS514" s="255" t="str">
        <v/>
      </c>
      <c r="AT514" s="256" t="str">
        <v/>
      </c>
      <c r="AU514" s="257" t="str">
        <v/>
      </c>
      <c r="AV514" s="255" t="str">
        <v/>
      </c>
      <c r="AW514" s="256" t="str">
        <v/>
      </c>
      <c r="AX514" s="257" t="str">
        <v/>
      </c>
      <c r="AY514" s="243">
        <v>0</v>
      </c>
      <c r="AZ514" s="244">
        <v>0</v>
      </c>
      <c r="BA514" s="244">
        <v>0</v>
      </c>
      <c r="BB514" s="244">
        <v>0</v>
      </c>
      <c r="BC514" s="244">
        <v>0</v>
      </c>
      <c r="BD514" s="244">
        <v>0</v>
      </c>
      <c r="BE514" s="244">
        <v>0</v>
      </c>
      <c r="BF514" s="244">
        <v>0</v>
      </c>
      <c r="BG514" s="244">
        <v>0</v>
      </c>
      <c r="BH514" s="245">
        <v>0</v>
      </c>
      <c r="BK514">
        <v>456</v>
      </c>
      <c r="BL514" s="281"/>
      <c r="BM514" s="281"/>
      <c r="BN514" s="282"/>
      <c r="BO514" s="282"/>
      <c r="BP514" s="282"/>
      <c r="BQ514" s="283"/>
      <c r="BR514" s="284"/>
      <c r="BS514" s="147"/>
      <c r="BT514" s="285"/>
      <c r="BU514" s="288"/>
      <c r="BV514" s="287"/>
      <c r="BW514" s="288"/>
      <c r="BX514" s="286"/>
      <c r="BY514" s="287"/>
      <c r="BZ514" s="288"/>
      <c r="CA514" s="286"/>
      <c r="CB514" s="286"/>
      <c r="CC514" s="287"/>
      <c r="CD514" s="286"/>
      <c r="CE514" s="286"/>
      <c r="CF514" s="286"/>
      <c r="CG514" s="287"/>
      <c r="CH514" s="288"/>
      <c r="CI514" s="286"/>
      <c r="CJ514" s="286"/>
      <c r="CK514" s="287"/>
      <c r="CL514" s="288"/>
      <c r="CM514" s="286"/>
      <c r="CN514" s="294"/>
      <c r="CO514" s="289"/>
      <c r="CP514" s="290"/>
      <c r="CQ514" s="289"/>
      <c r="CR514" s="290"/>
      <c r="CS514" s="284"/>
      <c r="CT514" s="147"/>
      <c r="CU514" s="291"/>
      <c r="CV514" s="292"/>
    </row>
    <row r="515" spans="2:100">
      <c r="B515">
        <v>457</v>
      </c>
      <c r="C515" s="243" t="str">
        <v/>
      </c>
      <c r="D515" s="592" t="str">
        <v/>
      </c>
      <c r="E515" s="245" t="str">
        <v/>
      </c>
      <c r="F515" s="243" t="str">
        <v/>
      </c>
      <c r="G515" s="245" t="str">
        <v/>
      </c>
      <c r="H515" s="243" t="str">
        <v/>
      </c>
      <c r="I515" s="245" t="str">
        <v/>
      </c>
      <c r="J515" s="242" t="str">
        <v/>
      </c>
      <c r="K515" s="242" t="str">
        <v/>
      </c>
      <c r="L515" s="242" t="str">
        <v/>
      </c>
      <c r="M515" s="243" t="str">
        <v/>
      </c>
      <c r="N515" s="592" t="str">
        <v/>
      </c>
      <c r="O515" s="245" t="str">
        <v/>
      </c>
      <c r="P515" s="245" t="str">
        <v/>
      </c>
      <c r="Q515" s="254" t="str">
        <v/>
      </c>
      <c r="R515" s="255" t="str">
        <v/>
      </c>
      <c r="S515" s="256" t="str">
        <v/>
      </c>
      <c r="T515" s="257" t="str">
        <v/>
      </c>
      <c r="U515" s="255" t="str">
        <v/>
      </c>
      <c r="V515" s="256" t="str">
        <v/>
      </c>
      <c r="W515" s="257" t="str">
        <v/>
      </c>
      <c r="X515" s="255" t="str">
        <v/>
      </c>
      <c r="Y515" s="256" t="str">
        <v/>
      </c>
      <c r="Z515" s="257" t="str">
        <v/>
      </c>
      <c r="AA515" s="255" t="str">
        <v/>
      </c>
      <c r="AB515" s="256" t="str">
        <v/>
      </c>
      <c r="AC515" s="257" t="str">
        <v/>
      </c>
      <c r="AD515" s="255" t="str">
        <v/>
      </c>
      <c r="AE515" s="256" t="str">
        <v/>
      </c>
      <c r="AF515" s="257" t="str">
        <v/>
      </c>
      <c r="AG515" s="255" t="str">
        <v/>
      </c>
      <c r="AH515" s="256" t="str">
        <v/>
      </c>
      <c r="AI515" s="257" t="str">
        <v/>
      </c>
      <c r="AJ515" s="255" t="str">
        <v/>
      </c>
      <c r="AK515" s="256" t="str">
        <v/>
      </c>
      <c r="AL515" s="257" t="str">
        <v/>
      </c>
      <c r="AM515" s="255" t="str">
        <v/>
      </c>
      <c r="AN515" s="256" t="str">
        <v/>
      </c>
      <c r="AO515" s="257" t="str">
        <v/>
      </c>
      <c r="AP515" s="255" t="str">
        <v/>
      </c>
      <c r="AQ515" s="256" t="str">
        <v/>
      </c>
      <c r="AR515" s="257" t="str">
        <v/>
      </c>
      <c r="AS515" s="255" t="str">
        <v/>
      </c>
      <c r="AT515" s="256" t="str">
        <v/>
      </c>
      <c r="AU515" s="257" t="str">
        <v/>
      </c>
      <c r="AV515" s="255" t="str">
        <v/>
      </c>
      <c r="AW515" s="256" t="str">
        <v/>
      </c>
      <c r="AX515" s="257" t="str">
        <v/>
      </c>
      <c r="AY515" s="243">
        <v>0</v>
      </c>
      <c r="AZ515" s="244">
        <v>0</v>
      </c>
      <c r="BA515" s="244">
        <v>0</v>
      </c>
      <c r="BB515" s="244">
        <v>0</v>
      </c>
      <c r="BC515" s="244">
        <v>0</v>
      </c>
      <c r="BD515" s="244">
        <v>0</v>
      </c>
      <c r="BE515" s="244">
        <v>0</v>
      </c>
      <c r="BF515" s="244">
        <v>0</v>
      </c>
      <c r="BG515" s="244">
        <v>0</v>
      </c>
      <c r="BH515" s="245">
        <v>0</v>
      </c>
      <c r="BK515">
        <v>457</v>
      </c>
      <c r="BL515" s="281"/>
      <c r="BM515" s="281"/>
      <c r="BN515" s="282"/>
      <c r="BO515" s="282"/>
      <c r="BP515" s="282"/>
      <c r="BQ515" s="283"/>
      <c r="BR515" s="284"/>
      <c r="BS515" s="147"/>
      <c r="BT515" s="285"/>
      <c r="BU515" s="288"/>
      <c r="BV515" s="287"/>
      <c r="BW515" s="288"/>
      <c r="BX515" s="286"/>
      <c r="BY515" s="287"/>
      <c r="BZ515" s="288"/>
      <c r="CA515" s="286"/>
      <c r="CB515" s="286"/>
      <c r="CC515" s="287"/>
      <c r="CD515" s="286"/>
      <c r="CE515" s="286"/>
      <c r="CF515" s="286"/>
      <c r="CG515" s="287"/>
      <c r="CH515" s="288"/>
      <c r="CI515" s="286"/>
      <c r="CJ515" s="286"/>
      <c r="CK515" s="287"/>
      <c r="CL515" s="288"/>
      <c r="CM515" s="286"/>
      <c r="CN515" s="294"/>
      <c r="CO515" s="289"/>
      <c r="CP515" s="290"/>
      <c r="CQ515" s="289"/>
      <c r="CR515" s="290"/>
      <c r="CS515" s="284"/>
      <c r="CT515" s="147"/>
      <c r="CU515" s="291"/>
      <c r="CV515" s="292"/>
    </row>
    <row r="516" spans="2:100">
      <c r="B516">
        <v>458</v>
      </c>
      <c r="C516" s="243" t="str">
        <v/>
      </c>
      <c r="D516" s="592" t="str">
        <v/>
      </c>
      <c r="E516" s="245" t="str">
        <v/>
      </c>
      <c r="F516" s="243" t="str">
        <v/>
      </c>
      <c r="G516" s="245" t="str">
        <v/>
      </c>
      <c r="H516" s="243" t="str">
        <v/>
      </c>
      <c r="I516" s="245" t="str">
        <v/>
      </c>
      <c r="J516" s="242" t="str">
        <v/>
      </c>
      <c r="K516" s="242" t="str">
        <v/>
      </c>
      <c r="L516" s="242" t="str">
        <v/>
      </c>
      <c r="M516" s="243" t="str">
        <v/>
      </c>
      <c r="N516" s="592" t="str">
        <v/>
      </c>
      <c r="O516" s="245" t="str">
        <v/>
      </c>
      <c r="P516" s="245" t="str">
        <v/>
      </c>
      <c r="Q516" s="254" t="str">
        <v/>
      </c>
      <c r="R516" s="255" t="str">
        <v/>
      </c>
      <c r="S516" s="256" t="str">
        <v/>
      </c>
      <c r="T516" s="257" t="str">
        <v/>
      </c>
      <c r="U516" s="255" t="str">
        <v/>
      </c>
      <c r="V516" s="256" t="str">
        <v/>
      </c>
      <c r="W516" s="257" t="str">
        <v/>
      </c>
      <c r="X516" s="255" t="str">
        <v/>
      </c>
      <c r="Y516" s="256" t="str">
        <v/>
      </c>
      <c r="Z516" s="257" t="str">
        <v/>
      </c>
      <c r="AA516" s="255" t="str">
        <v/>
      </c>
      <c r="AB516" s="256" t="str">
        <v/>
      </c>
      <c r="AC516" s="257" t="str">
        <v/>
      </c>
      <c r="AD516" s="255" t="str">
        <v/>
      </c>
      <c r="AE516" s="256" t="str">
        <v/>
      </c>
      <c r="AF516" s="257" t="str">
        <v/>
      </c>
      <c r="AG516" s="255" t="str">
        <v/>
      </c>
      <c r="AH516" s="256" t="str">
        <v/>
      </c>
      <c r="AI516" s="257" t="str">
        <v/>
      </c>
      <c r="AJ516" s="255" t="str">
        <v/>
      </c>
      <c r="AK516" s="256" t="str">
        <v/>
      </c>
      <c r="AL516" s="257" t="str">
        <v/>
      </c>
      <c r="AM516" s="255" t="str">
        <v/>
      </c>
      <c r="AN516" s="256" t="str">
        <v/>
      </c>
      <c r="AO516" s="257" t="str">
        <v/>
      </c>
      <c r="AP516" s="255" t="str">
        <v/>
      </c>
      <c r="AQ516" s="256" t="str">
        <v/>
      </c>
      <c r="AR516" s="257" t="str">
        <v/>
      </c>
      <c r="AS516" s="255" t="str">
        <v/>
      </c>
      <c r="AT516" s="256" t="str">
        <v/>
      </c>
      <c r="AU516" s="257" t="str">
        <v/>
      </c>
      <c r="AV516" s="255" t="str">
        <v/>
      </c>
      <c r="AW516" s="256" t="str">
        <v/>
      </c>
      <c r="AX516" s="257" t="str">
        <v/>
      </c>
      <c r="AY516" s="243">
        <v>0</v>
      </c>
      <c r="AZ516" s="244">
        <v>0</v>
      </c>
      <c r="BA516" s="244">
        <v>0</v>
      </c>
      <c r="BB516" s="244">
        <v>0</v>
      </c>
      <c r="BC516" s="244">
        <v>0</v>
      </c>
      <c r="BD516" s="244">
        <v>0</v>
      </c>
      <c r="BE516" s="244">
        <v>0</v>
      </c>
      <c r="BF516" s="244">
        <v>0</v>
      </c>
      <c r="BG516" s="244">
        <v>0</v>
      </c>
      <c r="BH516" s="245">
        <v>0</v>
      </c>
      <c r="BK516">
        <v>458</v>
      </c>
      <c r="BL516" s="281"/>
      <c r="BM516" s="281"/>
      <c r="BN516" s="282"/>
      <c r="BO516" s="282"/>
      <c r="BP516" s="282"/>
      <c r="BQ516" s="283"/>
      <c r="BR516" s="284"/>
      <c r="BS516" s="147"/>
      <c r="BT516" s="285"/>
      <c r="BU516" s="288"/>
      <c r="BV516" s="287"/>
      <c r="BW516" s="288"/>
      <c r="BX516" s="286"/>
      <c r="BY516" s="287"/>
      <c r="BZ516" s="288"/>
      <c r="CA516" s="286"/>
      <c r="CB516" s="286"/>
      <c r="CC516" s="287"/>
      <c r="CD516" s="286"/>
      <c r="CE516" s="286"/>
      <c r="CF516" s="286"/>
      <c r="CG516" s="287"/>
      <c r="CH516" s="288"/>
      <c r="CI516" s="286"/>
      <c r="CJ516" s="286"/>
      <c r="CK516" s="287"/>
      <c r="CL516" s="288"/>
      <c r="CM516" s="286"/>
      <c r="CN516" s="294"/>
      <c r="CO516" s="289"/>
      <c r="CP516" s="290"/>
      <c r="CQ516" s="289"/>
      <c r="CR516" s="290"/>
      <c r="CS516" s="284"/>
      <c r="CT516" s="147"/>
      <c r="CU516" s="291"/>
      <c r="CV516" s="292"/>
    </row>
    <row r="517" spans="2:100">
      <c r="B517">
        <v>459</v>
      </c>
      <c r="C517" s="243" t="str">
        <v/>
      </c>
      <c r="D517" s="592" t="str">
        <v/>
      </c>
      <c r="E517" s="245" t="str">
        <v/>
      </c>
      <c r="F517" s="243" t="str">
        <v/>
      </c>
      <c r="G517" s="245" t="str">
        <v/>
      </c>
      <c r="H517" s="243" t="str">
        <v/>
      </c>
      <c r="I517" s="245" t="str">
        <v/>
      </c>
      <c r="J517" s="242" t="str">
        <v/>
      </c>
      <c r="K517" s="242" t="str">
        <v/>
      </c>
      <c r="L517" s="242" t="str">
        <v/>
      </c>
      <c r="M517" s="243" t="str">
        <v/>
      </c>
      <c r="N517" s="592" t="str">
        <v/>
      </c>
      <c r="O517" s="245" t="str">
        <v/>
      </c>
      <c r="P517" s="245" t="str">
        <v/>
      </c>
      <c r="Q517" s="254" t="str">
        <v/>
      </c>
      <c r="R517" s="255" t="str">
        <v/>
      </c>
      <c r="S517" s="256" t="str">
        <v/>
      </c>
      <c r="T517" s="257" t="str">
        <v/>
      </c>
      <c r="U517" s="255" t="str">
        <v/>
      </c>
      <c r="V517" s="256" t="str">
        <v/>
      </c>
      <c r="W517" s="257" t="str">
        <v/>
      </c>
      <c r="X517" s="255" t="str">
        <v/>
      </c>
      <c r="Y517" s="256" t="str">
        <v/>
      </c>
      <c r="Z517" s="257" t="str">
        <v/>
      </c>
      <c r="AA517" s="255" t="str">
        <v/>
      </c>
      <c r="AB517" s="256" t="str">
        <v/>
      </c>
      <c r="AC517" s="257" t="str">
        <v/>
      </c>
      <c r="AD517" s="255" t="str">
        <v/>
      </c>
      <c r="AE517" s="256" t="str">
        <v/>
      </c>
      <c r="AF517" s="257" t="str">
        <v/>
      </c>
      <c r="AG517" s="255" t="str">
        <v/>
      </c>
      <c r="AH517" s="256" t="str">
        <v/>
      </c>
      <c r="AI517" s="257" t="str">
        <v/>
      </c>
      <c r="AJ517" s="255" t="str">
        <v/>
      </c>
      <c r="AK517" s="256" t="str">
        <v/>
      </c>
      <c r="AL517" s="257" t="str">
        <v/>
      </c>
      <c r="AM517" s="255" t="str">
        <v/>
      </c>
      <c r="AN517" s="256" t="str">
        <v/>
      </c>
      <c r="AO517" s="257" t="str">
        <v/>
      </c>
      <c r="AP517" s="255" t="str">
        <v/>
      </c>
      <c r="AQ517" s="256" t="str">
        <v/>
      </c>
      <c r="AR517" s="257" t="str">
        <v/>
      </c>
      <c r="AS517" s="255" t="str">
        <v/>
      </c>
      <c r="AT517" s="256" t="str">
        <v/>
      </c>
      <c r="AU517" s="257" t="str">
        <v/>
      </c>
      <c r="AV517" s="255" t="str">
        <v/>
      </c>
      <c r="AW517" s="256" t="str">
        <v/>
      </c>
      <c r="AX517" s="257" t="str">
        <v/>
      </c>
      <c r="AY517" s="243">
        <v>0</v>
      </c>
      <c r="AZ517" s="244">
        <v>0</v>
      </c>
      <c r="BA517" s="244">
        <v>0</v>
      </c>
      <c r="BB517" s="244">
        <v>0</v>
      </c>
      <c r="BC517" s="244">
        <v>0</v>
      </c>
      <c r="BD517" s="244">
        <v>0</v>
      </c>
      <c r="BE517" s="244">
        <v>0</v>
      </c>
      <c r="BF517" s="244">
        <v>0</v>
      </c>
      <c r="BG517" s="244">
        <v>0</v>
      </c>
      <c r="BH517" s="245">
        <v>0</v>
      </c>
      <c r="BK517">
        <v>459</v>
      </c>
      <c r="BL517" s="281"/>
      <c r="BM517" s="281"/>
      <c r="BN517" s="282"/>
      <c r="BO517" s="282"/>
      <c r="BP517" s="282"/>
      <c r="BQ517" s="283"/>
      <c r="BR517" s="284"/>
      <c r="BS517" s="147"/>
      <c r="BT517" s="285"/>
      <c r="BU517" s="288"/>
      <c r="BV517" s="287"/>
      <c r="BW517" s="288"/>
      <c r="BX517" s="286"/>
      <c r="BY517" s="287"/>
      <c r="BZ517" s="288"/>
      <c r="CA517" s="286"/>
      <c r="CB517" s="286"/>
      <c r="CC517" s="287"/>
      <c r="CD517" s="286"/>
      <c r="CE517" s="286"/>
      <c r="CF517" s="286"/>
      <c r="CG517" s="287"/>
      <c r="CH517" s="288"/>
      <c r="CI517" s="286"/>
      <c r="CJ517" s="286"/>
      <c r="CK517" s="287"/>
      <c r="CL517" s="288"/>
      <c r="CM517" s="286"/>
      <c r="CN517" s="294"/>
      <c r="CO517" s="289"/>
      <c r="CP517" s="290"/>
      <c r="CQ517" s="289"/>
      <c r="CR517" s="290"/>
      <c r="CS517" s="284"/>
      <c r="CT517" s="147"/>
      <c r="CU517" s="291"/>
      <c r="CV517" s="292"/>
    </row>
    <row r="518" spans="2:100">
      <c r="B518">
        <v>460</v>
      </c>
      <c r="C518" s="243" t="str">
        <v/>
      </c>
      <c r="D518" s="592" t="str">
        <v/>
      </c>
      <c r="E518" s="245" t="str">
        <v/>
      </c>
      <c r="F518" s="243" t="str">
        <v/>
      </c>
      <c r="G518" s="245" t="str">
        <v/>
      </c>
      <c r="H518" s="243" t="str">
        <v/>
      </c>
      <c r="I518" s="245" t="str">
        <v/>
      </c>
      <c r="J518" s="242" t="str">
        <v/>
      </c>
      <c r="K518" s="242" t="str">
        <v/>
      </c>
      <c r="L518" s="242" t="str">
        <v/>
      </c>
      <c r="M518" s="243" t="str">
        <v/>
      </c>
      <c r="N518" s="592" t="str">
        <v/>
      </c>
      <c r="O518" s="245" t="str">
        <v/>
      </c>
      <c r="P518" s="245" t="str">
        <v/>
      </c>
      <c r="Q518" s="254" t="str">
        <v/>
      </c>
      <c r="R518" s="255" t="str">
        <v/>
      </c>
      <c r="S518" s="256" t="str">
        <v/>
      </c>
      <c r="T518" s="257" t="str">
        <v/>
      </c>
      <c r="U518" s="255" t="str">
        <v/>
      </c>
      <c r="V518" s="256" t="str">
        <v/>
      </c>
      <c r="W518" s="257" t="str">
        <v/>
      </c>
      <c r="X518" s="255" t="str">
        <v/>
      </c>
      <c r="Y518" s="256" t="str">
        <v/>
      </c>
      <c r="Z518" s="257" t="str">
        <v/>
      </c>
      <c r="AA518" s="255" t="str">
        <v/>
      </c>
      <c r="AB518" s="256" t="str">
        <v/>
      </c>
      <c r="AC518" s="257" t="str">
        <v/>
      </c>
      <c r="AD518" s="255" t="str">
        <v/>
      </c>
      <c r="AE518" s="256" t="str">
        <v/>
      </c>
      <c r="AF518" s="257" t="str">
        <v/>
      </c>
      <c r="AG518" s="255" t="str">
        <v/>
      </c>
      <c r="AH518" s="256" t="str">
        <v/>
      </c>
      <c r="AI518" s="257" t="str">
        <v/>
      </c>
      <c r="AJ518" s="255" t="str">
        <v/>
      </c>
      <c r="AK518" s="256" t="str">
        <v/>
      </c>
      <c r="AL518" s="257" t="str">
        <v/>
      </c>
      <c r="AM518" s="255" t="str">
        <v/>
      </c>
      <c r="AN518" s="256" t="str">
        <v/>
      </c>
      <c r="AO518" s="257" t="str">
        <v/>
      </c>
      <c r="AP518" s="255" t="str">
        <v/>
      </c>
      <c r="AQ518" s="256" t="str">
        <v/>
      </c>
      <c r="AR518" s="257" t="str">
        <v/>
      </c>
      <c r="AS518" s="255" t="str">
        <v/>
      </c>
      <c r="AT518" s="256" t="str">
        <v/>
      </c>
      <c r="AU518" s="257" t="str">
        <v/>
      </c>
      <c r="AV518" s="255" t="str">
        <v/>
      </c>
      <c r="AW518" s="256" t="str">
        <v/>
      </c>
      <c r="AX518" s="257" t="str">
        <v/>
      </c>
      <c r="AY518" s="243">
        <v>0</v>
      </c>
      <c r="AZ518" s="244">
        <v>0</v>
      </c>
      <c r="BA518" s="244">
        <v>0</v>
      </c>
      <c r="BB518" s="244">
        <v>0</v>
      </c>
      <c r="BC518" s="244">
        <v>0</v>
      </c>
      <c r="BD518" s="244">
        <v>0</v>
      </c>
      <c r="BE518" s="244">
        <v>0</v>
      </c>
      <c r="BF518" s="244">
        <v>0</v>
      </c>
      <c r="BG518" s="244">
        <v>0</v>
      </c>
      <c r="BH518" s="245">
        <v>0</v>
      </c>
      <c r="BK518">
        <v>460</v>
      </c>
      <c r="BL518" s="281"/>
      <c r="BM518" s="281"/>
      <c r="BN518" s="282"/>
      <c r="BO518" s="282"/>
      <c r="BP518" s="282"/>
      <c r="BQ518" s="283"/>
      <c r="BR518" s="284"/>
      <c r="BS518" s="147"/>
      <c r="BT518" s="285"/>
      <c r="BU518" s="288"/>
      <c r="BV518" s="287"/>
      <c r="BW518" s="288"/>
      <c r="BX518" s="286"/>
      <c r="BY518" s="287"/>
      <c r="BZ518" s="288"/>
      <c r="CA518" s="286"/>
      <c r="CB518" s="286"/>
      <c r="CC518" s="287"/>
      <c r="CD518" s="286"/>
      <c r="CE518" s="286"/>
      <c r="CF518" s="286"/>
      <c r="CG518" s="287"/>
      <c r="CH518" s="288"/>
      <c r="CI518" s="286"/>
      <c r="CJ518" s="286"/>
      <c r="CK518" s="287"/>
      <c r="CL518" s="288"/>
      <c r="CM518" s="286"/>
      <c r="CN518" s="294"/>
      <c r="CO518" s="289"/>
      <c r="CP518" s="290"/>
      <c r="CQ518" s="289"/>
      <c r="CR518" s="290"/>
      <c r="CS518" s="284"/>
      <c r="CT518" s="147"/>
      <c r="CU518" s="291"/>
      <c r="CV518" s="292"/>
    </row>
    <row r="519" spans="2:100">
      <c r="B519">
        <v>461</v>
      </c>
      <c r="C519" s="243" t="str">
        <v/>
      </c>
      <c r="D519" s="592" t="str">
        <v/>
      </c>
      <c r="E519" s="245" t="str">
        <v/>
      </c>
      <c r="F519" s="243" t="str">
        <v/>
      </c>
      <c r="G519" s="245" t="str">
        <v/>
      </c>
      <c r="H519" s="243" t="str">
        <v/>
      </c>
      <c r="I519" s="245" t="str">
        <v/>
      </c>
      <c r="J519" s="242" t="str">
        <v/>
      </c>
      <c r="K519" s="242" t="str">
        <v/>
      </c>
      <c r="L519" s="242" t="str">
        <v/>
      </c>
      <c r="M519" s="243" t="str">
        <v/>
      </c>
      <c r="N519" s="592" t="str">
        <v/>
      </c>
      <c r="O519" s="245" t="str">
        <v/>
      </c>
      <c r="P519" s="245" t="str">
        <v/>
      </c>
      <c r="Q519" s="254" t="str">
        <v/>
      </c>
      <c r="R519" s="255" t="str">
        <v/>
      </c>
      <c r="S519" s="256" t="str">
        <v/>
      </c>
      <c r="T519" s="257" t="str">
        <v/>
      </c>
      <c r="U519" s="255" t="str">
        <v/>
      </c>
      <c r="V519" s="256" t="str">
        <v/>
      </c>
      <c r="W519" s="257" t="str">
        <v/>
      </c>
      <c r="X519" s="255" t="str">
        <v/>
      </c>
      <c r="Y519" s="256" t="str">
        <v/>
      </c>
      <c r="Z519" s="257" t="str">
        <v/>
      </c>
      <c r="AA519" s="255" t="str">
        <v/>
      </c>
      <c r="AB519" s="256" t="str">
        <v/>
      </c>
      <c r="AC519" s="257" t="str">
        <v/>
      </c>
      <c r="AD519" s="255" t="str">
        <v/>
      </c>
      <c r="AE519" s="256" t="str">
        <v/>
      </c>
      <c r="AF519" s="257" t="str">
        <v/>
      </c>
      <c r="AG519" s="255" t="str">
        <v/>
      </c>
      <c r="AH519" s="256" t="str">
        <v/>
      </c>
      <c r="AI519" s="257" t="str">
        <v/>
      </c>
      <c r="AJ519" s="255" t="str">
        <v/>
      </c>
      <c r="AK519" s="256" t="str">
        <v/>
      </c>
      <c r="AL519" s="257" t="str">
        <v/>
      </c>
      <c r="AM519" s="255" t="str">
        <v/>
      </c>
      <c r="AN519" s="256" t="str">
        <v/>
      </c>
      <c r="AO519" s="257" t="str">
        <v/>
      </c>
      <c r="AP519" s="255" t="str">
        <v/>
      </c>
      <c r="AQ519" s="256" t="str">
        <v/>
      </c>
      <c r="AR519" s="257" t="str">
        <v/>
      </c>
      <c r="AS519" s="255" t="str">
        <v/>
      </c>
      <c r="AT519" s="256" t="str">
        <v/>
      </c>
      <c r="AU519" s="257" t="str">
        <v/>
      </c>
      <c r="AV519" s="255" t="str">
        <v/>
      </c>
      <c r="AW519" s="256" t="str">
        <v/>
      </c>
      <c r="AX519" s="257" t="str">
        <v/>
      </c>
      <c r="AY519" s="243">
        <v>0</v>
      </c>
      <c r="AZ519" s="244">
        <v>0</v>
      </c>
      <c r="BA519" s="244">
        <v>0</v>
      </c>
      <c r="BB519" s="244">
        <v>0</v>
      </c>
      <c r="BC519" s="244">
        <v>0</v>
      </c>
      <c r="BD519" s="244">
        <v>0</v>
      </c>
      <c r="BE519" s="244">
        <v>0</v>
      </c>
      <c r="BF519" s="244">
        <v>0</v>
      </c>
      <c r="BG519" s="244">
        <v>0</v>
      </c>
      <c r="BH519" s="245">
        <v>0</v>
      </c>
      <c r="BK519">
        <v>461</v>
      </c>
      <c r="BL519" s="281"/>
      <c r="BM519" s="281"/>
      <c r="BN519" s="282"/>
      <c r="BO519" s="282"/>
      <c r="BP519" s="282"/>
      <c r="BQ519" s="283"/>
      <c r="BR519" s="284"/>
      <c r="BS519" s="147"/>
      <c r="BT519" s="285"/>
      <c r="BU519" s="288"/>
      <c r="BV519" s="287"/>
      <c r="BW519" s="288"/>
      <c r="BX519" s="286"/>
      <c r="BY519" s="287"/>
      <c r="BZ519" s="288"/>
      <c r="CA519" s="286"/>
      <c r="CB519" s="286"/>
      <c r="CC519" s="287"/>
      <c r="CD519" s="286"/>
      <c r="CE519" s="286"/>
      <c r="CF519" s="286"/>
      <c r="CG519" s="287"/>
      <c r="CH519" s="288"/>
      <c r="CI519" s="286"/>
      <c r="CJ519" s="286"/>
      <c r="CK519" s="287"/>
      <c r="CL519" s="288"/>
      <c r="CM519" s="286"/>
      <c r="CN519" s="294"/>
      <c r="CO519" s="289"/>
      <c r="CP519" s="290"/>
      <c r="CQ519" s="289"/>
      <c r="CR519" s="290"/>
      <c r="CS519" s="284"/>
      <c r="CT519" s="147"/>
      <c r="CU519" s="291"/>
      <c r="CV519" s="292"/>
    </row>
    <row r="520" spans="2:100">
      <c r="B520">
        <v>462</v>
      </c>
      <c r="C520" s="243" t="str">
        <v/>
      </c>
      <c r="D520" s="592" t="str">
        <v/>
      </c>
      <c r="E520" s="245" t="str">
        <v/>
      </c>
      <c r="F520" s="243" t="str">
        <v/>
      </c>
      <c r="G520" s="245" t="str">
        <v/>
      </c>
      <c r="H520" s="243" t="str">
        <v/>
      </c>
      <c r="I520" s="245" t="str">
        <v/>
      </c>
      <c r="J520" s="242" t="str">
        <v/>
      </c>
      <c r="K520" s="242" t="str">
        <v/>
      </c>
      <c r="L520" s="242" t="str">
        <v/>
      </c>
      <c r="M520" s="243" t="str">
        <v/>
      </c>
      <c r="N520" s="592" t="str">
        <v/>
      </c>
      <c r="O520" s="245" t="str">
        <v/>
      </c>
      <c r="P520" s="245" t="str">
        <v/>
      </c>
      <c r="Q520" s="254" t="str">
        <v/>
      </c>
      <c r="R520" s="255" t="str">
        <v/>
      </c>
      <c r="S520" s="256" t="str">
        <v/>
      </c>
      <c r="T520" s="257" t="str">
        <v/>
      </c>
      <c r="U520" s="255" t="str">
        <v/>
      </c>
      <c r="V520" s="256" t="str">
        <v/>
      </c>
      <c r="W520" s="257" t="str">
        <v/>
      </c>
      <c r="X520" s="255" t="str">
        <v/>
      </c>
      <c r="Y520" s="256" t="str">
        <v/>
      </c>
      <c r="Z520" s="257" t="str">
        <v/>
      </c>
      <c r="AA520" s="255" t="str">
        <v/>
      </c>
      <c r="AB520" s="256" t="str">
        <v/>
      </c>
      <c r="AC520" s="257" t="str">
        <v/>
      </c>
      <c r="AD520" s="255" t="str">
        <v/>
      </c>
      <c r="AE520" s="256" t="str">
        <v/>
      </c>
      <c r="AF520" s="257" t="str">
        <v/>
      </c>
      <c r="AG520" s="255" t="str">
        <v/>
      </c>
      <c r="AH520" s="256" t="str">
        <v/>
      </c>
      <c r="AI520" s="257" t="str">
        <v/>
      </c>
      <c r="AJ520" s="255" t="str">
        <v/>
      </c>
      <c r="AK520" s="256" t="str">
        <v/>
      </c>
      <c r="AL520" s="257" t="str">
        <v/>
      </c>
      <c r="AM520" s="255" t="str">
        <v/>
      </c>
      <c r="AN520" s="256" t="str">
        <v/>
      </c>
      <c r="AO520" s="257" t="str">
        <v/>
      </c>
      <c r="AP520" s="255" t="str">
        <v/>
      </c>
      <c r="AQ520" s="256" t="str">
        <v/>
      </c>
      <c r="AR520" s="257" t="str">
        <v/>
      </c>
      <c r="AS520" s="255" t="str">
        <v/>
      </c>
      <c r="AT520" s="256" t="str">
        <v/>
      </c>
      <c r="AU520" s="257" t="str">
        <v/>
      </c>
      <c r="AV520" s="255" t="str">
        <v/>
      </c>
      <c r="AW520" s="256" t="str">
        <v/>
      </c>
      <c r="AX520" s="257" t="str">
        <v/>
      </c>
      <c r="AY520" s="243">
        <v>0</v>
      </c>
      <c r="AZ520" s="244">
        <v>0</v>
      </c>
      <c r="BA520" s="244">
        <v>0</v>
      </c>
      <c r="BB520" s="244">
        <v>0</v>
      </c>
      <c r="BC520" s="244">
        <v>0</v>
      </c>
      <c r="BD520" s="244">
        <v>0</v>
      </c>
      <c r="BE520" s="244">
        <v>0</v>
      </c>
      <c r="BF520" s="244">
        <v>0</v>
      </c>
      <c r="BG520" s="244">
        <v>0</v>
      </c>
      <c r="BH520" s="245">
        <v>0</v>
      </c>
      <c r="BK520">
        <v>462</v>
      </c>
      <c r="BL520" s="281"/>
      <c r="BM520" s="281"/>
      <c r="BN520" s="282"/>
      <c r="BO520" s="282"/>
      <c r="BP520" s="282"/>
      <c r="BQ520" s="283"/>
      <c r="BR520" s="284"/>
      <c r="BS520" s="147"/>
      <c r="BT520" s="285"/>
      <c r="BU520" s="288"/>
      <c r="BV520" s="287"/>
      <c r="BW520" s="288"/>
      <c r="BX520" s="286"/>
      <c r="BY520" s="287"/>
      <c r="BZ520" s="288"/>
      <c r="CA520" s="286"/>
      <c r="CB520" s="286"/>
      <c r="CC520" s="287"/>
      <c r="CD520" s="286"/>
      <c r="CE520" s="286"/>
      <c r="CF520" s="286"/>
      <c r="CG520" s="287"/>
      <c r="CH520" s="288"/>
      <c r="CI520" s="286"/>
      <c r="CJ520" s="286"/>
      <c r="CK520" s="287"/>
      <c r="CL520" s="288"/>
      <c r="CM520" s="286"/>
      <c r="CN520" s="294"/>
      <c r="CO520" s="289"/>
      <c r="CP520" s="290"/>
      <c r="CQ520" s="289"/>
      <c r="CR520" s="290"/>
      <c r="CS520" s="284"/>
      <c r="CT520" s="147"/>
      <c r="CU520" s="291"/>
      <c r="CV520" s="292"/>
    </row>
    <row r="521" spans="2:100">
      <c r="B521">
        <v>463</v>
      </c>
      <c r="C521" s="243" t="str">
        <v/>
      </c>
      <c r="D521" s="592" t="str">
        <v/>
      </c>
      <c r="E521" s="245" t="str">
        <v/>
      </c>
      <c r="F521" s="243" t="str">
        <v/>
      </c>
      <c r="G521" s="245" t="str">
        <v/>
      </c>
      <c r="H521" s="243" t="str">
        <v/>
      </c>
      <c r="I521" s="245" t="str">
        <v/>
      </c>
      <c r="J521" s="242" t="str">
        <v/>
      </c>
      <c r="K521" s="242" t="str">
        <v/>
      </c>
      <c r="L521" s="242" t="str">
        <v/>
      </c>
      <c r="M521" s="243" t="str">
        <v/>
      </c>
      <c r="N521" s="592" t="str">
        <v/>
      </c>
      <c r="O521" s="245" t="str">
        <v/>
      </c>
      <c r="P521" s="245" t="str">
        <v/>
      </c>
      <c r="Q521" s="254" t="str">
        <v/>
      </c>
      <c r="R521" s="255" t="str">
        <v/>
      </c>
      <c r="S521" s="256" t="str">
        <v/>
      </c>
      <c r="T521" s="257" t="str">
        <v/>
      </c>
      <c r="U521" s="255" t="str">
        <v/>
      </c>
      <c r="V521" s="256" t="str">
        <v/>
      </c>
      <c r="W521" s="257" t="str">
        <v/>
      </c>
      <c r="X521" s="255" t="str">
        <v/>
      </c>
      <c r="Y521" s="256" t="str">
        <v/>
      </c>
      <c r="Z521" s="257" t="str">
        <v/>
      </c>
      <c r="AA521" s="255" t="str">
        <v/>
      </c>
      <c r="AB521" s="256" t="str">
        <v/>
      </c>
      <c r="AC521" s="257" t="str">
        <v/>
      </c>
      <c r="AD521" s="255" t="str">
        <v/>
      </c>
      <c r="AE521" s="256" t="str">
        <v/>
      </c>
      <c r="AF521" s="257" t="str">
        <v/>
      </c>
      <c r="AG521" s="255" t="str">
        <v/>
      </c>
      <c r="AH521" s="256" t="str">
        <v/>
      </c>
      <c r="AI521" s="257" t="str">
        <v/>
      </c>
      <c r="AJ521" s="255" t="str">
        <v/>
      </c>
      <c r="AK521" s="256" t="str">
        <v/>
      </c>
      <c r="AL521" s="257" t="str">
        <v/>
      </c>
      <c r="AM521" s="255" t="str">
        <v/>
      </c>
      <c r="AN521" s="256" t="str">
        <v/>
      </c>
      <c r="AO521" s="257" t="str">
        <v/>
      </c>
      <c r="AP521" s="255" t="str">
        <v/>
      </c>
      <c r="AQ521" s="256" t="str">
        <v/>
      </c>
      <c r="AR521" s="257" t="str">
        <v/>
      </c>
      <c r="AS521" s="255" t="str">
        <v/>
      </c>
      <c r="AT521" s="256" t="str">
        <v/>
      </c>
      <c r="AU521" s="257" t="str">
        <v/>
      </c>
      <c r="AV521" s="255" t="str">
        <v/>
      </c>
      <c r="AW521" s="256" t="str">
        <v/>
      </c>
      <c r="AX521" s="257" t="str">
        <v/>
      </c>
      <c r="AY521" s="243">
        <v>0</v>
      </c>
      <c r="AZ521" s="244">
        <v>0</v>
      </c>
      <c r="BA521" s="244">
        <v>0</v>
      </c>
      <c r="BB521" s="244">
        <v>0</v>
      </c>
      <c r="BC521" s="244">
        <v>0</v>
      </c>
      <c r="BD521" s="244">
        <v>0</v>
      </c>
      <c r="BE521" s="244">
        <v>0</v>
      </c>
      <c r="BF521" s="244">
        <v>0</v>
      </c>
      <c r="BG521" s="244">
        <v>0</v>
      </c>
      <c r="BH521" s="245">
        <v>0</v>
      </c>
      <c r="BK521">
        <v>463</v>
      </c>
      <c r="BL521" s="281"/>
      <c r="BM521" s="281"/>
      <c r="BN521" s="282"/>
      <c r="BO521" s="282"/>
      <c r="BP521" s="282"/>
      <c r="BQ521" s="283"/>
      <c r="BR521" s="284"/>
      <c r="BS521" s="147"/>
      <c r="BT521" s="285"/>
      <c r="BU521" s="288"/>
      <c r="BV521" s="287"/>
      <c r="BW521" s="288"/>
      <c r="BX521" s="286"/>
      <c r="BY521" s="287"/>
      <c r="BZ521" s="288"/>
      <c r="CA521" s="286"/>
      <c r="CB521" s="286"/>
      <c r="CC521" s="287"/>
      <c r="CD521" s="286"/>
      <c r="CE521" s="286"/>
      <c r="CF521" s="286"/>
      <c r="CG521" s="287"/>
      <c r="CH521" s="288"/>
      <c r="CI521" s="286"/>
      <c r="CJ521" s="286"/>
      <c r="CK521" s="287"/>
      <c r="CL521" s="288"/>
      <c r="CM521" s="286"/>
      <c r="CN521" s="294"/>
      <c r="CO521" s="289"/>
      <c r="CP521" s="290"/>
      <c r="CQ521" s="289"/>
      <c r="CR521" s="290"/>
      <c r="CS521" s="284"/>
      <c r="CT521" s="147"/>
      <c r="CU521" s="291"/>
      <c r="CV521" s="292"/>
    </row>
    <row r="522" spans="2:100">
      <c r="B522">
        <v>464</v>
      </c>
      <c r="C522" s="243" t="str">
        <v/>
      </c>
      <c r="D522" s="592" t="str">
        <v/>
      </c>
      <c r="E522" s="245" t="str">
        <v/>
      </c>
      <c r="F522" s="243" t="str">
        <v/>
      </c>
      <c r="G522" s="245" t="str">
        <v/>
      </c>
      <c r="H522" s="243" t="str">
        <v/>
      </c>
      <c r="I522" s="245" t="str">
        <v/>
      </c>
      <c r="J522" s="242" t="str">
        <v/>
      </c>
      <c r="K522" s="242" t="str">
        <v/>
      </c>
      <c r="L522" s="242" t="str">
        <v/>
      </c>
      <c r="M522" s="243" t="str">
        <v/>
      </c>
      <c r="N522" s="592" t="str">
        <v/>
      </c>
      <c r="O522" s="245" t="str">
        <v/>
      </c>
      <c r="P522" s="245" t="str">
        <v/>
      </c>
      <c r="Q522" s="254" t="str">
        <v/>
      </c>
      <c r="R522" s="255" t="str">
        <v/>
      </c>
      <c r="S522" s="256" t="str">
        <v/>
      </c>
      <c r="T522" s="257" t="str">
        <v/>
      </c>
      <c r="U522" s="255" t="str">
        <v/>
      </c>
      <c r="V522" s="256" t="str">
        <v/>
      </c>
      <c r="W522" s="257" t="str">
        <v/>
      </c>
      <c r="X522" s="255" t="str">
        <v/>
      </c>
      <c r="Y522" s="256" t="str">
        <v/>
      </c>
      <c r="Z522" s="257" t="str">
        <v/>
      </c>
      <c r="AA522" s="255" t="str">
        <v/>
      </c>
      <c r="AB522" s="256" t="str">
        <v/>
      </c>
      <c r="AC522" s="257" t="str">
        <v/>
      </c>
      <c r="AD522" s="255" t="str">
        <v/>
      </c>
      <c r="AE522" s="256" t="str">
        <v/>
      </c>
      <c r="AF522" s="257" t="str">
        <v/>
      </c>
      <c r="AG522" s="255" t="str">
        <v/>
      </c>
      <c r="AH522" s="256" t="str">
        <v/>
      </c>
      <c r="AI522" s="257" t="str">
        <v/>
      </c>
      <c r="AJ522" s="255" t="str">
        <v/>
      </c>
      <c r="AK522" s="256" t="str">
        <v/>
      </c>
      <c r="AL522" s="257" t="str">
        <v/>
      </c>
      <c r="AM522" s="255" t="str">
        <v/>
      </c>
      <c r="AN522" s="256" t="str">
        <v/>
      </c>
      <c r="AO522" s="257" t="str">
        <v/>
      </c>
      <c r="AP522" s="255" t="str">
        <v/>
      </c>
      <c r="AQ522" s="256" t="str">
        <v/>
      </c>
      <c r="AR522" s="257" t="str">
        <v/>
      </c>
      <c r="AS522" s="255" t="str">
        <v/>
      </c>
      <c r="AT522" s="256" t="str">
        <v/>
      </c>
      <c r="AU522" s="257" t="str">
        <v/>
      </c>
      <c r="AV522" s="255" t="str">
        <v/>
      </c>
      <c r="AW522" s="256" t="str">
        <v/>
      </c>
      <c r="AX522" s="257" t="str">
        <v/>
      </c>
      <c r="AY522" s="243">
        <v>0</v>
      </c>
      <c r="AZ522" s="244">
        <v>0</v>
      </c>
      <c r="BA522" s="244">
        <v>0</v>
      </c>
      <c r="BB522" s="244">
        <v>0</v>
      </c>
      <c r="BC522" s="244">
        <v>0</v>
      </c>
      <c r="BD522" s="244">
        <v>0</v>
      </c>
      <c r="BE522" s="244">
        <v>0</v>
      </c>
      <c r="BF522" s="244">
        <v>0</v>
      </c>
      <c r="BG522" s="244">
        <v>0</v>
      </c>
      <c r="BH522" s="245">
        <v>0</v>
      </c>
      <c r="BK522">
        <v>464</v>
      </c>
      <c r="BL522" s="281"/>
      <c r="BM522" s="281"/>
      <c r="BN522" s="282"/>
      <c r="BO522" s="282"/>
      <c r="BP522" s="282"/>
      <c r="BQ522" s="283"/>
      <c r="BR522" s="284"/>
      <c r="BS522" s="147"/>
      <c r="BT522" s="285"/>
      <c r="BU522" s="288"/>
      <c r="BV522" s="287"/>
      <c r="BW522" s="288"/>
      <c r="BX522" s="286"/>
      <c r="BY522" s="287"/>
      <c r="BZ522" s="288"/>
      <c r="CA522" s="286"/>
      <c r="CB522" s="286"/>
      <c r="CC522" s="287"/>
      <c r="CD522" s="286"/>
      <c r="CE522" s="286"/>
      <c r="CF522" s="286"/>
      <c r="CG522" s="287"/>
      <c r="CH522" s="288"/>
      <c r="CI522" s="286"/>
      <c r="CJ522" s="286"/>
      <c r="CK522" s="287"/>
      <c r="CL522" s="288"/>
      <c r="CM522" s="286"/>
      <c r="CN522" s="294"/>
      <c r="CO522" s="289"/>
      <c r="CP522" s="290"/>
      <c r="CQ522" s="289"/>
      <c r="CR522" s="290"/>
      <c r="CS522" s="284"/>
      <c r="CT522" s="147"/>
      <c r="CU522" s="291"/>
      <c r="CV522" s="292"/>
    </row>
    <row r="523" spans="2:100">
      <c r="B523">
        <v>465</v>
      </c>
      <c r="C523" s="243" t="str">
        <v/>
      </c>
      <c r="D523" s="592" t="str">
        <v/>
      </c>
      <c r="E523" s="245" t="str">
        <v/>
      </c>
      <c r="F523" s="243" t="str">
        <v/>
      </c>
      <c r="G523" s="245" t="str">
        <v/>
      </c>
      <c r="H523" s="243" t="str">
        <v/>
      </c>
      <c r="I523" s="245" t="str">
        <v/>
      </c>
      <c r="J523" s="242" t="str">
        <v/>
      </c>
      <c r="K523" s="242" t="str">
        <v/>
      </c>
      <c r="L523" s="242" t="str">
        <v/>
      </c>
      <c r="M523" s="243" t="str">
        <v/>
      </c>
      <c r="N523" s="592" t="str">
        <v/>
      </c>
      <c r="O523" s="245" t="str">
        <v/>
      </c>
      <c r="P523" s="245" t="str">
        <v/>
      </c>
      <c r="Q523" s="254" t="str">
        <v/>
      </c>
      <c r="R523" s="255" t="str">
        <v/>
      </c>
      <c r="S523" s="256" t="str">
        <v/>
      </c>
      <c r="T523" s="257" t="str">
        <v/>
      </c>
      <c r="U523" s="255" t="str">
        <v/>
      </c>
      <c r="V523" s="256" t="str">
        <v/>
      </c>
      <c r="W523" s="257" t="str">
        <v/>
      </c>
      <c r="X523" s="255" t="str">
        <v/>
      </c>
      <c r="Y523" s="256" t="str">
        <v/>
      </c>
      <c r="Z523" s="257" t="str">
        <v/>
      </c>
      <c r="AA523" s="255" t="str">
        <v/>
      </c>
      <c r="AB523" s="256" t="str">
        <v/>
      </c>
      <c r="AC523" s="257" t="str">
        <v/>
      </c>
      <c r="AD523" s="255" t="str">
        <v/>
      </c>
      <c r="AE523" s="256" t="str">
        <v/>
      </c>
      <c r="AF523" s="257" t="str">
        <v/>
      </c>
      <c r="AG523" s="255" t="str">
        <v/>
      </c>
      <c r="AH523" s="256" t="str">
        <v/>
      </c>
      <c r="AI523" s="257" t="str">
        <v/>
      </c>
      <c r="AJ523" s="255" t="str">
        <v/>
      </c>
      <c r="AK523" s="256" t="str">
        <v/>
      </c>
      <c r="AL523" s="257" t="str">
        <v/>
      </c>
      <c r="AM523" s="255" t="str">
        <v/>
      </c>
      <c r="AN523" s="256" t="str">
        <v/>
      </c>
      <c r="AO523" s="257" t="str">
        <v/>
      </c>
      <c r="AP523" s="255" t="str">
        <v/>
      </c>
      <c r="AQ523" s="256" t="str">
        <v/>
      </c>
      <c r="AR523" s="257" t="str">
        <v/>
      </c>
      <c r="AS523" s="255" t="str">
        <v/>
      </c>
      <c r="AT523" s="256" t="str">
        <v/>
      </c>
      <c r="AU523" s="257" t="str">
        <v/>
      </c>
      <c r="AV523" s="255" t="str">
        <v/>
      </c>
      <c r="AW523" s="256" t="str">
        <v/>
      </c>
      <c r="AX523" s="257" t="str">
        <v/>
      </c>
      <c r="AY523" s="243">
        <v>0</v>
      </c>
      <c r="AZ523" s="244">
        <v>0</v>
      </c>
      <c r="BA523" s="244">
        <v>0</v>
      </c>
      <c r="BB523" s="244">
        <v>0</v>
      </c>
      <c r="BC523" s="244">
        <v>0</v>
      </c>
      <c r="BD523" s="244">
        <v>0</v>
      </c>
      <c r="BE523" s="244">
        <v>0</v>
      </c>
      <c r="BF523" s="244">
        <v>0</v>
      </c>
      <c r="BG523" s="244">
        <v>0</v>
      </c>
      <c r="BH523" s="245">
        <v>0</v>
      </c>
      <c r="BK523">
        <v>465</v>
      </c>
      <c r="BL523" s="281"/>
      <c r="BM523" s="281"/>
      <c r="BN523" s="282"/>
      <c r="BO523" s="282"/>
      <c r="BP523" s="282"/>
      <c r="BQ523" s="283"/>
      <c r="BR523" s="284"/>
      <c r="BS523" s="147"/>
      <c r="BT523" s="285"/>
      <c r="BU523" s="288"/>
      <c r="BV523" s="287"/>
      <c r="BW523" s="288"/>
      <c r="BX523" s="286"/>
      <c r="BY523" s="287"/>
      <c r="BZ523" s="288"/>
      <c r="CA523" s="286"/>
      <c r="CB523" s="286"/>
      <c r="CC523" s="287"/>
      <c r="CD523" s="286"/>
      <c r="CE523" s="286"/>
      <c r="CF523" s="286"/>
      <c r="CG523" s="287"/>
      <c r="CH523" s="288"/>
      <c r="CI523" s="286"/>
      <c r="CJ523" s="286"/>
      <c r="CK523" s="287"/>
      <c r="CL523" s="288"/>
      <c r="CM523" s="286"/>
      <c r="CN523" s="294"/>
      <c r="CO523" s="289"/>
      <c r="CP523" s="290"/>
      <c r="CQ523" s="289"/>
      <c r="CR523" s="290"/>
      <c r="CS523" s="284"/>
      <c r="CT523" s="147"/>
      <c r="CU523" s="291"/>
      <c r="CV523" s="292"/>
    </row>
    <row r="524" spans="2:100">
      <c r="B524">
        <v>466</v>
      </c>
      <c r="C524" s="243" t="str">
        <v/>
      </c>
      <c r="D524" s="592" t="str">
        <v/>
      </c>
      <c r="E524" s="245" t="str">
        <v/>
      </c>
      <c r="F524" s="243" t="str">
        <v/>
      </c>
      <c r="G524" s="245" t="str">
        <v/>
      </c>
      <c r="H524" s="243" t="str">
        <v/>
      </c>
      <c r="I524" s="245" t="str">
        <v/>
      </c>
      <c r="J524" s="242" t="str">
        <v/>
      </c>
      <c r="K524" s="242" t="str">
        <v/>
      </c>
      <c r="L524" s="242" t="str">
        <v/>
      </c>
      <c r="M524" s="243" t="str">
        <v/>
      </c>
      <c r="N524" s="592" t="str">
        <v/>
      </c>
      <c r="O524" s="245" t="str">
        <v/>
      </c>
      <c r="P524" s="245" t="str">
        <v/>
      </c>
      <c r="Q524" s="254" t="str">
        <v/>
      </c>
      <c r="R524" s="255" t="str">
        <v/>
      </c>
      <c r="S524" s="256" t="str">
        <v/>
      </c>
      <c r="T524" s="257" t="str">
        <v/>
      </c>
      <c r="U524" s="255" t="str">
        <v/>
      </c>
      <c r="V524" s="256" t="str">
        <v/>
      </c>
      <c r="W524" s="257" t="str">
        <v/>
      </c>
      <c r="X524" s="255" t="str">
        <v/>
      </c>
      <c r="Y524" s="256" t="str">
        <v/>
      </c>
      <c r="Z524" s="257" t="str">
        <v/>
      </c>
      <c r="AA524" s="255" t="str">
        <v/>
      </c>
      <c r="AB524" s="256" t="str">
        <v/>
      </c>
      <c r="AC524" s="257" t="str">
        <v/>
      </c>
      <c r="AD524" s="255" t="str">
        <v/>
      </c>
      <c r="AE524" s="256" t="str">
        <v/>
      </c>
      <c r="AF524" s="257" t="str">
        <v/>
      </c>
      <c r="AG524" s="255" t="str">
        <v/>
      </c>
      <c r="AH524" s="256" t="str">
        <v/>
      </c>
      <c r="AI524" s="257" t="str">
        <v/>
      </c>
      <c r="AJ524" s="255" t="str">
        <v/>
      </c>
      <c r="AK524" s="256" t="str">
        <v/>
      </c>
      <c r="AL524" s="257" t="str">
        <v/>
      </c>
      <c r="AM524" s="255" t="str">
        <v/>
      </c>
      <c r="AN524" s="256" t="str">
        <v/>
      </c>
      <c r="AO524" s="257" t="str">
        <v/>
      </c>
      <c r="AP524" s="255" t="str">
        <v/>
      </c>
      <c r="AQ524" s="256" t="str">
        <v/>
      </c>
      <c r="AR524" s="257" t="str">
        <v/>
      </c>
      <c r="AS524" s="255" t="str">
        <v/>
      </c>
      <c r="AT524" s="256" t="str">
        <v/>
      </c>
      <c r="AU524" s="257" t="str">
        <v/>
      </c>
      <c r="AV524" s="255" t="str">
        <v/>
      </c>
      <c r="AW524" s="256" t="str">
        <v/>
      </c>
      <c r="AX524" s="257" t="str">
        <v/>
      </c>
      <c r="AY524" s="243">
        <v>0</v>
      </c>
      <c r="AZ524" s="244">
        <v>0</v>
      </c>
      <c r="BA524" s="244">
        <v>0</v>
      </c>
      <c r="BB524" s="244">
        <v>0</v>
      </c>
      <c r="BC524" s="244">
        <v>0</v>
      </c>
      <c r="BD524" s="244">
        <v>0</v>
      </c>
      <c r="BE524" s="244">
        <v>0</v>
      </c>
      <c r="BF524" s="244">
        <v>0</v>
      </c>
      <c r="BG524" s="244">
        <v>0</v>
      </c>
      <c r="BH524" s="245">
        <v>0</v>
      </c>
      <c r="BK524">
        <v>466</v>
      </c>
      <c r="BL524" s="281"/>
      <c r="BM524" s="281"/>
      <c r="BN524" s="282"/>
      <c r="BO524" s="282"/>
      <c r="BP524" s="282"/>
      <c r="BQ524" s="283"/>
      <c r="BR524" s="284"/>
      <c r="BS524" s="147"/>
      <c r="BT524" s="285"/>
      <c r="BU524" s="288"/>
      <c r="BV524" s="287"/>
      <c r="BW524" s="288"/>
      <c r="BX524" s="286"/>
      <c r="BY524" s="287"/>
      <c r="BZ524" s="288"/>
      <c r="CA524" s="286"/>
      <c r="CB524" s="286"/>
      <c r="CC524" s="287"/>
      <c r="CD524" s="286"/>
      <c r="CE524" s="286"/>
      <c r="CF524" s="286"/>
      <c r="CG524" s="287"/>
      <c r="CH524" s="288"/>
      <c r="CI524" s="286"/>
      <c r="CJ524" s="286"/>
      <c r="CK524" s="287"/>
      <c r="CL524" s="288"/>
      <c r="CM524" s="286"/>
      <c r="CN524" s="294"/>
      <c r="CO524" s="289"/>
      <c r="CP524" s="290"/>
      <c r="CQ524" s="289"/>
      <c r="CR524" s="290"/>
      <c r="CS524" s="284"/>
      <c r="CT524" s="147"/>
      <c r="CU524" s="291"/>
      <c r="CV524" s="292"/>
    </row>
    <row r="525" spans="2:100">
      <c r="B525">
        <v>467</v>
      </c>
      <c r="C525" s="243" t="str">
        <v/>
      </c>
      <c r="D525" s="592" t="str">
        <v/>
      </c>
      <c r="E525" s="245" t="str">
        <v/>
      </c>
      <c r="F525" s="243" t="str">
        <v/>
      </c>
      <c r="G525" s="245" t="str">
        <v/>
      </c>
      <c r="H525" s="243" t="str">
        <v/>
      </c>
      <c r="I525" s="245" t="str">
        <v/>
      </c>
      <c r="J525" s="242" t="str">
        <v/>
      </c>
      <c r="K525" s="242" t="str">
        <v/>
      </c>
      <c r="L525" s="242" t="str">
        <v/>
      </c>
      <c r="M525" s="243" t="str">
        <v/>
      </c>
      <c r="N525" s="592" t="str">
        <v/>
      </c>
      <c r="O525" s="245" t="str">
        <v/>
      </c>
      <c r="P525" s="245" t="str">
        <v/>
      </c>
      <c r="Q525" s="254" t="str">
        <v/>
      </c>
      <c r="R525" s="255" t="str">
        <v/>
      </c>
      <c r="S525" s="256" t="str">
        <v/>
      </c>
      <c r="T525" s="257" t="str">
        <v/>
      </c>
      <c r="U525" s="255" t="str">
        <v/>
      </c>
      <c r="V525" s="256" t="str">
        <v/>
      </c>
      <c r="W525" s="257" t="str">
        <v/>
      </c>
      <c r="X525" s="255" t="str">
        <v/>
      </c>
      <c r="Y525" s="256" t="str">
        <v/>
      </c>
      <c r="Z525" s="257" t="str">
        <v/>
      </c>
      <c r="AA525" s="255" t="str">
        <v/>
      </c>
      <c r="AB525" s="256" t="str">
        <v/>
      </c>
      <c r="AC525" s="257" t="str">
        <v/>
      </c>
      <c r="AD525" s="255" t="str">
        <v/>
      </c>
      <c r="AE525" s="256" t="str">
        <v/>
      </c>
      <c r="AF525" s="257" t="str">
        <v/>
      </c>
      <c r="AG525" s="255" t="str">
        <v/>
      </c>
      <c r="AH525" s="256" t="str">
        <v/>
      </c>
      <c r="AI525" s="257" t="str">
        <v/>
      </c>
      <c r="AJ525" s="255" t="str">
        <v/>
      </c>
      <c r="AK525" s="256" t="str">
        <v/>
      </c>
      <c r="AL525" s="257" t="str">
        <v/>
      </c>
      <c r="AM525" s="255" t="str">
        <v/>
      </c>
      <c r="AN525" s="256" t="str">
        <v/>
      </c>
      <c r="AO525" s="257" t="str">
        <v/>
      </c>
      <c r="AP525" s="255" t="str">
        <v/>
      </c>
      <c r="AQ525" s="256" t="str">
        <v/>
      </c>
      <c r="AR525" s="257" t="str">
        <v/>
      </c>
      <c r="AS525" s="255" t="str">
        <v/>
      </c>
      <c r="AT525" s="256" t="str">
        <v/>
      </c>
      <c r="AU525" s="257" t="str">
        <v/>
      </c>
      <c r="AV525" s="255" t="str">
        <v/>
      </c>
      <c r="AW525" s="256" t="str">
        <v/>
      </c>
      <c r="AX525" s="257" t="str">
        <v/>
      </c>
      <c r="AY525" s="243">
        <v>0</v>
      </c>
      <c r="AZ525" s="244">
        <v>0</v>
      </c>
      <c r="BA525" s="244">
        <v>0</v>
      </c>
      <c r="BB525" s="244">
        <v>0</v>
      </c>
      <c r="BC525" s="244">
        <v>0</v>
      </c>
      <c r="BD525" s="244">
        <v>0</v>
      </c>
      <c r="BE525" s="244">
        <v>0</v>
      </c>
      <c r="BF525" s="244">
        <v>0</v>
      </c>
      <c r="BG525" s="244">
        <v>0</v>
      </c>
      <c r="BH525" s="245">
        <v>0</v>
      </c>
      <c r="BK525">
        <v>467</v>
      </c>
      <c r="BL525" s="281"/>
      <c r="BM525" s="281"/>
      <c r="BN525" s="282"/>
      <c r="BO525" s="282"/>
      <c r="BP525" s="282"/>
      <c r="BQ525" s="283"/>
      <c r="BR525" s="284"/>
      <c r="BS525" s="147"/>
      <c r="BT525" s="285"/>
      <c r="BU525" s="288"/>
      <c r="BV525" s="287"/>
      <c r="BW525" s="288"/>
      <c r="BX525" s="286"/>
      <c r="BY525" s="287"/>
      <c r="BZ525" s="288"/>
      <c r="CA525" s="286"/>
      <c r="CB525" s="286"/>
      <c r="CC525" s="287"/>
      <c r="CD525" s="286"/>
      <c r="CE525" s="286"/>
      <c r="CF525" s="286"/>
      <c r="CG525" s="287"/>
      <c r="CH525" s="288"/>
      <c r="CI525" s="286"/>
      <c r="CJ525" s="286"/>
      <c r="CK525" s="287"/>
      <c r="CL525" s="288"/>
      <c r="CM525" s="286"/>
      <c r="CN525" s="294"/>
      <c r="CO525" s="289"/>
      <c r="CP525" s="290"/>
      <c r="CQ525" s="289"/>
      <c r="CR525" s="290"/>
      <c r="CS525" s="284"/>
      <c r="CT525" s="147"/>
      <c r="CU525" s="291"/>
      <c r="CV525" s="292"/>
    </row>
    <row r="526" spans="2:100">
      <c r="B526">
        <v>468</v>
      </c>
      <c r="C526" s="243" t="str">
        <v/>
      </c>
      <c r="D526" s="592" t="str">
        <v/>
      </c>
      <c r="E526" s="245" t="str">
        <v/>
      </c>
      <c r="F526" s="243" t="str">
        <v/>
      </c>
      <c r="G526" s="245" t="str">
        <v/>
      </c>
      <c r="H526" s="243" t="str">
        <v/>
      </c>
      <c r="I526" s="245" t="str">
        <v/>
      </c>
      <c r="J526" s="242" t="str">
        <v/>
      </c>
      <c r="K526" s="242" t="str">
        <v/>
      </c>
      <c r="L526" s="242" t="str">
        <v/>
      </c>
      <c r="M526" s="243" t="str">
        <v/>
      </c>
      <c r="N526" s="592" t="str">
        <v/>
      </c>
      <c r="O526" s="245" t="str">
        <v/>
      </c>
      <c r="P526" s="245" t="str">
        <v/>
      </c>
      <c r="Q526" s="254" t="str">
        <v/>
      </c>
      <c r="R526" s="255" t="str">
        <v/>
      </c>
      <c r="S526" s="256" t="str">
        <v/>
      </c>
      <c r="T526" s="257" t="str">
        <v/>
      </c>
      <c r="U526" s="255" t="str">
        <v/>
      </c>
      <c r="V526" s="256" t="str">
        <v/>
      </c>
      <c r="W526" s="257" t="str">
        <v/>
      </c>
      <c r="X526" s="255" t="str">
        <v/>
      </c>
      <c r="Y526" s="256" t="str">
        <v/>
      </c>
      <c r="Z526" s="257" t="str">
        <v/>
      </c>
      <c r="AA526" s="255" t="str">
        <v/>
      </c>
      <c r="AB526" s="256" t="str">
        <v/>
      </c>
      <c r="AC526" s="257" t="str">
        <v/>
      </c>
      <c r="AD526" s="255" t="str">
        <v/>
      </c>
      <c r="AE526" s="256" t="str">
        <v/>
      </c>
      <c r="AF526" s="257" t="str">
        <v/>
      </c>
      <c r="AG526" s="255" t="str">
        <v/>
      </c>
      <c r="AH526" s="256" t="str">
        <v/>
      </c>
      <c r="AI526" s="257" t="str">
        <v/>
      </c>
      <c r="AJ526" s="255" t="str">
        <v/>
      </c>
      <c r="AK526" s="256" t="str">
        <v/>
      </c>
      <c r="AL526" s="257" t="str">
        <v/>
      </c>
      <c r="AM526" s="255" t="str">
        <v/>
      </c>
      <c r="AN526" s="256" t="str">
        <v/>
      </c>
      <c r="AO526" s="257" t="str">
        <v/>
      </c>
      <c r="AP526" s="255" t="str">
        <v/>
      </c>
      <c r="AQ526" s="256" t="str">
        <v/>
      </c>
      <c r="AR526" s="257" t="str">
        <v/>
      </c>
      <c r="AS526" s="255" t="str">
        <v/>
      </c>
      <c r="AT526" s="256" t="str">
        <v/>
      </c>
      <c r="AU526" s="257" t="str">
        <v/>
      </c>
      <c r="AV526" s="255" t="str">
        <v/>
      </c>
      <c r="AW526" s="256" t="str">
        <v/>
      </c>
      <c r="AX526" s="257" t="str">
        <v/>
      </c>
      <c r="AY526" s="243">
        <v>0</v>
      </c>
      <c r="AZ526" s="244">
        <v>0</v>
      </c>
      <c r="BA526" s="244">
        <v>0</v>
      </c>
      <c r="BB526" s="244">
        <v>0</v>
      </c>
      <c r="BC526" s="244">
        <v>0</v>
      </c>
      <c r="BD526" s="244">
        <v>0</v>
      </c>
      <c r="BE526" s="244">
        <v>0</v>
      </c>
      <c r="BF526" s="244">
        <v>0</v>
      </c>
      <c r="BG526" s="244">
        <v>0</v>
      </c>
      <c r="BH526" s="245">
        <v>0</v>
      </c>
      <c r="BK526">
        <v>468</v>
      </c>
      <c r="BL526" s="281"/>
      <c r="BM526" s="281"/>
      <c r="BN526" s="282"/>
      <c r="BO526" s="282"/>
      <c r="BP526" s="282"/>
      <c r="BQ526" s="283"/>
      <c r="BR526" s="284"/>
      <c r="BS526" s="147"/>
      <c r="BT526" s="285"/>
      <c r="BU526" s="288"/>
      <c r="BV526" s="287"/>
      <c r="BW526" s="288"/>
      <c r="BX526" s="286"/>
      <c r="BY526" s="287"/>
      <c r="BZ526" s="288"/>
      <c r="CA526" s="286"/>
      <c r="CB526" s="286"/>
      <c r="CC526" s="287"/>
      <c r="CD526" s="286"/>
      <c r="CE526" s="286"/>
      <c r="CF526" s="286"/>
      <c r="CG526" s="287"/>
      <c r="CH526" s="288"/>
      <c r="CI526" s="286"/>
      <c r="CJ526" s="286"/>
      <c r="CK526" s="287"/>
      <c r="CL526" s="288"/>
      <c r="CM526" s="286"/>
      <c r="CN526" s="294"/>
      <c r="CO526" s="289"/>
      <c r="CP526" s="290"/>
      <c r="CQ526" s="289"/>
      <c r="CR526" s="290"/>
      <c r="CS526" s="284"/>
      <c r="CT526" s="147"/>
      <c r="CU526" s="291"/>
      <c r="CV526" s="292"/>
    </row>
    <row r="527" spans="2:100">
      <c r="B527">
        <v>469</v>
      </c>
      <c r="C527" s="243" t="str">
        <v/>
      </c>
      <c r="D527" s="592" t="str">
        <v/>
      </c>
      <c r="E527" s="245" t="str">
        <v/>
      </c>
      <c r="F527" s="243" t="str">
        <v/>
      </c>
      <c r="G527" s="245" t="str">
        <v/>
      </c>
      <c r="H527" s="243" t="str">
        <v/>
      </c>
      <c r="I527" s="245" t="str">
        <v/>
      </c>
      <c r="J527" s="242" t="str">
        <v/>
      </c>
      <c r="K527" s="242" t="str">
        <v/>
      </c>
      <c r="L527" s="242" t="str">
        <v/>
      </c>
      <c r="M527" s="243" t="str">
        <v/>
      </c>
      <c r="N527" s="592" t="str">
        <v/>
      </c>
      <c r="O527" s="245" t="str">
        <v/>
      </c>
      <c r="P527" s="245" t="str">
        <v/>
      </c>
      <c r="Q527" s="254" t="str">
        <v/>
      </c>
      <c r="R527" s="255" t="str">
        <v/>
      </c>
      <c r="S527" s="256" t="str">
        <v/>
      </c>
      <c r="T527" s="257" t="str">
        <v/>
      </c>
      <c r="U527" s="255" t="str">
        <v/>
      </c>
      <c r="V527" s="256" t="str">
        <v/>
      </c>
      <c r="W527" s="257" t="str">
        <v/>
      </c>
      <c r="X527" s="255" t="str">
        <v/>
      </c>
      <c r="Y527" s="256" t="str">
        <v/>
      </c>
      <c r="Z527" s="257" t="str">
        <v/>
      </c>
      <c r="AA527" s="255" t="str">
        <v/>
      </c>
      <c r="AB527" s="256" t="str">
        <v/>
      </c>
      <c r="AC527" s="257" t="str">
        <v/>
      </c>
      <c r="AD527" s="255" t="str">
        <v/>
      </c>
      <c r="AE527" s="256" t="str">
        <v/>
      </c>
      <c r="AF527" s="257" t="str">
        <v/>
      </c>
      <c r="AG527" s="255" t="str">
        <v/>
      </c>
      <c r="AH527" s="256" t="str">
        <v/>
      </c>
      <c r="AI527" s="257" t="str">
        <v/>
      </c>
      <c r="AJ527" s="255" t="str">
        <v/>
      </c>
      <c r="AK527" s="256" t="str">
        <v/>
      </c>
      <c r="AL527" s="257" t="str">
        <v/>
      </c>
      <c r="AM527" s="255" t="str">
        <v/>
      </c>
      <c r="AN527" s="256" t="str">
        <v/>
      </c>
      <c r="AO527" s="257" t="str">
        <v/>
      </c>
      <c r="AP527" s="255" t="str">
        <v/>
      </c>
      <c r="AQ527" s="256" t="str">
        <v/>
      </c>
      <c r="AR527" s="257" t="str">
        <v/>
      </c>
      <c r="AS527" s="255" t="str">
        <v/>
      </c>
      <c r="AT527" s="256" t="str">
        <v/>
      </c>
      <c r="AU527" s="257" t="str">
        <v/>
      </c>
      <c r="AV527" s="255" t="str">
        <v/>
      </c>
      <c r="AW527" s="256" t="str">
        <v/>
      </c>
      <c r="AX527" s="257" t="str">
        <v/>
      </c>
      <c r="AY527" s="243">
        <v>0</v>
      </c>
      <c r="AZ527" s="244">
        <v>0</v>
      </c>
      <c r="BA527" s="244">
        <v>0</v>
      </c>
      <c r="BB527" s="244">
        <v>0</v>
      </c>
      <c r="BC527" s="244">
        <v>0</v>
      </c>
      <c r="BD527" s="244">
        <v>0</v>
      </c>
      <c r="BE527" s="244">
        <v>0</v>
      </c>
      <c r="BF527" s="244">
        <v>0</v>
      </c>
      <c r="BG527" s="244">
        <v>0</v>
      </c>
      <c r="BH527" s="245">
        <v>0</v>
      </c>
      <c r="BK527">
        <v>469</v>
      </c>
      <c r="BL527" s="281"/>
      <c r="BM527" s="281"/>
      <c r="BN527" s="282"/>
      <c r="BO527" s="282"/>
      <c r="BP527" s="282"/>
      <c r="BQ527" s="283"/>
      <c r="BR527" s="284"/>
      <c r="BS527" s="147"/>
      <c r="BT527" s="285"/>
      <c r="BU527" s="288"/>
      <c r="BV527" s="287"/>
      <c r="BW527" s="288"/>
      <c r="BX527" s="286"/>
      <c r="BY527" s="287"/>
      <c r="BZ527" s="288"/>
      <c r="CA527" s="286"/>
      <c r="CB527" s="286"/>
      <c r="CC527" s="287"/>
      <c r="CD527" s="286"/>
      <c r="CE527" s="286"/>
      <c r="CF527" s="286"/>
      <c r="CG527" s="287"/>
      <c r="CH527" s="288"/>
      <c r="CI527" s="286"/>
      <c r="CJ527" s="286"/>
      <c r="CK527" s="287"/>
      <c r="CL527" s="288"/>
      <c r="CM527" s="286"/>
      <c r="CN527" s="294"/>
      <c r="CO527" s="289"/>
      <c r="CP527" s="290"/>
      <c r="CQ527" s="289"/>
      <c r="CR527" s="290"/>
      <c r="CS527" s="284"/>
      <c r="CT527" s="147"/>
      <c r="CU527" s="291"/>
      <c r="CV527" s="292"/>
    </row>
    <row r="528" spans="2:100">
      <c r="B528">
        <v>470</v>
      </c>
      <c r="C528" s="243" t="str">
        <v/>
      </c>
      <c r="D528" s="592" t="str">
        <v/>
      </c>
      <c r="E528" s="245" t="str">
        <v/>
      </c>
      <c r="F528" s="243" t="str">
        <v/>
      </c>
      <c r="G528" s="245" t="str">
        <v/>
      </c>
      <c r="H528" s="243" t="str">
        <v/>
      </c>
      <c r="I528" s="245" t="str">
        <v/>
      </c>
      <c r="J528" s="242" t="str">
        <v/>
      </c>
      <c r="K528" s="242" t="str">
        <v/>
      </c>
      <c r="L528" s="242" t="str">
        <v/>
      </c>
      <c r="M528" s="243" t="str">
        <v/>
      </c>
      <c r="N528" s="592" t="str">
        <v/>
      </c>
      <c r="O528" s="245" t="str">
        <v/>
      </c>
      <c r="P528" s="245" t="str">
        <v/>
      </c>
      <c r="Q528" s="254" t="str">
        <v/>
      </c>
      <c r="R528" s="255" t="str">
        <v/>
      </c>
      <c r="S528" s="256" t="str">
        <v/>
      </c>
      <c r="T528" s="257" t="str">
        <v/>
      </c>
      <c r="U528" s="255" t="str">
        <v/>
      </c>
      <c r="V528" s="256" t="str">
        <v/>
      </c>
      <c r="W528" s="257" t="str">
        <v/>
      </c>
      <c r="X528" s="255" t="str">
        <v/>
      </c>
      <c r="Y528" s="256" t="str">
        <v/>
      </c>
      <c r="Z528" s="257" t="str">
        <v/>
      </c>
      <c r="AA528" s="255" t="str">
        <v/>
      </c>
      <c r="AB528" s="256" t="str">
        <v/>
      </c>
      <c r="AC528" s="257" t="str">
        <v/>
      </c>
      <c r="AD528" s="255" t="str">
        <v/>
      </c>
      <c r="AE528" s="256" t="str">
        <v/>
      </c>
      <c r="AF528" s="257" t="str">
        <v/>
      </c>
      <c r="AG528" s="255" t="str">
        <v/>
      </c>
      <c r="AH528" s="256" t="str">
        <v/>
      </c>
      <c r="AI528" s="257" t="str">
        <v/>
      </c>
      <c r="AJ528" s="255" t="str">
        <v/>
      </c>
      <c r="AK528" s="256" t="str">
        <v/>
      </c>
      <c r="AL528" s="257" t="str">
        <v/>
      </c>
      <c r="AM528" s="255" t="str">
        <v/>
      </c>
      <c r="AN528" s="256" t="str">
        <v/>
      </c>
      <c r="AO528" s="257" t="str">
        <v/>
      </c>
      <c r="AP528" s="255" t="str">
        <v/>
      </c>
      <c r="AQ528" s="256" t="str">
        <v/>
      </c>
      <c r="AR528" s="257" t="str">
        <v/>
      </c>
      <c r="AS528" s="255" t="str">
        <v/>
      </c>
      <c r="AT528" s="256" t="str">
        <v/>
      </c>
      <c r="AU528" s="257" t="str">
        <v/>
      </c>
      <c r="AV528" s="255" t="str">
        <v/>
      </c>
      <c r="AW528" s="256" t="str">
        <v/>
      </c>
      <c r="AX528" s="257" t="str">
        <v/>
      </c>
      <c r="AY528" s="243">
        <v>0</v>
      </c>
      <c r="AZ528" s="244">
        <v>0</v>
      </c>
      <c r="BA528" s="244">
        <v>0</v>
      </c>
      <c r="BB528" s="244">
        <v>0</v>
      </c>
      <c r="BC528" s="244">
        <v>0</v>
      </c>
      <c r="BD528" s="244">
        <v>0</v>
      </c>
      <c r="BE528" s="244">
        <v>0</v>
      </c>
      <c r="BF528" s="244">
        <v>0</v>
      </c>
      <c r="BG528" s="244">
        <v>0</v>
      </c>
      <c r="BH528" s="245">
        <v>0</v>
      </c>
      <c r="BK528">
        <v>470</v>
      </c>
      <c r="BL528" s="281"/>
      <c r="BM528" s="281"/>
      <c r="BN528" s="282"/>
      <c r="BO528" s="282"/>
      <c r="BP528" s="282"/>
      <c r="BQ528" s="283"/>
      <c r="BR528" s="284"/>
      <c r="BS528" s="147"/>
      <c r="BT528" s="285"/>
      <c r="BU528" s="288"/>
      <c r="BV528" s="287"/>
      <c r="BW528" s="288"/>
      <c r="BX528" s="286"/>
      <c r="BY528" s="287"/>
      <c r="BZ528" s="288"/>
      <c r="CA528" s="286"/>
      <c r="CB528" s="286"/>
      <c r="CC528" s="287"/>
      <c r="CD528" s="286"/>
      <c r="CE528" s="286"/>
      <c r="CF528" s="286"/>
      <c r="CG528" s="287"/>
      <c r="CH528" s="288"/>
      <c r="CI528" s="286"/>
      <c r="CJ528" s="286"/>
      <c r="CK528" s="287"/>
      <c r="CL528" s="288"/>
      <c r="CM528" s="286"/>
      <c r="CN528" s="294"/>
      <c r="CO528" s="289"/>
      <c r="CP528" s="290"/>
      <c r="CQ528" s="289"/>
      <c r="CR528" s="290"/>
      <c r="CS528" s="284"/>
      <c r="CT528" s="147"/>
      <c r="CU528" s="291"/>
      <c r="CV528" s="292"/>
    </row>
    <row r="529" spans="2:100">
      <c r="B529">
        <v>471</v>
      </c>
      <c r="C529" s="243" t="str">
        <v/>
      </c>
      <c r="D529" s="592" t="str">
        <v/>
      </c>
      <c r="E529" s="245" t="str">
        <v/>
      </c>
      <c r="F529" s="243" t="str">
        <v/>
      </c>
      <c r="G529" s="245" t="str">
        <v/>
      </c>
      <c r="H529" s="243" t="str">
        <v/>
      </c>
      <c r="I529" s="245" t="str">
        <v/>
      </c>
      <c r="J529" s="242" t="str">
        <v/>
      </c>
      <c r="K529" s="242" t="str">
        <v/>
      </c>
      <c r="L529" s="242" t="str">
        <v/>
      </c>
      <c r="M529" s="243" t="str">
        <v/>
      </c>
      <c r="N529" s="592" t="str">
        <v/>
      </c>
      <c r="O529" s="245" t="str">
        <v/>
      </c>
      <c r="P529" s="245" t="str">
        <v/>
      </c>
      <c r="Q529" s="254" t="str">
        <v/>
      </c>
      <c r="R529" s="255" t="str">
        <v/>
      </c>
      <c r="S529" s="256" t="str">
        <v/>
      </c>
      <c r="T529" s="257" t="str">
        <v/>
      </c>
      <c r="U529" s="255" t="str">
        <v/>
      </c>
      <c r="V529" s="256" t="str">
        <v/>
      </c>
      <c r="W529" s="257" t="str">
        <v/>
      </c>
      <c r="X529" s="255" t="str">
        <v/>
      </c>
      <c r="Y529" s="256" t="str">
        <v/>
      </c>
      <c r="Z529" s="257" t="str">
        <v/>
      </c>
      <c r="AA529" s="255" t="str">
        <v/>
      </c>
      <c r="AB529" s="256" t="str">
        <v/>
      </c>
      <c r="AC529" s="257" t="str">
        <v/>
      </c>
      <c r="AD529" s="255" t="str">
        <v/>
      </c>
      <c r="AE529" s="256" t="str">
        <v/>
      </c>
      <c r="AF529" s="257" t="str">
        <v/>
      </c>
      <c r="AG529" s="255" t="str">
        <v/>
      </c>
      <c r="AH529" s="256" t="str">
        <v/>
      </c>
      <c r="AI529" s="257" t="str">
        <v/>
      </c>
      <c r="AJ529" s="255" t="str">
        <v/>
      </c>
      <c r="AK529" s="256" t="str">
        <v/>
      </c>
      <c r="AL529" s="257" t="str">
        <v/>
      </c>
      <c r="AM529" s="255" t="str">
        <v/>
      </c>
      <c r="AN529" s="256" t="str">
        <v/>
      </c>
      <c r="AO529" s="257" t="str">
        <v/>
      </c>
      <c r="AP529" s="255" t="str">
        <v/>
      </c>
      <c r="AQ529" s="256" t="str">
        <v/>
      </c>
      <c r="AR529" s="257" t="str">
        <v/>
      </c>
      <c r="AS529" s="255" t="str">
        <v/>
      </c>
      <c r="AT529" s="256" t="str">
        <v/>
      </c>
      <c r="AU529" s="257" t="str">
        <v/>
      </c>
      <c r="AV529" s="255" t="str">
        <v/>
      </c>
      <c r="AW529" s="256" t="str">
        <v/>
      </c>
      <c r="AX529" s="257" t="str">
        <v/>
      </c>
      <c r="AY529" s="243">
        <v>0</v>
      </c>
      <c r="AZ529" s="244">
        <v>0</v>
      </c>
      <c r="BA529" s="244">
        <v>0</v>
      </c>
      <c r="BB529" s="244">
        <v>0</v>
      </c>
      <c r="BC529" s="244">
        <v>0</v>
      </c>
      <c r="BD529" s="244">
        <v>0</v>
      </c>
      <c r="BE529" s="244">
        <v>0</v>
      </c>
      <c r="BF529" s="244">
        <v>0</v>
      </c>
      <c r="BG529" s="244">
        <v>0</v>
      </c>
      <c r="BH529" s="245">
        <v>0</v>
      </c>
      <c r="BK529">
        <v>471</v>
      </c>
      <c r="BL529" s="281"/>
      <c r="BM529" s="281"/>
      <c r="BN529" s="282"/>
      <c r="BO529" s="282"/>
      <c r="BP529" s="282"/>
      <c r="BQ529" s="283"/>
      <c r="BR529" s="284"/>
      <c r="BS529" s="147"/>
      <c r="BT529" s="285"/>
      <c r="BU529" s="288"/>
      <c r="BV529" s="287"/>
      <c r="BW529" s="288"/>
      <c r="BX529" s="286"/>
      <c r="BY529" s="287"/>
      <c r="BZ529" s="288"/>
      <c r="CA529" s="286"/>
      <c r="CB529" s="286"/>
      <c r="CC529" s="287"/>
      <c r="CD529" s="286"/>
      <c r="CE529" s="286"/>
      <c r="CF529" s="286"/>
      <c r="CG529" s="287"/>
      <c r="CH529" s="288"/>
      <c r="CI529" s="286"/>
      <c r="CJ529" s="286"/>
      <c r="CK529" s="287"/>
      <c r="CL529" s="288"/>
      <c r="CM529" s="286"/>
      <c r="CN529" s="294"/>
      <c r="CO529" s="289"/>
      <c r="CP529" s="290"/>
      <c r="CQ529" s="289"/>
      <c r="CR529" s="290"/>
      <c r="CS529" s="284"/>
      <c r="CT529" s="147"/>
      <c r="CU529" s="291"/>
      <c r="CV529" s="292"/>
    </row>
    <row r="530" spans="2:100">
      <c r="B530">
        <v>472</v>
      </c>
      <c r="C530" s="243" t="str">
        <v/>
      </c>
      <c r="D530" s="592" t="str">
        <v/>
      </c>
      <c r="E530" s="245" t="str">
        <v/>
      </c>
      <c r="F530" s="243" t="str">
        <v/>
      </c>
      <c r="G530" s="245" t="str">
        <v/>
      </c>
      <c r="H530" s="243" t="str">
        <v/>
      </c>
      <c r="I530" s="245" t="str">
        <v/>
      </c>
      <c r="J530" s="242" t="str">
        <v/>
      </c>
      <c r="K530" s="242" t="str">
        <v/>
      </c>
      <c r="L530" s="242" t="str">
        <v/>
      </c>
      <c r="M530" s="243" t="str">
        <v/>
      </c>
      <c r="N530" s="592" t="str">
        <v/>
      </c>
      <c r="O530" s="245" t="str">
        <v/>
      </c>
      <c r="P530" s="245" t="str">
        <v/>
      </c>
      <c r="Q530" s="254" t="str">
        <v/>
      </c>
      <c r="R530" s="255" t="str">
        <v/>
      </c>
      <c r="S530" s="256" t="str">
        <v/>
      </c>
      <c r="T530" s="257" t="str">
        <v/>
      </c>
      <c r="U530" s="255" t="str">
        <v/>
      </c>
      <c r="V530" s="256" t="str">
        <v/>
      </c>
      <c r="W530" s="257" t="str">
        <v/>
      </c>
      <c r="X530" s="255" t="str">
        <v/>
      </c>
      <c r="Y530" s="256" t="str">
        <v/>
      </c>
      <c r="Z530" s="257" t="str">
        <v/>
      </c>
      <c r="AA530" s="255" t="str">
        <v/>
      </c>
      <c r="AB530" s="256" t="str">
        <v/>
      </c>
      <c r="AC530" s="257" t="str">
        <v/>
      </c>
      <c r="AD530" s="255" t="str">
        <v/>
      </c>
      <c r="AE530" s="256" t="str">
        <v/>
      </c>
      <c r="AF530" s="257" t="str">
        <v/>
      </c>
      <c r="AG530" s="255" t="str">
        <v/>
      </c>
      <c r="AH530" s="256" t="str">
        <v/>
      </c>
      <c r="AI530" s="257" t="str">
        <v/>
      </c>
      <c r="AJ530" s="255" t="str">
        <v/>
      </c>
      <c r="AK530" s="256" t="str">
        <v/>
      </c>
      <c r="AL530" s="257" t="str">
        <v/>
      </c>
      <c r="AM530" s="255" t="str">
        <v/>
      </c>
      <c r="AN530" s="256" t="str">
        <v/>
      </c>
      <c r="AO530" s="257" t="str">
        <v/>
      </c>
      <c r="AP530" s="255" t="str">
        <v/>
      </c>
      <c r="AQ530" s="256" t="str">
        <v/>
      </c>
      <c r="AR530" s="257" t="str">
        <v/>
      </c>
      <c r="AS530" s="255" t="str">
        <v/>
      </c>
      <c r="AT530" s="256" t="str">
        <v/>
      </c>
      <c r="AU530" s="257" t="str">
        <v/>
      </c>
      <c r="AV530" s="255" t="str">
        <v/>
      </c>
      <c r="AW530" s="256" t="str">
        <v/>
      </c>
      <c r="AX530" s="257" t="str">
        <v/>
      </c>
      <c r="AY530" s="243">
        <v>0</v>
      </c>
      <c r="AZ530" s="244">
        <v>0</v>
      </c>
      <c r="BA530" s="244">
        <v>0</v>
      </c>
      <c r="BB530" s="244">
        <v>0</v>
      </c>
      <c r="BC530" s="244">
        <v>0</v>
      </c>
      <c r="BD530" s="244">
        <v>0</v>
      </c>
      <c r="BE530" s="244">
        <v>0</v>
      </c>
      <c r="BF530" s="244">
        <v>0</v>
      </c>
      <c r="BG530" s="244">
        <v>0</v>
      </c>
      <c r="BH530" s="245">
        <v>0</v>
      </c>
      <c r="BK530">
        <v>472</v>
      </c>
      <c r="BL530" s="281"/>
      <c r="BM530" s="281"/>
      <c r="BN530" s="282"/>
      <c r="BO530" s="282"/>
      <c r="BP530" s="282"/>
      <c r="BQ530" s="283"/>
      <c r="BR530" s="284"/>
      <c r="BS530" s="147"/>
      <c r="BT530" s="285"/>
      <c r="BU530" s="288"/>
      <c r="BV530" s="287"/>
      <c r="BW530" s="288"/>
      <c r="BX530" s="286"/>
      <c r="BY530" s="287"/>
      <c r="BZ530" s="288"/>
      <c r="CA530" s="286"/>
      <c r="CB530" s="286"/>
      <c r="CC530" s="287"/>
      <c r="CD530" s="286"/>
      <c r="CE530" s="286"/>
      <c r="CF530" s="286"/>
      <c r="CG530" s="287"/>
      <c r="CH530" s="288"/>
      <c r="CI530" s="286"/>
      <c r="CJ530" s="286"/>
      <c r="CK530" s="287"/>
      <c r="CL530" s="288"/>
      <c r="CM530" s="286"/>
      <c r="CN530" s="294"/>
      <c r="CO530" s="289"/>
      <c r="CP530" s="290"/>
      <c r="CQ530" s="289"/>
      <c r="CR530" s="290"/>
      <c r="CS530" s="284"/>
      <c r="CT530" s="147"/>
      <c r="CU530" s="291"/>
      <c r="CV530" s="292"/>
    </row>
    <row r="531" spans="2:100">
      <c r="B531">
        <v>473</v>
      </c>
      <c r="C531" s="243" t="str">
        <v/>
      </c>
      <c r="D531" s="592" t="str">
        <v/>
      </c>
      <c r="E531" s="245" t="str">
        <v/>
      </c>
      <c r="F531" s="243" t="str">
        <v/>
      </c>
      <c r="G531" s="245" t="str">
        <v/>
      </c>
      <c r="H531" s="243" t="str">
        <v/>
      </c>
      <c r="I531" s="245" t="str">
        <v/>
      </c>
      <c r="J531" s="242" t="str">
        <v/>
      </c>
      <c r="K531" s="242" t="str">
        <v/>
      </c>
      <c r="L531" s="242" t="str">
        <v/>
      </c>
      <c r="M531" s="243" t="str">
        <v/>
      </c>
      <c r="N531" s="592" t="str">
        <v/>
      </c>
      <c r="O531" s="245" t="str">
        <v/>
      </c>
      <c r="P531" s="245" t="str">
        <v/>
      </c>
      <c r="Q531" s="254" t="str">
        <v/>
      </c>
      <c r="R531" s="255" t="str">
        <v/>
      </c>
      <c r="S531" s="256" t="str">
        <v/>
      </c>
      <c r="T531" s="257" t="str">
        <v/>
      </c>
      <c r="U531" s="255" t="str">
        <v/>
      </c>
      <c r="V531" s="256" t="str">
        <v/>
      </c>
      <c r="W531" s="257" t="str">
        <v/>
      </c>
      <c r="X531" s="255" t="str">
        <v/>
      </c>
      <c r="Y531" s="256" t="str">
        <v/>
      </c>
      <c r="Z531" s="257" t="str">
        <v/>
      </c>
      <c r="AA531" s="255" t="str">
        <v/>
      </c>
      <c r="AB531" s="256" t="str">
        <v/>
      </c>
      <c r="AC531" s="257" t="str">
        <v/>
      </c>
      <c r="AD531" s="255" t="str">
        <v/>
      </c>
      <c r="AE531" s="256" t="str">
        <v/>
      </c>
      <c r="AF531" s="257" t="str">
        <v/>
      </c>
      <c r="AG531" s="255" t="str">
        <v/>
      </c>
      <c r="AH531" s="256" t="str">
        <v/>
      </c>
      <c r="AI531" s="257" t="str">
        <v/>
      </c>
      <c r="AJ531" s="255" t="str">
        <v/>
      </c>
      <c r="AK531" s="256" t="str">
        <v/>
      </c>
      <c r="AL531" s="257" t="str">
        <v/>
      </c>
      <c r="AM531" s="255" t="str">
        <v/>
      </c>
      <c r="AN531" s="256" t="str">
        <v/>
      </c>
      <c r="AO531" s="257" t="str">
        <v/>
      </c>
      <c r="AP531" s="255" t="str">
        <v/>
      </c>
      <c r="AQ531" s="256" t="str">
        <v/>
      </c>
      <c r="AR531" s="257" t="str">
        <v/>
      </c>
      <c r="AS531" s="255" t="str">
        <v/>
      </c>
      <c r="AT531" s="256" t="str">
        <v/>
      </c>
      <c r="AU531" s="257" t="str">
        <v/>
      </c>
      <c r="AV531" s="255" t="str">
        <v/>
      </c>
      <c r="AW531" s="256" t="str">
        <v/>
      </c>
      <c r="AX531" s="257" t="str">
        <v/>
      </c>
      <c r="AY531" s="243">
        <v>0</v>
      </c>
      <c r="AZ531" s="244">
        <v>0</v>
      </c>
      <c r="BA531" s="244">
        <v>0</v>
      </c>
      <c r="BB531" s="244">
        <v>0</v>
      </c>
      <c r="BC531" s="244">
        <v>0</v>
      </c>
      <c r="BD531" s="244">
        <v>0</v>
      </c>
      <c r="BE531" s="244">
        <v>0</v>
      </c>
      <c r="BF531" s="244">
        <v>0</v>
      </c>
      <c r="BG531" s="244">
        <v>0</v>
      </c>
      <c r="BH531" s="245">
        <v>0</v>
      </c>
      <c r="BK531">
        <v>473</v>
      </c>
      <c r="BL531" s="281"/>
      <c r="BM531" s="281"/>
      <c r="BN531" s="282"/>
      <c r="BO531" s="282"/>
      <c r="BP531" s="282"/>
      <c r="BQ531" s="283"/>
      <c r="BR531" s="284"/>
      <c r="BS531" s="147"/>
      <c r="BT531" s="285"/>
      <c r="BU531" s="288"/>
      <c r="BV531" s="287"/>
      <c r="BW531" s="288"/>
      <c r="BX531" s="286"/>
      <c r="BY531" s="287"/>
      <c r="BZ531" s="288"/>
      <c r="CA531" s="286"/>
      <c r="CB531" s="286"/>
      <c r="CC531" s="287"/>
      <c r="CD531" s="286"/>
      <c r="CE531" s="286"/>
      <c r="CF531" s="286"/>
      <c r="CG531" s="287"/>
      <c r="CH531" s="288"/>
      <c r="CI531" s="286"/>
      <c r="CJ531" s="286"/>
      <c r="CK531" s="287"/>
      <c r="CL531" s="288"/>
      <c r="CM531" s="286"/>
      <c r="CN531" s="294"/>
      <c r="CO531" s="289"/>
      <c r="CP531" s="290"/>
      <c r="CQ531" s="289"/>
      <c r="CR531" s="290"/>
      <c r="CS531" s="284"/>
      <c r="CT531" s="147"/>
      <c r="CU531" s="291"/>
      <c r="CV531" s="292"/>
    </row>
    <row r="532" spans="2:100">
      <c r="B532">
        <v>474</v>
      </c>
      <c r="C532" s="243" t="str">
        <v/>
      </c>
      <c r="D532" s="592" t="str">
        <v/>
      </c>
      <c r="E532" s="245" t="str">
        <v/>
      </c>
      <c r="F532" s="243" t="str">
        <v/>
      </c>
      <c r="G532" s="245" t="str">
        <v/>
      </c>
      <c r="H532" s="243" t="str">
        <v/>
      </c>
      <c r="I532" s="245" t="str">
        <v/>
      </c>
      <c r="J532" s="242" t="str">
        <v/>
      </c>
      <c r="K532" s="242" t="str">
        <v/>
      </c>
      <c r="L532" s="242" t="str">
        <v/>
      </c>
      <c r="M532" s="243" t="str">
        <v/>
      </c>
      <c r="N532" s="592" t="str">
        <v/>
      </c>
      <c r="O532" s="245" t="str">
        <v/>
      </c>
      <c r="P532" s="245" t="str">
        <v/>
      </c>
      <c r="Q532" s="254" t="str">
        <v/>
      </c>
      <c r="R532" s="255" t="str">
        <v/>
      </c>
      <c r="S532" s="256" t="str">
        <v/>
      </c>
      <c r="T532" s="257" t="str">
        <v/>
      </c>
      <c r="U532" s="255" t="str">
        <v/>
      </c>
      <c r="V532" s="256" t="str">
        <v/>
      </c>
      <c r="W532" s="257" t="str">
        <v/>
      </c>
      <c r="X532" s="255" t="str">
        <v/>
      </c>
      <c r="Y532" s="256" t="str">
        <v/>
      </c>
      <c r="Z532" s="257" t="str">
        <v/>
      </c>
      <c r="AA532" s="255" t="str">
        <v/>
      </c>
      <c r="AB532" s="256" t="str">
        <v/>
      </c>
      <c r="AC532" s="257" t="str">
        <v/>
      </c>
      <c r="AD532" s="255" t="str">
        <v/>
      </c>
      <c r="AE532" s="256" t="str">
        <v/>
      </c>
      <c r="AF532" s="257" t="str">
        <v/>
      </c>
      <c r="AG532" s="255" t="str">
        <v/>
      </c>
      <c r="AH532" s="256" t="str">
        <v/>
      </c>
      <c r="AI532" s="257" t="str">
        <v/>
      </c>
      <c r="AJ532" s="255" t="str">
        <v/>
      </c>
      <c r="AK532" s="256" t="str">
        <v/>
      </c>
      <c r="AL532" s="257" t="str">
        <v/>
      </c>
      <c r="AM532" s="255" t="str">
        <v/>
      </c>
      <c r="AN532" s="256" t="str">
        <v/>
      </c>
      <c r="AO532" s="257" t="str">
        <v/>
      </c>
      <c r="AP532" s="255" t="str">
        <v/>
      </c>
      <c r="AQ532" s="256" t="str">
        <v/>
      </c>
      <c r="AR532" s="257" t="str">
        <v/>
      </c>
      <c r="AS532" s="255" t="str">
        <v/>
      </c>
      <c r="AT532" s="256" t="str">
        <v/>
      </c>
      <c r="AU532" s="257" t="str">
        <v/>
      </c>
      <c r="AV532" s="255" t="str">
        <v/>
      </c>
      <c r="AW532" s="256" t="str">
        <v/>
      </c>
      <c r="AX532" s="257" t="str">
        <v/>
      </c>
      <c r="AY532" s="243">
        <v>0</v>
      </c>
      <c r="AZ532" s="244">
        <v>0</v>
      </c>
      <c r="BA532" s="244">
        <v>0</v>
      </c>
      <c r="BB532" s="244">
        <v>0</v>
      </c>
      <c r="BC532" s="244">
        <v>0</v>
      </c>
      <c r="BD532" s="244">
        <v>0</v>
      </c>
      <c r="BE532" s="244">
        <v>0</v>
      </c>
      <c r="BF532" s="244">
        <v>0</v>
      </c>
      <c r="BG532" s="244">
        <v>0</v>
      </c>
      <c r="BH532" s="245">
        <v>0</v>
      </c>
      <c r="BK532">
        <v>474</v>
      </c>
      <c r="BL532" s="281"/>
      <c r="BM532" s="281"/>
      <c r="BN532" s="282"/>
      <c r="BO532" s="282"/>
      <c r="BP532" s="282"/>
      <c r="BQ532" s="283"/>
      <c r="BR532" s="284"/>
      <c r="BS532" s="147"/>
      <c r="BT532" s="285"/>
      <c r="BU532" s="288"/>
      <c r="BV532" s="287"/>
      <c r="BW532" s="288"/>
      <c r="BX532" s="286"/>
      <c r="BY532" s="287"/>
      <c r="BZ532" s="288"/>
      <c r="CA532" s="286"/>
      <c r="CB532" s="286"/>
      <c r="CC532" s="287"/>
      <c r="CD532" s="286"/>
      <c r="CE532" s="286"/>
      <c r="CF532" s="286"/>
      <c r="CG532" s="287"/>
      <c r="CH532" s="288"/>
      <c r="CI532" s="286"/>
      <c r="CJ532" s="286"/>
      <c r="CK532" s="287"/>
      <c r="CL532" s="288"/>
      <c r="CM532" s="286"/>
      <c r="CN532" s="294"/>
      <c r="CO532" s="289"/>
      <c r="CP532" s="290"/>
      <c r="CQ532" s="289"/>
      <c r="CR532" s="290"/>
      <c r="CS532" s="284"/>
      <c r="CT532" s="147"/>
      <c r="CU532" s="291"/>
      <c r="CV532" s="292"/>
    </row>
    <row r="533" spans="2:100">
      <c r="B533">
        <v>475</v>
      </c>
      <c r="C533" s="243" t="str">
        <v/>
      </c>
      <c r="D533" s="592" t="str">
        <v/>
      </c>
      <c r="E533" s="245" t="str">
        <v/>
      </c>
      <c r="F533" s="243" t="str">
        <v/>
      </c>
      <c r="G533" s="245" t="str">
        <v/>
      </c>
      <c r="H533" s="243" t="str">
        <v/>
      </c>
      <c r="I533" s="245" t="str">
        <v/>
      </c>
      <c r="J533" s="242" t="str">
        <v/>
      </c>
      <c r="K533" s="242" t="str">
        <v/>
      </c>
      <c r="L533" s="242" t="str">
        <v/>
      </c>
      <c r="M533" s="243" t="str">
        <v/>
      </c>
      <c r="N533" s="592" t="str">
        <v/>
      </c>
      <c r="O533" s="245" t="str">
        <v/>
      </c>
      <c r="P533" s="245" t="str">
        <v/>
      </c>
      <c r="Q533" s="254" t="str">
        <v/>
      </c>
      <c r="R533" s="255" t="str">
        <v/>
      </c>
      <c r="S533" s="256" t="str">
        <v/>
      </c>
      <c r="T533" s="257" t="str">
        <v/>
      </c>
      <c r="U533" s="255" t="str">
        <v/>
      </c>
      <c r="V533" s="256" t="str">
        <v/>
      </c>
      <c r="W533" s="257" t="str">
        <v/>
      </c>
      <c r="X533" s="255" t="str">
        <v/>
      </c>
      <c r="Y533" s="256" t="str">
        <v/>
      </c>
      <c r="Z533" s="257" t="str">
        <v/>
      </c>
      <c r="AA533" s="255" t="str">
        <v/>
      </c>
      <c r="AB533" s="256" t="str">
        <v/>
      </c>
      <c r="AC533" s="257" t="str">
        <v/>
      </c>
      <c r="AD533" s="255" t="str">
        <v/>
      </c>
      <c r="AE533" s="256" t="str">
        <v/>
      </c>
      <c r="AF533" s="257" t="str">
        <v/>
      </c>
      <c r="AG533" s="255" t="str">
        <v/>
      </c>
      <c r="AH533" s="256" t="str">
        <v/>
      </c>
      <c r="AI533" s="257" t="str">
        <v/>
      </c>
      <c r="AJ533" s="255" t="str">
        <v/>
      </c>
      <c r="AK533" s="256" t="str">
        <v/>
      </c>
      <c r="AL533" s="257" t="str">
        <v/>
      </c>
      <c r="AM533" s="255" t="str">
        <v/>
      </c>
      <c r="AN533" s="256" t="str">
        <v/>
      </c>
      <c r="AO533" s="257" t="str">
        <v/>
      </c>
      <c r="AP533" s="255" t="str">
        <v/>
      </c>
      <c r="AQ533" s="256" t="str">
        <v/>
      </c>
      <c r="AR533" s="257" t="str">
        <v/>
      </c>
      <c r="AS533" s="255" t="str">
        <v/>
      </c>
      <c r="AT533" s="256" t="str">
        <v/>
      </c>
      <c r="AU533" s="257" t="str">
        <v/>
      </c>
      <c r="AV533" s="255" t="str">
        <v/>
      </c>
      <c r="AW533" s="256" t="str">
        <v/>
      </c>
      <c r="AX533" s="257" t="str">
        <v/>
      </c>
      <c r="AY533" s="243">
        <v>0</v>
      </c>
      <c r="AZ533" s="244">
        <v>0</v>
      </c>
      <c r="BA533" s="244">
        <v>0</v>
      </c>
      <c r="BB533" s="244">
        <v>0</v>
      </c>
      <c r="BC533" s="244">
        <v>0</v>
      </c>
      <c r="BD533" s="244">
        <v>0</v>
      </c>
      <c r="BE533" s="244">
        <v>0</v>
      </c>
      <c r="BF533" s="244">
        <v>0</v>
      </c>
      <c r="BG533" s="244">
        <v>0</v>
      </c>
      <c r="BH533" s="245">
        <v>0</v>
      </c>
      <c r="BK533">
        <v>475</v>
      </c>
      <c r="BL533" s="281"/>
      <c r="BM533" s="281"/>
      <c r="BN533" s="282"/>
      <c r="BO533" s="282"/>
      <c r="BP533" s="282"/>
      <c r="BQ533" s="283"/>
      <c r="BR533" s="284"/>
      <c r="BS533" s="147"/>
      <c r="BT533" s="285"/>
      <c r="BU533" s="288"/>
      <c r="BV533" s="287"/>
      <c r="BW533" s="288"/>
      <c r="BX533" s="286"/>
      <c r="BY533" s="287"/>
      <c r="BZ533" s="288"/>
      <c r="CA533" s="286"/>
      <c r="CB533" s="286"/>
      <c r="CC533" s="287"/>
      <c r="CD533" s="286"/>
      <c r="CE533" s="286"/>
      <c r="CF533" s="286"/>
      <c r="CG533" s="287"/>
      <c r="CH533" s="288"/>
      <c r="CI533" s="286"/>
      <c r="CJ533" s="286"/>
      <c r="CK533" s="287"/>
      <c r="CL533" s="288"/>
      <c r="CM533" s="286"/>
      <c r="CN533" s="294"/>
      <c r="CO533" s="289"/>
      <c r="CP533" s="290"/>
      <c r="CQ533" s="289"/>
      <c r="CR533" s="290"/>
      <c r="CS533" s="284"/>
      <c r="CT533" s="147"/>
      <c r="CU533" s="291"/>
      <c r="CV533" s="292"/>
    </row>
    <row r="534" spans="2:100">
      <c r="B534">
        <v>476</v>
      </c>
      <c r="C534" s="243" t="str">
        <v/>
      </c>
      <c r="D534" s="592" t="str">
        <v/>
      </c>
      <c r="E534" s="245" t="str">
        <v/>
      </c>
      <c r="F534" s="243" t="str">
        <v/>
      </c>
      <c r="G534" s="245" t="str">
        <v/>
      </c>
      <c r="H534" s="243" t="str">
        <v/>
      </c>
      <c r="I534" s="245" t="str">
        <v/>
      </c>
      <c r="J534" s="242" t="str">
        <v/>
      </c>
      <c r="K534" s="242" t="str">
        <v/>
      </c>
      <c r="L534" s="242" t="str">
        <v/>
      </c>
      <c r="M534" s="243" t="str">
        <v/>
      </c>
      <c r="N534" s="592" t="str">
        <v/>
      </c>
      <c r="O534" s="245" t="str">
        <v/>
      </c>
      <c r="P534" s="245" t="str">
        <v/>
      </c>
      <c r="Q534" s="254" t="str">
        <v/>
      </c>
      <c r="R534" s="255" t="str">
        <v/>
      </c>
      <c r="S534" s="256" t="str">
        <v/>
      </c>
      <c r="T534" s="257" t="str">
        <v/>
      </c>
      <c r="U534" s="255" t="str">
        <v/>
      </c>
      <c r="V534" s="256" t="str">
        <v/>
      </c>
      <c r="W534" s="257" t="str">
        <v/>
      </c>
      <c r="X534" s="255" t="str">
        <v/>
      </c>
      <c r="Y534" s="256" t="str">
        <v/>
      </c>
      <c r="Z534" s="257" t="str">
        <v/>
      </c>
      <c r="AA534" s="255" t="str">
        <v/>
      </c>
      <c r="AB534" s="256" t="str">
        <v/>
      </c>
      <c r="AC534" s="257" t="str">
        <v/>
      </c>
      <c r="AD534" s="255" t="str">
        <v/>
      </c>
      <c r="AE534" s="256" t="str">
        <v/>
      </c>
      <c r="AF534" s="257" t="str">
        <v/>
      </c>
      <c r="AG534" s="255" t="str">
        <v/>
      </c>
      <c r="AH534" s="256" t="str">
        <v/>
      </c>
      <c r="AI534" s="257" t="str">
        <v/>
      </c>
      <c r="AJ534" s="255" t="str">
        <v/>
      </c>
      <c r="AK534" s="256" t="str">
        <v/>
      </c>
      <c r="AL534" s="257" t="str">
        <v/>
      </c>
      <c r="AM534" s="255" t="str">
        <v/>
      </c>
      <c r="AN534" s="256" t="str">
        <v/>
      </c>
      <c r="AO534" s="257" t="str">
        <v/>
      </c>
      <c r="AP534" s="255" t="str">
        <v/>
      </c>
      <c r="AQ534" s="256" t="str">
        <v/>
      </c>
      <c r="AR534" s="257" t="str">
        <v/>
      </c>
      <c r="AS534" s="255" t="str">
        <v/>
      </c>
      <c r="AT534" s="256" t="str">
        <v/>
      </c>
      <c r="AU534" s="257" t="str">
        <v/>
      </c>
      <c r="AV534" s="255" t="str">
        <v/>
      </c>
      <c r="AW534" s="256" t="str">
        <v/>
      </c>
      <c r="AX534" s="257" t="str">
        <v/>
      </c>
      <c r="AY534" s="243">
        <v>0</v>
      </c>
      <c r="AZ534" s="244">
        <v>0</v>
      </c>
      <c r="BA534" s="244">
        <v>0</v>
      </c>
      <c r="BB534" s="244">
        <v>0</v>
      </c>
      <c r="BC534" s="244">
        <v>0</v>
      </c>
      <c r="BD534" s="244">
        <v>0</v>
      </c>
      <c r="BE534" s="244">
        <v>0</v>
      </c>
      <c r="BF534" s="244">
        <v>0</v>
      </c>
      <c r="BG534" s="244">
        <v>0</v>
      </c>
      <c r="BH534" s="245">
        <v>0</v>
      </c>
      <c r="BK534">
        <v>476</v>
      </c>
      <c r="BL534" s="281"/>
      <c r="BM534" s="281"/>
      <c r="BN534" s="282"/>
      <c r="BO534" s="282"/>
      <c r="BP534" s="282"/>
      <c r="BQ534" s="283"/>
      <c r="BR534" s="284"/>
      <c r="BS534" s="147"/>
      <c r="BT534" s="285"/>
      <c r="BU534" s="288"/>
      <c r="BV534" s="287"/>
      <c r="BW534" s="288"/>
      <c r="BX534" s="286"/>
      <c r="BY534" s="287"/>
      <c r="BZ534" s="288"/>
      <c r="CA534" s="286"/>
      <c r="CB534" s="286"/>
      <c r="CC534" s="287"/>
      <c r="CD534" s="286"/>
      <c r="CE534" s="286"/>
      <c r="CF534" s="286"/>
      <c r="CG534" s="287"/>
      <c r="CH534" s="288"/>
      <c r="CI534" s="286"/>
      <c r="CJ534" s="286"/>
      <c r="CK534" s="287"/>
      <c r="CL534" s="288"/>
      <c r="CM534" s="286"/>
      <c r="CN534" s="294"/>
      <c r="CO534" s="289"/>
      <c r="CP534" s="290"/>
      <c r="CQ534" s="289"/>
      <c r="CR534" s="290"/>
      <c r="CS534" s="284"/>
      <c r="CT534" s="147"/>
      <c r="CU534" s="291"/>
      <c r="CV534" s="292"/>
    </row>
    <row r="535" spans="2:100">
      <c r="B535">
        <v>477</v>
      </c>
      <c r="C535" s="243" t="str">
        <v/>
      </c>
      <c r="D535" s="592" t="str">
        <v/>
      </c>
      <c r="E535" s="245" t="str">
        <v/>
      </c>
      <c r="F535" s="243" t="str">
        <v/>
      </c>
      <c r="G535" s="245" t="str">
        <v/>
      </c>
      <c r="H535" s="243" t="str">
        <v/>
      </c>
      <c r="I535" s="245" t="str">
        <v/>
      </c>
      <c r="J535" s="242" t="str">
        <v/>
      </c>
      <c r="K535" s="242" t="str">
        <v/>
      </c>
      <c r="L535" s="242" t="str">
        <v/>
      </c>
      <c r="M535" s="243" t="str">
        <v/>
      </c>
      <c r="N535" s="592" t="str">
        <v/>
      </c>
      <c r="O535" s="245" t="str">
        <v/>
      </c>
      <c r="P535" s="245" t="str">
        <v/>
      </c>
      <c r="Q535" s="254" t="str">
        <v/>
      </c>
      <c r="R535" s="255" t="str">
        <v/>
      </c>
      <c r="S535" s="256" t="str">
        <v/>
      </c>
      <c r="T535" s="257" t="str">
        <v/>
      </c>
      <c r="U535" s="255" t="str">
        <v/>
      </c>
      <c r="V535" s="256" t="str">
        <v/>
      </c>
      <c r="W535" s="257" t="str">
        <v/>
      </c>
      <c r="X535" s="255" t="str">
        <v/>
      </c>
      <c r="Y535" s="256" t="str">
        <v/>
      </c>
      <c r="Z535" s="257" t="str">
        <v/>
      </c>
      <c r="AA535" s="255" t="str">
        <v/>
      </c>
      <c r="AB535" s="256" t="str">
        <v/>
      </c>
      <c r="AC535" s="257" t="str">
        <v/>
      </c>
      <c r="AD535" s="255" t="str">
        <v/>
      </c>
      <c r="AE535" s="256" t="str">
        <v/>
      </c>
      <c r="AF535" s="257" t="str">
        <v/>
      </c>
      <c r="AG535" s="255" t="str">
        <v/>
      </c>
      <c r="AH535" s="256" t="str">
        <v/>
      </c>
      <c r="AI535" s="257" t="str">
        <v/>
      </c>
      <c r="AJ535" s="255" t="str">
        <v/>
      </c>
      <c r="AK535" s="256" t="str">
        <v/>
      </c>
      <c r="AL535" s="257" t="str">
        <v/>
      </c>
      <c r="AM535" s="255" t="str">
        <v/>
      </c>
      <c r="AN535" s="256" t="str">
        <v/>
      </c>
      <c r="AO535" s="257" t="str">
        <v/>
      </c>
      <c r="AP535" s="255" t="str">
        <v/>
      </c>
      <c r="AQ535" s="256" t="str">
        <v/>
      </c>
      <c r="AR535" s="257" t="str">
        <v/>
      </c>
      <c r="AS535" s="255" t="str">
        <v/>
      </c>
      <c r="AT535" s="256" t="str">
        <v/>
      </c>
      <c r="AU535" s="257" t="str">
        <v/>
      </c>
      <c r="AV535" s="255" t="str">
        <v/>
      </c>
      <c r="AW535" s="256" t="str">
        <v/>
      </c>
      <c r="AX535" s="257" t="str">
        <v/>
      </c>
      <c r="AY535" s="243">
        <v>0</v>
      </c>
      <c r="AZ535" s="244">
        <v>0</v>
      </c>
      <c r="BA535" s="244">
        <v>0</v>
      </c>
      <c r="BB535" s="244">
        <v>0</v>
      </c>
      <c r="BC535" s="244">
        <v>0</v>
      </c>
      <c r="BD535" s="244">
        <v>0</v>
      </c>
      <c r="BE535" s="244">
        <v>0</v>
      </c>
      <c r="BF535" s="244">
        <v>0</v>
      </c>
      <c r="BG535" s="244">
        <v>0</v>
      </c>
      <c r="BH535" s="245">
        <v>0</v>
      </c>
      <c r="BK535">
        <v>477</v>
      </c>
      <c r="BL535" s="281"/>
      <c r="BM535" s="281"/>
      <c r="BN535" s="282"/>
      <c r="BO535" s="282"/>
      <c r="BP535" s="282"/>
      <c r="BQ535" s="283"/>
      <c r="BR535" s="284"/>
      <c r="BS535" s="147"/>
      <c r="BT535" s="285"/>
      <c r="BU535" s="288"/>
      <c r="BV535" s="287"/>
      <c r="BW535" s="288"/>
      <c r="BX535" s="286"/>
      <c r="BY535" s="287"/>
      <c r="BZ535" s="288"/>
      <c r="CA535" s="286"/>
      <c r="CB535" s="286"/>
      <c r="CC535" s="287"/>
      <c r="CD535" s="286"/>
      <c r="CE535" s="286"/>
      <c r="CF535" s="286"/>
      <c r="CG535" s="287"/>
      <c r="CH535" s="288"/>
      <c r="CI535" s="286"/>
      <c r="CJ535" s="286"/>
      <c r="CK535" s="287"/>
      <c r="CL535" s="288"/>
      <c r="CM535" s="286"/>
      <c r="CN535" s="294"/>
      <c r="CO535" s="289"/>
      <c r="CP535" s="290"/>
      <c r="CQ535" s="289"/>
      <c r="CR535" s="290"/>
      <c r="CS535" s="284"/>
      <c r="CT535" s="147"/>
      <c r="CU535" s="291"/>
      <c r="CV535" s="292"/>
    </row>
    <row r="536" spans="2:100">
      <c r="B536">
        <v>478</v>
      </c>
      <c r="C536" s="243" t="str">
        <v/>
      </c>
      <c r="D536" s="592" t="str">
        <v/>
      </c>
      <c r="E536" s="245" t="str">
        <v/>
      </c>
      <c r="F536" s="243" t="str">
        <v/>
      </c>
      <c r="G536" s="245" t="str">
        <v/>
      </c>
      <c r="H536" s="243" t="str">
        <v/>
      </c>
      <c r="I536" s="245" t="str">
        <v/>
      </c>
      <c r="J536" s="242" t="str">
        <v/>
      </c>
      <c r="K536" s="242" t="str">
        <v/>
      </c>
      <c r="L536" s="242" t="str">
        <v/>
      </c>
      <c r="M536" s="243" t="str">
        <v/>
      </c>
      <c r="N536" s="592" t="str">
        <v/>
      </c>
      <c r="O536" s="245" t="str">
        <v/>
      </c>
      <c r="P536" s="245" t="str">
        <v/>
      </c>
      <c r="Q536" s="254" t="str">
        <v/>
      </c>
      <c r="R536" s="255" t="str">
        <v/>
      </c>
      <c r="S536" s="256" t="str">
        <v/>
      </c>
      <c r="T536" s="257" t="str">
        <v/>
      </c>
      <c r="U536" s="255" t="str">
        <v/>
      </c>
      <c r="V536" s="256" t="str">
        <v/>
      </c>
      <c r="W536" s="257" t="str">
        <v/>
      </c>
      <c r="X536" s="255" t="str">
        <v/>
      </c>
      <c r="Y536" s="256" t="str">
        <v/>
      </c>
      <c r="Z536" s="257" t="str">
        <v/>
      </c>
      <c r="AA536" s="255" t="str">
        <v/>
      </c>
      <c r="AB536" s="256" t="str">
        <v/>
      </c>
      <c r="AC536" s="257" t="str">
        <v/>
      </c>
      <c r="AD536" s="255" t="str">
        <v/>
      </c>
      <c r="AE536" s="256" t="str">
        <v/>
      </c>
      <c r="AF536" s="257" t="str">
        <v/>
      </c>
      <c r="AG536" s="255" t="str">
        <v/>
      </c>
      <c r="AH536" s="256" t="str">
        <v/>
      </c>
      <c r="AI536" s="257" t="str">
        <v/>
      </c>
      <c r="AJ536" s="255" t="str">
        <v/>
      </c>
      <c r="AK536" s="256" t="str">
        <v/>
      </c>
      <c r="AL536" s="257" t="str">
        <v/>
      </c>
      <c r="AM536" s="255" t="str">
        <v/>
      </c>
      <c r="AN536" s="256" t="str">
        <v/>
      </c>
      <c r="AO536" s="257" t="str">
        <v/>
      </c>
      <c r="AP536" s="255" t="str">
        <v/>
      </c>
      <c r="AQ536" s="256" t="str">
        <v/>
      </c>
      <c r="AR536" s="257" t="str">
        <v/>
      </c>
      <c r="AS536" s="255" t="str">
        <v/>
      </c>
      <c r="AT536" s="256" t="str">
        <v/>
      </c>
      <c r="AU536" s="257" t="str">
        <v/>
      </c>
      <c r="AV536" s="255" t="str">
        <v/>
      </c>
      <c r="AW536" s="256" t="str">
        <v/>
      </c>
      <c r="AX536" s="257" t="str">
        <v/>
      </c>
      <c r="AY536" s="243">
        <v>0</v>
      </c>
      <c r="AZ536" s="244">
        <v>0</v>
      </c>
      <c r="BA536" s="244">
        <v>0</v>
      </c>
      <c r="BB536" s="244">
        <v>0</v>
      </c>
      <c r="BC536" s="244">
        <v>0</v>
      </c>
      <c r="BD536" s="244">
        <v>0</v>
      </c>
      <c r="BE536" s="244">
        <v>0</v>
      </c>
      <c r="BF536" s="244">
        <v>0</v>
      </c>
      <c r="BG536" s="244">
        <v>0</v>
      </c>
      <c r="BH536" s="245">
        <v>0</v>
      </c>
      <c r="BK536">
        <v>478</v>
      </c>
      <c r="BL536" s="281"/>
      <c r="BM536" s="281"/>
      <c r="BN536" s="282"/>
      <c r="BO536" s="282"/>
      <c r="BP536" s="282"/>
      <c r="BQ536" s="283"/>
      <c r="BR536" s="284"/>
      <c r="BS536" s="147"/>
      <c r="BT536" s="285"/>
      <c r="BU536" s="288"/>
      <c r="BV536" s="287"/>
      <c r="BW536" s="288"/>
      <c r="BX536" s="286"/>
      <c r="BY536" s="287"/>
      <c r="BZ536" s="288"/>
      <c r="CA536" s="286"/>
      <c r="CB536" s="286"/>
      <c r="CC536" s="287"/>
      <c r="CD536" s="286"/>
      <c r="CE536" s="286"/>
      <c r="CF536" s="286"/>
      <c r="CG536" s="287"/>
      <c r="CH536" s="288"/>
      <c r="CI536" s="286"/>
      <c r="CJ536" s="286"/>
      <c r="CK536" s="287"/>
      <c r="CL536" s="288"/>
      <c r="CM536" s="286"/>
      <c r="CN536" s="294"/>
      <c r="CO536" s="289"/>
      <c r="CP536" s="290"/>
      <c r="CQ536" s="289"/>
      <c r="CR536" s="290"/>
      <c r="CS536" s="284"/>
      <c r="CT536" s="147"/>
      <c r="CU536" s="291"/>
      <c r="CV536" s="292"/>
    </row>
    <row r="537" spans="2:100">
      <c r="B537">
        <v>479</v>
      </c>
      <c r="C537" s="243" t="str">
        <v/>
      </c>
      <c r="D537" s="592" t="str">
        <v/>
      </c>
      <c r="E537" s="245" t="str">
        <v/>
      </c>
      <c r="F537" s="243" t="str">
        <v/>
      </c>
      <c r="G537" s="245" t="str">
        <v/>
      </c>
      <c r="H537" s="243" t="str">
        <v/>
      </c>
      <c r="I537" s="245" t="str">
        <v/>
      </c>
      <c r="J537" s="242" t="str">
        <v/>
      </c>
      <c r="K537" s="242" t="str">
        <v/>
      </c>
      <c r="L537" s="242" t="str">
        <v/>
      </c>
      <c r="M537" s="243" t="str">
        <v/>
      </c>
      <c r="N537" s="592" t="str">
        <v/>
      </c>
      <c r="O537" s="245" t="str">
        <v/>
      </c>
      <c r="P537" s="245" t="str">
        <v/>
      </c>
      <c r="Q537" s="254" t="str">
        <v/>
      </c>
      <c r="R537" s="255" t="str">
        <v/>
      </c>
      <c r="S537" s="256" t="str">
        <v/>
      </c>
      <c r="T537" s="257" t="str">
        <v/>
      </c>
      <c r="U537" s="255" t="str">
        <v/>
      </c>
      <c r="V537" s="256" t="str">
        <v/>
      </c>
      <c r="W537" s="257" t="str">
        <v/>
      </c>
      <c r="X537" s="255" t="str">
        <v/>
      </c>
      <c r="Y537" s="256" t="str">
        <v/>
      </c>
      <c r="Z537" s="257" t="str">
        <v/>
      </c>
      <c r="AA537" s="255" t="str">
        <v/>
      </c>
      <c r="AB537" s="256" t="str">
        <v/>
      </c>
      <c r="AC537" s="257" t="str">
        <v/>
      </c>
      <c r="AD537" s="255" t="str">
        <v/>
      </c>
      <c r="AE537" s="256" t="str">
        <v/>
      </c>
      <c r="AF537" s="257" t="str">
        <v/>
      </c>
      <c r="AG537" s="255" t="str">
        <v/>
      </c>
      <c r="AH537" s="256" t="str">
        <v/>
      </c>
      <c r="AI537" s="257" t="str">
        <v/>
      </c>
      <c r="AJ537" s="255" t="str">
        <v/>
      </c>
      <c r="AK537" s="256" t="str">
        <v/>
      </c>
      <c r="AL537" s="257" t="str">
        <v/>
      </c>
      <c r="AM537" s="255" t="str">
        <v/>
      </c>
      <c r="AN537" s="256" t="str">
        <v/>
      </c>
      <c r="AO537" s="257" t="str">
        <v/>
      </c>
      <c r="AP537" s="255" t="str">
        <v/>
      </c>
      <c r="AQ537" s="256" t="str">
        <v/>
      </c>
      <c r="AR537" s="257" t="str">
        <v/>
      </c>
      <c r="AS537" s="255" t="str">
        <v/>
      </c>
      <c r="AT537" s="256" t="str">
        <v/>
      </c>
      <c r="AU537" s="257" t="str">
        <v/>
      </c>
      <c r="AV537" s="255" t="str">
        <v/>
      </c>
      <c r="AW537" s="256" t="str">
        <v/>
      </c>
      <c r="AX537" s="257" t="str">
        <v/>
      </c>
      <c r="AY537" s="243">
        <v>0</v>
      </c>
      <c r="AZ537" s="244">
        <v>0</v>
      </c>
      <c r="BA537" s="244">
        <v>0</v>
      </c>
      <c r="BB537" s="244">
        <v>0</v>
      </c>
      <c r="BC537" s="244">
        <v>0</v>
      </c>
      <c r="BD537" s="244">
        <v>0</v>
      </c>
      <c r="BE537" s="244">
        <v>0</v>
      </c>
      <c r="BF537" s="244">
        <v>0</v>
      </c>
      <c r="BG537" s="244">
        <v>0</v>
      </c>
      <c r="BH537" s="245">
        <v>0</v>
      </c>
      <c r="BK537">
        <v>479</v>
      </c>
      <c r="BL537" s="281"/>
      <c r="BM537" s="281"/>
      <c r="BN537" s="282"/>
      <c r="BO537" s="282"/>
      <c r="BP537" s="282"/>
      <c r="BQ537" s="283"/>
      <c r="BR537" s="284"/>
      <c r="BS537" s="147"/>
      <c r="BT537" s="285"/>
      <c r="BU537" s="288"/>
      <c r="BV537" s="287"/>
      <c r="BW537" s="288"/>
      <c r="BX537" s="286"/>
      <c r="BY537" s="287"/>
      <c r="BZ537" s="288"/>
      <c r="CA537" s="286"/>
      <c r="CB537" s="286"/>
      <c r="CC537" s="287"/>
      <c r="CD537" s="286"/>
      <c r="CE537" s="286"/>
      <c r="CF537" s="286"/>
      <c r="CG537" s="287"/>
      <c r="CH537" s="288"/>
      <c r="CI537" s="286"/>
      <c r="CJ537" s="286"/>
      <c r="CK537" s="287"/>
      <c r="CL537" s="288"/>
      <c r="CM537" s="286"/>
      <c r="CN537" s="294"/>
      <c r="CO537" s="289"/>
      <c r="CP537" s="290"/>
      <c r="CQ537" s="289"/>
      <c r="CR537" s="290"/>
      <c r="CS537" s="284"/>
      <c r="CT537" s="147"/>
      <c r="CU537" s="291"/>
      <c r="CV537" s="292"/>
    </row>
    <row r="538" spans="2:100">
      <c r="B538">
        <v>480</v>
      </c>
      <c r="C538" s="243" t="str">
        <v/>
      </c>
      <c r="D538" s="592" t="str">
        <v/>
      </c>
      <c r="E538" s="245" t="str">
        <v/>
      </c>
      <c r="F538" s="243" t="str">
        <v/>
      </c>
      <c r="G538" s="245" t="str">
        <v/>
      </c>
      <c r="H538" s="243" t="str">
        <v/>
      </c>
      <c r="I538" s="245" t="str">
        <v/>
      </c>
      <c r="J538" s="242" t="str">
        <v/>
      </c>
      <c r="K538" s="242" t="str">
        <v/>
      </c>
      <c r="L538" s="242" t="str">
        <v/>
      </c>
      <c r="M538" s="243" t="str">
        <v/>
      </c>
      <c r="N538" s="592" t="str">
        <v/>
      </c>
      <c r="O538" s="245" t="str">
        <v/>
      </c>
      <c r="P538" s="245" t="str">
        <v/>
      </c>
      <c r="Q538" s="254" t="str">
        <v/>
      </c>
      <c r="R538" s="255" t="str">
        <v/>
      </c>
      <c r="S538" s="256" t="str">
        <v/>
      </c>
      <c r="T538" s="257" t="str">
        <v/>
      </c>
      <c r="U538" s="255" t="str">
        <v/>
      </c>
      <c r="V538" s="256" t="str">
        <v/>
      </c>
      <c r="W538" s="257" t="str">
        <v/>
      </c>
      <c r="X538" s="255" t="str">
        <v/>
      </c>
      <c r="Y538" s="256" t="str">
        <v/>
      </c>
      <c r="Z538" s="257" t="str">
        <v/>
      </c>
      <c r="AA538" s="255" t="str">
        <v/>
      </c>
      <c r="AB538" s="256" t="str">
        <v/>
      </c>
      <c r="AC538" s="257" t="str">
        <v/>
      </c>
      <c r="AD538" s="255" t="str">
        <v/>
      </c>
      <c r="AE538" s="256" t="str">
        <v/>
      </c>
      <c r="AF538" s="257" t="str">
        <v/>
      </c>
      <c r="AG538" s="255" t="str">
        <v/>
      </c>
      <c r="AH538" s="256" t="str">
        <v/>
      </c>
      <c r="AI538" s="257" t="str">
        <v/>
      </c>
      <c r="AJ538" s="255" t="str">
        <v/>
      </c>
      <c r="AK538" s="256" t="str">
        <v/>
      </c>
      <c r="AL538" s="257" t="str">
        <v/>
      </c>
      <c r="AM538" s="255" t="str">
        <v/>
      </c>
      <c r="AN538" s="256" t="str">
        <v/>
      </c>
      <c r="AO538" s="257" t="str">
        <v/>
      </c>
      <c r="AP538" s="255" t="str">
        <v/>
      </c>
      <c r="AQ538" s="256" t="str">
        <v/>
      </c>
      <c r="AR538" s="257" t="str">
        <v/>
      </c>
      <c r="AS538" s="255" t="str">
        <v/>
      </c>
      <c r="AT538" s="256" t="str">
        <v/>
      </c>
      <c r="AU538" s="257" t="str">
        <v/>
      </c>
      <c r="AV538" s="255" t="str">
        <v/>
      </c>
      <c r="AW538" s="256" t="str">
        <v/>
      </c>
      <c r="AX538" s="257" t="str">
        <v/>
      </c>
      <c r="AY538" s="243">
        <v>0</v>
      </c>
      <c r="AZ538" s="244">
        <v>0</v>
      </c>
      <c r="BA538" s="244">
        <v>0</v>
      </c>
      <c r="BB538" s="244">
        <v>0</v>
      </c>
      <c r="BC538" s="244">
        <v>0</v>
      </c>
      <c r="BD538" s="244">
        <v>0</v>
      </c>
      <c r="BE538" s="244">
        <v>0</v>
      </c>
      <c r="BF538" s="244">
        <v>0</v>
      </c>
      <c r="BG538" s="244">
        <v>0</v>
      </c>
      <c r="BH538" s="245">
        <v>0</v>
      </c>
      <c r="BK538">
        <v>480</v>
      </c>
      <c r="BL538" s="281"/>
      <c r="BM538" s="281"/>
      <c r="BN538" s="282"/>
      <c r="BO538" s="282"/>
      <c r="BP538" s="282"/>
      <c r="BQ538" s="283"/>
      <c r="BR538" s="284"/>
      <c r="BS538" s="147"/>
      <c r="BT538" s="285"/>
      <c r="BU538" s="288"/>
      <c r="BV538" s="287"/>
      <c r="BW538" s="288"/>
      <c r="BX538" s="286"/>
      <c r="BY538" s="287"/>
      <c r="BZ538" s="288"/>
      <c r="CA538" s="286"/>
      <c r="CB538" s="286"/>
      <c r="CC538" s="287"/>
      <c r="CD538" s="286"/>
      <c r="CE538" s="286"/>
      <c r="CF538" s="286"/>
      <c r="CG538" s="287"/>
      <c r="CH538" s="288"/>
      <c r="CI538" s="286"/>
      <c r="CJ538" s="286"/>
      <c r="CK538" s="287"/>
      <c r="CL538" s="288"/>
      <c r="CM538" s="286"/>
      <c r="CN538" s="294"/>
      <c r="CO538" s="289"/>
      <c r="CP538" s="290"/>
      <c r="CQ538" s="289"/>
      <c r="CR538" s="290"/>
      <c r="CS538" s="284"/>
      <c r="CT538" s="147"/>
      <c r="CU538" s="291"/>
      <c r="CV538" s="292"/>
    </row>
    <row r="539" spans="2:100">
      <c r="B539">
        <v>481</v>
      </c>
      <c r="C539" s="243" t="str">
        <v/>
      </c>
      <c r="D539" s="592" t="str">
        <v/>
      </c>
      <c r="E539" s="245" t="str">
        <v/>
      </c>
      <c r="F539" s="243" t="str">
        <v/>
      </c>
      <c r="G539" s="245" t="str">
        <v/>
      </c>
      <c r="H539" s="243" t="str">
        <v/>
      </c>
      <c r="I539" s="245" t="str">
        <v/>
      </c>
      <c r="J539" s="242" t="str">
        <v/>
      </c>
      <c r="K539" s="242" t="str">
        <v/>
      </c>
      <c r="L539" s="242" t="str">
        <v/>
      </c>
      <c r="M539" s="243" t="str">
        <v/>
      </c>
      <c r="N539" s="592" t="str">
        <v/>
      </c>
      <c r="O539" s="245" t="str">
        <v/>
      </c>
      <c r="P539" s="245" t="str">
        <v/>
      </c>
      <c r="Q539" s="254" t="str">
        <v/>
      </c>
      <c r="R539" s="255" t="str">
        <v/>
      </c>
      <c r="S539" s="256" t="str">
        <v/>
      </c>
      <c r="T539" s="257" t="str">
        <v/>
      </c>
      <c r="U539" s="255" t="str">
        <v/>
      </c>
      <c r="V539" s="256" t="str">
        <v/>
      </c>
      <c r="W539" s="257" t="str">
        <v/>
      </c>
      <c r="X539" s="255" t="str">
        <v/>
      </c>
      <c r="Y539" s="256" t="str">
        <v/>
      </c>
      <c r="Z539" s="257" t="str">
        <v/>
      </c>
      <c r="AA539" s="255" t="str">
        <v/>
      </c>
      <c r="AB539" s="256" t="str">
        <v/>
      </c>
      <c r="AC539" s="257" t="str">
        <v/>
      </c>
      <c r="AD539" s="255" t="str">
        <v/>
      </c>
      <c r="AE539" s="256" t="str">
        <v/>
      </c>
      <c r="AF539" s="257" t="str">
        <v/>
      </c>
      <c r="AG539" s="255" t="str">
        <v/>
      </c>
      <c r="AH539" s="256" t="str">
        <v/>
      </c>
      <c r="AI539" s="257" t="str">
        <v/>
      </c>
      <c r="AJ539" s="255" t="str">
        <v/>
      </c>
      <c r="AK539" s="256" t="str">
        <v/>
      </c>
      <c r="AL539" s="257" t="str">
        <v/>
      </c>
      <c r="AM539" s="255" t="str">
        <v/>
      </c>
      <c r="AN539" s="256" t="str">
        <v/>
      </c>
      <c r="AO539" s="257" t="str">
        <v/>
      </c>
      <c r="AP539" s="255" t="str">
        <v/>
      </c>
      <c r="AQ539" s="256" t="str">
        <v/>
      </c>
      <c r="AR539" s="257" t="str">
        <v/>
      </c>
      <c r="AS539" s="255" t="str">
        <v/>
      </c>
      <c r="AT539" s="256" t="str">
        <v/>
      </c>
      <c r="AU539" s="257" t="str">
        <v/>
      </c>
      <c r="AV539" s="255" t="str">
        <v/>
      </c>
      <c r="AW539" s="256" t="str">
        <v/>
      </c>
      <c r="AX539" s="257" t="str">
        <v/>
      </c>
      <c r="AY539" s="243">
        <v>0</v>
      </c>
      <c r="AZ539" s="244">
        <v>0</v>
      </c>
      <c r="BA539" s="244">
        <v>0</v>
      </c>
      <c r="BB539" s="244">
        <v>0</v>
      </c>
      <c r="BC539" s="244">
        <v>0</v>
      </c>
      <c r="BD539" s="244">
        <v>0</v>
      </c>
      <c r="BE539" s="244">
        <v>0</v>
      </c>
      <c r="BF539" s="244">
        <v>0</v>
      </c>
      <c r="BG539" s="244">
        <v>0</v>
      </c>
      <c r="BH539" s="245">
        <v>0</v>
      </c>
      <c r="BK539">
        <v>481</v>
      </c>
      <c r="BL539" s="281"/>
      <c r="BM539" s="281"/>
      <c r="BN539" s="282"/>
      <c r="BO539" s="282"/>
      <c r="BP539" s="282"/>
      <c r="BQ539" s="283"/>
      <c r="BR539" s="284"/>
      <c r="BS539" s="147"/>
      <c r="BT539" s="285"/>
      <c r="BU539" s="288"/>
      <c r="BV539" s="287"/>
      <c r="BW539" s="288"/>
      <c r="BX539" s="286"/>
      <c r="BY539" s="287"/>
      <c r="BZ539" s="288"/>
      <c r="CA539" s="286"/>
      <c r="CB539" s="286"/>
      <c r="CC539" s="287"/>
      <c r="CD539" s="286"/>
      <c r="CE539" s="286"/>
      <c r="CF539" s="286"/>
      <c r="CG539" s="287"/>
      <c r="CH539" s="288"/>
      <c r="CI539" s="286"/>
      <c r="CJ539" s="286"/>
      <c r="CK539" s="287"/>
      <c r="CL539" s="288"/>
      <c r="CM539" s="286"/>
      <c r="CN539" s="294"/>
      <c r="CO539" s="289"/>
      <c r="CP539" s="290"/>
      <c r="CQ539" s="289"/>
      <c r="CR539" s="290"/>
      <c r="CS539" s="284"/>
      <c r="CT539" s="147"/>
      <c r="CU539" s="291"/>
      <c r="CV539" s="292"/>
    </row>
    <row r="540" spans="2:100">
      <c r="B540">
        <v>482</v>
      </c>
      <c r="C540" s="243" t="str">
        <v/>
      </c>
      <c r="D540" s="592" t="str">
        <v/>
      </c>
      <c r="E540" s="245" t="str">
        <v/>
      </c>
      <c r="F540" s="243" t="str">
        <v/>
      </c>
      <c r="G540" s="245" t="str">
        <v/>
      </c>
      <c r="H540" s="243" t="str">
        <v/>
      </c>
      <c r="I540" s="245" t="str">
        <v/>
      </c>
      <c r="J540" s="242" t="str">
        <v/>
      </c>
      <c r="K540" s="242" t="str">
        <v/>
      </c>
      <c r="L540" s="242" t="str">
        <v/>
      </c>
      <c r="M540" s="243" t="str">
        <v/>
      </c>
      <c r="N540" s="592" t="str">
        <v/>
      </c>
      <c r="O540" s="245" t="str">
        <v/>
      </c>
      <c r="P540" s="245" t="str">
        <v/>
      </c>
      <c r="Q540" s="254" t="str">
        <v/>
      </c>
      <c r="R540" s="255" t="str">
        <v/>
      </c>
      <c r="S540" s="256" t="str">
        <v/>
      </c>
      <c r="T540" s="257" t="str">
        <v/>
      </c>
      <c r="U540" s="255" t="str">
        <v/>
      </c>
      <c r="V540" s="256" t="str">
        <v/>
      </c>
      <c r="W540" s="257" t="str">
        <v/>
      </c>
      <c r="X540" s="255" t="str">
        <v/>
      </c>
      <c r="Y540" s="256" t="str">
        <v/>
      </c>
      <c r="Z540" s="257" t="str">
        <v/>
      </c>
      <c r="AA540" s="255" t="str">
        <v/>
      </c>
      <c r="AB540" s="256" t="str">
        <v/>
      </c>
      <c r="AC540" s="257" t="str">
        <v/>
      </c>
      <c r="AD540" s="255" t="str">
        <v/>
      </c>
      <c r="AE540" s="256" t="str">
        <v/>
      </c>
      <c r="AF540" s="257" t="str">
        <v/>
      </c>
      <c r="AG540" s="255" t="str">
        <v/>
      </c>
      <c r="AH540" s="256" t="str">
        <v/>
      </c>
      <c r="AI540" s="257" t="str">
        <v/>
      </c>
      <c r="AJ540" s="255" t="str">
        <v/>
      </c>
      <c r="AK540" s="256" t="str">
        <v/>
      </c>
      <c r="AL540" s="257" t="str">
        <v/>
      </c>
      <c r="AM540" s="255" t="str">
        <v/>
      </c>
      <c r="AN540" s="256" t="str">
        <v/>
      </c>
      <c r="AO540" s="257" t="str">
        <v/>
      </c>
      <c r="AP540" s="255" t="str">
        <v/>
      </c>
      <c r="AQ540" s="256" t="str">
        <v/>
      </c>
      <c r="AR540" s="257" t="str">
        <v/>
      </c>
      <c r="AS540" s="255" t="str">
        <v/>
      </c>
      <c r="AT540" s="256" t="str">
        <v/>
      </c>
      <c r="AU540" s="257" t="str">
        <v/>
      </c>
      <c r="AV540" s="255" t="str">
        <v/>
      </c>
      <c r="AW540" s="256" t="str">
        <v/>
      </c>
      <c r="AX540" s="257" t="str">
        <v/>
      </c>
      <c r="AY540" s="243">
        <v>0</v>
      </c>
      <c r="AZ540" s="244">
        <v>0</v>
      </c>
      <c r="BA540" s="244">
        <v>0</v>
      </c>
      <c r="BB540" s="244">
        <v>0</v>
      </c>
      <c r="BC540" s="244">
        <v>0</v>
      </c>
      <c r="BD540" s="244">
        <v>0</v>
      </c>
      <c r="BE540" s="244">
        <v>0</v>
      </c>
      <c r="BF540" s="244">
        <v>0</v>
      </c>
      <c r="BG540" s="244">
        <v>0</v>
      </c>
      <c r="BH540" s="245">
        <v>0</v>
      </c>
      <c r="BK540">
        <v>482</v>
      </c>
      <c r="BL540" s="281"/>
      <c r="BM540" s="281"/>
      <c r="BN540" s="282"/>
      <c r="BO540" s="282"/>
      <c r="BP540" s="282"/>
      <c r="BQ540" s="283"/>
      <c r="BR540" s="284"/>
      <c r="BS540" s="147"/>
      <c r="BT540" s="285"/>
      <c r="BU540" s="288"/>
      <c r="BV540" s="287"/>
      <c r="BW540" s="288"/>
      <c r="BX540" s="286"/>
      <c r="BY540" s="287"/>
      <c r="BZ540" s="288"/>
      <c r="CA540" s="286"/>
      <c r="CB540" s="286"/>
      <c r="CC540" s="287"/>
      <c r="CD540" s="286"/>
      <c r="CE540" s="286"/>
      <c r="CF540" s="286"/>
      <c r="CG540" s="287"/>
      <c r="CH540" s="288"/>
      <c r="CI540" s="286"/>
      <c r="CJ540" s="286"/>
      <c r="CK540" s="287"/>
      <c r="CL540" s="288"/>
      <c r="CM540" s="286"/>
      <c r="CN540" s="294"/>
      <c r="CO540" s="289"/>
      <c r="CP540" s="290"/>
      <c r="CQ540" s="289"/>
      <c r="CR540" s="290"/>
      <c r="CS540" s="284"/>
      <c r="CT540" s="147"/>
      <c r="CU540" s="291"/>
      <c r="CV540" s="292"/>
    </row>
    <row r="541" spans="2:100">
      <c r="B541">
        <v>483</v>
      </c>
      <c r="C541" s="243" t="str">
        <v/>
      </c>
      <c r="D541" s="592" t="str">
        <v/>
      </c>
      <c r="E541" s="245" t="str">
        <v/>
      </c>
      <c r="F541" s="243" t="str">
        <v/>
      </c>
      <c r="G541" s="245" t="str">
        <v/>
      </c>
      <c r="H541" s="243" t="str">
        <v/>
      </c>
      <c r="I541" s="245" t="str">
        <v/>
      </c>
      <c r="J541" s="242" t="str">
        <v/>
      </c>
      <c r="K541" s="242" t="str">
        <v/>
      </c>
      <c r="L541" s="242" t="str">
        <v/>
      </c>
      <c r="M541" s="243" t="str">
        <v/>
      </c>
      <c r="N541" s="592" t="str">
        <v/>
      </c>
      <c r="O541" s="245" t="str">
        <v/>
      </c>
      <c r="P541" s="245" t="str">
        <v/>
      </c>
      <c r="Q541" s="254" t="str">
        <v/>
      </c>
      <c r="R541" s="255" t="str">
        <v/>
      </c>
      <c r="S541" s="256" t="str">
        <v/>
      </c>
      <c r="T541" s="257" t="str">
        <v/>
      </c>
      <c r="U541" s="255" t="str">
        <v/>
      </c>
      <c r="V541" s="256" t="str">
        <v/>
      </c>
      <c r="W541" s="257" t="str">
        <v/>
      </c>
      <c r="X541" s="255" t="str">
        <v/>
      </c>
      <c r="Y541" s="256" t="str">
        <v/>
      </c>
      <c r="Z541" s="257" t="str">
        <v/>
      </c>
      <c r="AA541" s="255" t="str">
        <v/>
      </c>
      <c r="AB541" s="256" t="str">
        <v/>
      </c>
      <c r="AC541" s="257" t="str">
        <v/>
      </c>
      <c r="AD541" s="255" t="str">
        <v/>
      </c>
      <c r="AE541" s="256" t="str">
        <v/>
      </c>
      <c r="AF541" s="257" t="str">
        <v/>
      </c>
      <c r="AG541" s="255" t="str">
        <v/>
      </c>
      <c r="AH541" s="256" t="str">
        <v/>
      </c>
      <c r="AI541" s="257" t="str">
        <v/>
      </c>
      <c r="AJ541" s="255" t="str">
        <v/>
      </c>
      <c r="AK541" s="256" t="str">
        <v/>
      </c>
      <c r="AL541" s="257" t="str">
        <v/>
      </c>
      <c r="AM541" s="255" t="str">
        <v/>
      </c>
      <c r="AN541" s="256" t="str">
        <v/>
      </c>
      <c r="AO541" s="257" t="str">
        <v/>
      </c>
      <c r="AP541" s="255" t="str">
        <v/>
      </c>
      <c r="AQ541" s="256" t="str">
        <v/>
      </c>
      <c r="AR541" s="257" t="str">
        <v/>
      </c>
      <c r="AS541" s="255" t="str">
        <v/>
      </c>
      <c r="AT541" s="256" t="str">
        <v/>
      </c>
      <c r="AU541" s="257" t="str">
        <v/>
      </c>
      <c r="AV541" s="255" t="str">
        <v/>
      </c>
      <c r="AW541" s="256" t="str">
        <v/>
      </c>
      <c r="AX541" s="257" t="str">
        <v/>
      </c>
      <c r="AY541" s="243">
        <v>0</v>
      </c>
      <c r="AZ541" s="244">
        <v>0</v>
      </c>
      <c r="BA541" s="244">
        <v>0</v>
      </c>
      <c r="BB541" s="244">
        <v>0</v>
      </c>
      <c r="BC541" s="244">
        <v>0</v>
      </c>
      <c r="BD541" s="244">
        <v>0</v>
      </c>
      <c r="BE541" s="244">
        <v>0</v>
      </c>
      <c r="BF541" s="244">
        <v>0</v>
      </c>
      <c r="BG541" s="244">
        <v>0</v>
      </c>
      <c r="BH541" s="245">
        <v>0</v>
      </c>
      <c r="BK541">
        <v>483</v>
      </c>
      <c r="BL541" s="281"/>
      <c r="BM541" s="281"/>
      <c r="BN541" s="282"/>
      <c r="BO541" s="282"/>
      <c r="BP541" s="282"/>
      <c r="BQ541" s="283"/>
      <c r="BR541" s="284"/>
      <c r="BS541" s="147"/>
      <c r="BT541" s="285"/>
      <c r="BU541" s="288"/>
      <c r="BV541" s="287"/>
      <c r="BW541" s="288"/>
      <c r="BX541" s="286"/>
      <c r="BY541" s="287"/>
      <c r="BZ541" s="288"/>
      <c r="CA541" s="286"/>
      <c r="CB541" s="286"/>
      <c r="CC541" s="287"/>
      <c r="CD541" s="286"/>
      <c r="CE541" s="286"/>
      <c r="CF541" s="286"/>
      <c r="CG541" s="287"/>
      <c r="CH541" s="288"/>
      <c r="CI541" s="286"/>
      <c r="CJ541" s="286"/>
      <c r="CK541" s="287"/>
      <c r="CL541" s="288"/>
      <c r="CM541" s="286"/>
      <c r="CN541" s="294"/>
      <c r="CO541" s="289"/>
      <c r="CP541" s="290"/>
      <c r="CQ541" s="289"/>
      <c r="CR541" s="290"/>
      <c r="CS541" s="284"/>
      <c r="CT541" s="147"/>
      <c r="CU541" s="291"/>
      <c r="CV541" s="292"/>
    </row>
    <row r="542" spans="2:100">
      <c r="B542">
        <v>484</v>
      </c>
      <c r="C542" s="243" t="str">
        <v/>
      </c>
      <c r="D542" s="592" t="str">
        <v/>
      </c>
      <c r="E542" s="245" t="str">
        <v/>
      </c>
      <c r="F542" s="243" t="str">
        <v/>
      </c>
      <c r="G542" s="245" t="str">
        <v/>
      </c>
      <c r="H542" s="243" t="str">
        <v/>
      </c>
      <c r="I542" s="245" t="str">
        <v/>
      </c>
      <c r="J542" s="242" t="str">
        <v/>
      </c>
      <c r="K542" s="242" t="str">
        <v/>
      </c>
      <c r="L542" s="242" t="str">
        <v/>
      </c>
      <c r="M542" s="243" t="str">
        <v/>
      </c>
      <c r="N542" s="592" t="str">
        <v/>
      </c>
      <c r="O542" s="245" t="str">
        <v/>
      </c>
      <c r="P542" s="245" t="str">
        <v/>
      </c>
      <c r="Q542" s="254" t="str">
        <v/>
      </c>
      <c r="R542" s="255" t="str">
        <v/>
      </c>
      <c r="S542" s="256" t="str">
        <v/>
      </c>
      <c r="T542" s="257" t="str">
        <v/>
      </c>
      <c r="U542" s="255" t="str">
        <v/>
      </c>
      <c r="V542" s="256" t="str">
        <v/>
      </c>
      <c r="W542" s="257" t="str">
        <v/>
      </c>
      <c r="X542" s="255" t="str">
        <v/>
      </c>
      <c r="Y542" s="256" t="str">
        <v/>
      </c>
      <c r="Z542" s="257" t="str">
        <v/>
      </c>
      <c r="AA542" s="255" t="str">
        <v/>
      </c>
      <c r="AB542" s="256" t="str">
        <v/>
      </c>
      <c r="AC542" s="257" t="str">
        <v/>
      </c>
      <c r="AD542" s="255" t="str">
        <v/>
      </c>
      <c r="AE542" s="256" t="str">
        <v/>
      </c>
      <c r="AF542" s="257" t="str">
        <v/>
      </c>
      <c r="AG542" s="255" t="str">
        <v/>
      </c>
      <c r="AH542" s="256" t="str">
        <v/>
      </c>
      <c r="AI542" s="257" t="str">
        <v/>
      </c>
      <c r="AJ542" s="255" t="str">
        <v/>
      </c>
      <c r="AK542" s="256" t="str">
        <v/>
      </c>
      <c r="AL542" s="257" t="str">
        <v/>
      </c>
      <c r="AM542" s="255" t="str">
        <v/>
      </c>
      <c r="AN542" s="256" t="str">
        <v/>
      </c>
      <c r="AO542" s="257" t="str">
        <v/>
      </c>
      <c r="AP542" s="255" t="str">
        <v/>
      </c>
      <c r="AQ542" s="256" t="str">
        <v/>
      </c>
      <c r="AR542" s="257" t="str">
        <v/>
      </c>
      <c r="AS542" s="255" t="str">
        <v/>
      </c>
      <c r="AT542" s="256" t="str">
        <v/>
      </c>
      <c r="AU542" s="257" t="str">
        <v/>
      </c>
      <c r="AV542" s="255" t="str">
        <v/>
      </c>
      <c r="AW542" s="256" t="str">
        <v/>
      </c>
      <c r="AX542" s="257" t="str">
        <v/>
      </c>
      <c r="AY542" s="243">
        <v>0</v>
      </c>
      <c r="AZ542" s="244">
        <v>0</v>
      </c>
      <c r="BA542" s="244">
        <v>0</v>
      </c>
      <c r="BB542" s="244">
        <v>0</v>
      </c>
      <c r="BC542" s="244">
        <v>0</v>
      </c>
      <c r="BD542" s="244">
        <v>0</v>
      </c>
      <c r="BE542" s="244">
        <v>0</v>
      </c>
      <c r="BF542" s="244">
        <v>0</v>
      </c>
      <c r="BG542" s="244">
        <v>0</v>
      </c>
      <c r="BH542" s="245">
        <v>0</v>
      </c>
      <c r="BK542">
        <v>484</v>
      </c>
      <c r="BL542" s="281"/>
      <c r="BM542" s="281"/>
      <c r="BN542" s="282"/>
      <c r="BO542" s="282"/>
      <c r="BP542" s="282"/>
      <c r="BQ542" s="283"/>
      <c r="BR542" s="284"/>
      <c r="BS542" s="147"/>
      <c r="BT542" s="285"/>
      <c r="BU542" s="288"/>
      <c r="BV542" s="287"/>
      <c r="BW542" s="288"/>
      <c r="BX542" s="286"/>
      <c r="BY542" s="287"/>
      <c r="BZ542" s="288"/>
      <c r="CA542" s="286"/>
      <c r="CB542" s="286"/>
      <c r="CC542" s="287"/>
      <c r="CD542" s="286"/>
      <c r="CE542" s="286"/>
      <c r="CF542" s="286"/>
      <c r="CG542" s="287"/>
      <c r="CH542" s="288"/>
      <c r="CI542" s="286"/>
      <c r="CJ542" s="286"/>
      <c r="CK542" s="287"/>
      <c r="CL542" s="288"/>
      <c r="CM542" s="286"/>
      <c r="CN542" s="294"/>
      <c r="CO542" s="289"/>
      <c r="CP542" s="290"/>
      <c r="CQ542" s="289"/>
      <c r="CR542" s="290"/>
      <c r="CS542" s="284"/>
      <c r="CT542" s="147"/>
      <c r="CU542" s="291"/>
      <c r="CV542" s="292"/>
    </row>
    <row r="543" spans="2:100">
      <c r="B543">
        <v>485</v>
      </c>
      <c r="C543" s="243" t="str">
        <v/>
      </c>
      <c r="D543" s="592" t="str">
        <v/>
      </c>
      <c r="E543" s="245" t="str">
        <v/>
      </c>
      <c r="F543" s="243" t="str">
        <v/>
      </c>
      <c r="G543" s="245" t="str">
        <v/>
      </c>
      <c r="H543" s="243" t="str">
        <v/>
      </c>
      <c r="I543" s="245" t="str">
        <v/>
      </c>
      <c r="J543" s="242" t="str">
        <v/>
      </c>
      <c r="K543" s="242" t="str">
        <v/>
      </c>
      <c r="L543" s="242" t="str">
        <v/>
      </c>
      <c r="M543" s="243" t="str">
        <v/>
      </c>
      <c r="N543" s="592" t="str">
        <v/>
      </c>
      <c r="O543" s="245" t="str">
        <v/>
      </c>
      <c r="P543" s="245" t="str">
        <v/>
      </c>
      <c r="Q543" s="254" t="str">
        <v/>
      </c>
      <c r="R543" s="255" t="str">
        <v/>
      </c>
      <c r="S543" s="256" t="str">
        <v/>
      </c>
      <c r="T543" s="257" t="str">
        <v/>
      </c>
      <c r="U543" s="255" t="str">
        <v/>
      </c>
      <c r="V543" s="256" t="str">
        <v/>
      </c>
      <c r="W543" s="257" t="str">
        <v/>
      </c>
      <c r="X543" s="255" t="str">
        <v/>
      </c>
      <c r="Y543" s="256" t="str">
        <v/>
      </c>
      <c r="Z543" s="257" t="str">
        <v/>
      </c>
      <c r="AA543" s="255" t="str">
        <v/>
      </c>
      <c r="AB543" s="256" t="str">
        <v/>
      </c>
      <c r="AC543" s="257" t="str">
        <v/>
      </c>
      <c r="AD543" s="255" t="str">
        <v/>
      </c>
      <c r="AE543" s="256" t="str">
        <v/>
      </c>
      <c r="AF543" s="257" t="str">
        <v/>
      </c>
      <c r="AG543" s="255" t="str">
        <v/>
      </c>
      <c r="AH543" s="256" t="str">
        <v/>
      </c>
      <c r="AI543" s="257" t="str">
        <v/>
      </c>
      <c r="AJ543" s="255" t="str">
        <v/>
      </c>
      <c r="AK543" s="256" t="str">
        <v/>
      </c>
      <c r="AL543" s="257" t="str">
        <v/>
      </c>
      <c r="AM543" s="255" t="str">
        <v/>
      </c>
      <c r="AN543" s="256" t="str">
        <v/>
      </c>
      <c r="AO543" s="257" t="str">
        <v/>
      </c>
      <c r="AP543" s="255" t="str">
        <v/>
      </c>
      <c r="AQ543" s="256" t="str">
        <v/>
      </c>
      <c r="AR543" s="257" t="str">
        <v/>
      </c>
      <c r="AS543" s="255" t="str">
        <v/>
      </c>
      <c r="AT543" s="256" t="str">
        <v/>
      </c>
      <c r="AU543" s="257" t="str">
        <v/>
      </c>
      <c r="AV543" s="255" t="str">
        <v/>
      </c>
      <c r="AW543" s="256" t="str">
        <v/>
      </c>
      <c r="AX543" s="257" t="str">
        <v/>
      </c>
      <c r="AY543" s="243">
        <v>0</v>
      </c>
      <c r="AZ543" s="244">
        <v>0</v>
      </c>
      <c r="BA543" s="244">
        <v>0</v>
      </c>
      <c r="BB543" s="244">
        <v>0</v>
      </c>
      <c r="BC543" s="244">
        <v>0</v>
      </c>
      <c r="BD543" s="244">
        <v>0</v>
      </c>
      <c r="BE543" s="244">
        <v>0</v>
      </c>
      <c r="BF543" s="244">
        <v>0</v>
      </c>
      <c r="BG543" s="244">
        <v>0</v>
      </c>
      <c r="BH543" s="245">
        <v>0</v>
      </c>
      <c r="BK543">
        <v>485</v>
      </c>
      <c r="BL543" s="281"/>
      <c r="BM543" s="281"/>
      <c r="BN543" s="282"/>
      <c r="BO543" s="282"/>
      <c r="BP543" s="282"/>
      <c r="BQ543" s="283"/>
      <c r="BR543" s="284"/>
      <c r="BS543" s="147"/>
      <c r="BT543" s="285"/>
      <c r="BU543" s="288"/>
      <c r="BV543" s="287"/>
      <c r="BW543" s="288"/>
      <c r="BX543" s="286"/>
      <c r="BY543" s="287"/>
      <c r="BZ543" s="288"/>
      <c r="CA543" s="286"/>
      <c r="CB543" s="286"/>
      <c r="CC543" s="287"/>
      <c r="CD543" s="286"/>
      <c r="CE543" s="286"/>
      <c r="CF543" s="286"/>
      <c r="CG543" s="287"/>
      <c r="CH543" s="288"/>
      <c r="CI543" s="286"/>
      <c r="CJ543" s="286"/>
      <c r="CK543" s="287"/>
      <c r="CL543" s="288"/>
      <c r="CM543" s="286"/>
      <c r="CN543" s="294"/>
      <c r="CO543" s="289"/>
      <c r="CP543" s="290"/>
      <c r="CQ543" s="289"/>
      <c r="CR543" s="290"/>
      <c r="CS543" s="284"/>
      <c r="CT543" s="147"/>
      <c r="CU543" s="291"/>
      <c r="CV543" s="292"/>
    </row>
    <row r="544" spans="2:100">
      <c r="B544">
        <v>486</v>
      </c>
      <c r="C544" s="243" t="str">
        <v/>
      </c>
      <c r="D544" s="592" t="str">
        <v/>
      </c>
      <c r="E544" s="245" t="str">
        <v/>
      </c>
      <c r="F544" s="243" t="str">
        <v/>
      </c>
      <c r="G544" s="245" t="str">
        <v/>
      </c>
      <c r="H544" s="243" t="str">
        <v/>
      </c>
      <c r="I544" s="245" t="str">
        <v/>
      </c>
      <c r="J544" s="242" t="str">
        <v/>
      </c>
      <c r="K544" s="242" t="str">
        <v/>
      </c>
      <c r="L544" s="242" t="str">
        <v/>
      </c>
      <c r="M544" s="243" t="str">
        <v/>
      </c>
      <c r="N544" s="592" t="str">
        <v/>
      </c>
      <c r="O544" s="245" t="str">
        <v/>
      </c>
      <c r="P544" s="245" t="str">
        <v/>
      </c>
      <c r="Q544" s="254" t="str">
        <v/>
      </c>
      <c r="R544" s="255" t="str">
        <v/>
      </c>
      <c r="S544" s="256" t="str">
        <v/>
      </c>
      <c r="T544" s="257" t="str">
        <v/>
      </c>
      <c r="U544" s="255" t="str">
        <v/>
      </c>
      <c r="V544" s="256" t="str">
        <v/>
      </c>
      <c r="W544" s="257" t="str">
        <v/>
      </c>
      <c r="X544" s="255" t="str">
        <v/>
      </c>
      <c r="Y544" s="256" t="str">
        <v/>
      </c>
      <c r="Z544" s="257" t="str">
        <v/>
      </c>
      <c r="AA544" s="255" t="str">
        <v/>
      </c>
      <c r="AB544" s="256" t="str">
        <v/>
      </c>
      <c r="AC544" s="257" t="str">
        <v/>
      </c>
      <c r="AD544" s="255" t="str">
        <v/>
      </c>
      <c r="AE544" s="256" t="str">
        <v/>
      </c>
      <c r="AF544" s="257" t="str">
        <v/>
      </c>
      <c r="AG544" s="255" t="str">
        <v/>
      </c>
      <c r="AH544" s="256" t="str">
        <v/>
      </c>
      <c r="AI544" s="257" t="str">
        <v/>
      </c>
      <c r="AJ544" s="255" t="str">
        <v/>
      </c>
      <c r="AK544" s="256" t="str">
        <v/>
      </c>
      <c r="AL544" s="257" t="str">
        <v/>
      </c>
      <c r="AM544" s="255" t="str">
        <v/>
      </c>
      <c r="AN544" s="256" t="str">
        <v/>
      </c>
      <c r="AO544" s="257" t="str">
        <v/>
      </c>
      <c r="AP544" s="255" t="str">
        <v/>
      </c>
      <c r="AQ544" s="256" t="str">
        <v/>
      </c>
      <c r="AR544" s="257" t="str">
        <v/>
      </c>
      <c r="AS544" s="255" t="str">
        <v/>
      </c>
      <c r="AT544" s="256" t="str">
        <v/>
      </c>
      <c r="AU544" s="257" t="str">
        <v/>
      </c>
      <c r="AV544" s="255" t="str">
        <v/>
      </c>
      <c r="AW544" s="256" t="str">
        <v/>
      </c>
      <c r="AX544" s="257" t="str">
        <v/>
      </c>
      <c r="AY544" s="243">
        <v>0</v>
      </c>
      <c r="AZ544" s="244">
        <v>0</v>
      </c>
      <c r="BA544" s="244">
        <v>0</v>
      </c>
      <c r="BB544" s="244">
        <v>0</v>
      </c>
      <c r="BC544" s="244">
        <v>0</v>
      </c>
      <c r="BD544" s="244">
        <v>0</v>
      </c>
      <c r="BE544" s="244">
        <v>0</v>
      </c>
      <c r="BF544" s="244">
        <v>0</v>
      </c>
      <c r="BG544" s="244">
        <v>0</v>
      </c>
      <c r="BH544" s="245">
        <v>0</v>
      </c>
      <c r="BK544">
        <v>486</v>
      </c>
      <c r="BL544" s="281"/>
      <c r="BM544" s="281"/>
      <c r="BN544" s="282"/>
      <c r="BO544" s="282"/>
      <c r="BP544" s="282"/>
      <c r="BQ544" s="283"/>
      <c r="BR544" s="284"/>
      <c r="BS544" s="147"/>
      <c r="BT544" s="285"/>
      <c r="BU544" s="288"/>
      <c r="BV544" s="287"/>
      <c r="BW544" s="288"/>
      <c r="BX544" s="286"/>
      <c r="BY544" s="287"/>
      <c r="BZ544" s="288"/>
      <c r="CA544" s="286"/>
      <c r="CB544" s="286"/>
      <c r="CC544" s="287"/>
      <c r="CD544" s="286"/>
      <c r="CE544" s="286"/>
      <c r="CF544" s="286"/>
      <c r="CG544" s="287"/>
      <c r="CH544" s="288"/>
      <c r="CI544" s="286"/>
      <c r="CJ544" s="286"/>
      <c r="CK544" s="287"/>
      <c r="CL544" s="288"/>
      <c r="CM544" s="286"/>
      <c r="CN544" s="294"/>
      <c r="CO544" s="289"/>
      <c r="CP544" s="290"/>
      <c r="CQ544" s="289"/>
      <c r="CR544" s="290"/>
      <c r="CS544" s="284"/>
      <c r="CT544" s="147"/>
      <c r="CU544" s="291"/>
      <c r="CV544" s="292"/>
    </row>
    <row r="545" spans="2:100">
      <c r="B545">
        <v>487</v>
      </c>
      <c r="C545" s="243" t="str">
        <v/>
      </c>
      <c r="D545" s="592" t="str">
        <v/>
      </c>
      <c r="E545" s="245" t="str">
        <v/>
      </c>
      <c r="F545" s="243" t="str">
        <v/>
      </c>
      <c r="G545" s="245" t="str">
        <v/>
      </c>
      <c r="H545" s="243" t="str">
        <v/>
      </c>
      <c r="I545" s="245" t="str">
        <v/>
      </c>
      <c r="J545" s="242" t="str">
        <v/>
      </c>
      <c r="K545" s="242" t="str">
        <v/>
      </c>
      <c r="L545" s="242" t="str">
        <v/>
      </c>
      <c r="M545" s="243" t="str">
        <v/>
      </c>
      <c r="N545" s="592" t="str">
        <v/>
      </c>
      <c r="O545" s="245" t="str">
        <v/>
      </c>
      <c r="P545" s="245" t="str">
        <v/>
      </c>
      <c r="Q545" s="254" t="str">
        <v/>
      </c>
      <c r="R545" s="255" t="str">
        <v/>
      </c>
      <c r="S545" s="256" t="str">
        <v/>
      </c>
      <c r="T545" s="257" t="str">
        <v/>
      </c>
      <c r="U545" s="255" t="str">
        <v/>
      </c>
      <c r="V545" s="256" t="str">
        <v/>
      </c>
      <c r="W545" s="257" t="str">
        <v/>
      </c>
      <c r="X545" s="255" t="str">
        <v/>
      </c>
      <c r="Y545" s="256" t="str">
        <v/>
      </c>
      <c r="Z545" s="257" t="str">
        <v/>
      </c>
      <c r="AA545" s="255" t="str">
        <v/>
      </c>
      <c r="AB545" s="256" t="str">
        <v/>
      </c>
      <c r="AC545" s="257" t="str">
        <v/>
      </c>
      <c r="AD545" s="255" t="str">
        <v/>
      </c>
      <c r="AE545" s="256" t="str">
        <v/>
      </c>
      <c r="AF545" s="257" t="str">
        <v/>
      </c>
      <c r="AG545" s="255" t="str">
        <v/>
      </c>
      <c r="AH545" s="256" t="str">
        <v/>
      </c>
      <c r="AI545" s="257" t="str">
        <v/>
      </c>
      <c r="AJ545" s="255" t="str">
        <v/>
      </c>
      <c r="AK545" s="256" t="str">
        <v/>
      </c>
      <c r="AL545" s="257" t="str">
        <v/>
      </c>
      <c r="AM545" s="255" t="str">
        <v/>
      </c>
      <c r="AN545" s="256" t="str">
        <v/>
      </c>
      <c r="AO545" s="257" t="str">
        <v/>
      </c>
      <c r="AP545" s="255" t="str">
        <v/>
      </c>
      <c r="AQ545" s="256" t="str">
        <v/>
      </c>
      <c r="AR545" s="257" t="str">
        <v/>
      </c>
      <c r="AS545" s="255" t="str">
        <v/>
      </c>
      <c r="AT545" s="256" t="str">
        <v/>
      </c>
      <c r="AU545" s="257" t="str">
        <v/>
      </c>
      <c r="AV545" s="255" t="str">
        <v/>
      </c>
      <c r="AW545" s="256" t="str">
        <v/>
      </c>
      <c r="AX545" s="257" t="str">
        <v/>
      </c>
      <c r="AY545" s="243">
        <v>0</v>
      </c>
      <c r="AZ545" s="244">
        <v>0</v>
      </c>
      <c r="BA545" s="244">
        <v>0</v>
      </c>
      <c r="BB545" s="244">
        <v>0</v>
      </c>
      <c r="BC545" s="244">
        <v>0</v>
      </c>
      <c r="BD545" s="244">
        <v>0</v>
      </c>
      <c r="BE545" s="244">
        <v>0</v>
      </c>
      <c r="BF545" s="244">
        <v>0</v>
      </c>
      <c r="BG545" s="244">
        <v>0</v>
      </c>
      <c r="BH545" s="245">
        <v>0</v>
      </c>
      <c r="BK545">
        <v>487</v>
      </c>
      <c r="BL545" s="281"/>
      <c r="BM545" s="281"/>
      <c r="BN545" s="282"/>
      <c r="BO545" s="282"/>
      <c r="BP545" s="282"/>
      <c r="BQ545" s="283"/>
      <c r="BR545" s="284"/>
      <c r="BS545" s="147"/>
      <c r="BT545" s="285"/>
      <c r="BU545" s="288"/>
      <c r="BV545" s="287"/>
      <c r="BW545" s="288"/>
      <c r="BX545" s="286"/>
      <c r="BY545" s="287"/>
      <c r="BZ545" s="288"/>
      <c r="CA545" s="286"/>
      <c r="CB545" s="286"/>
      <c r="CC545" s="287"/>
      <c r="CD545" s="286"/>
      <c r="CE545" s="286"/>
      <c r="CF545" s="286"/>
      <c r="CG545" s="287"/>
      <c r="CH545" s="288"/>
      <c r="CI545" s="286"/>
      <c r="CJ545" s="286"/>
      <c r="CK545" s="287"/>
      <c r="CL545" s="288"/>
      <c r="CM545" s="286"/>
      <c r="CN545" s="294"/>
      <c r="CO545" s="289"/>
      <c r="CP545" s="290"/>
      <c r="CQ545" s="289"/>
      <c r="CR545" s="290"/>
      <c r="CS545" s="284"/>
      <c r="CT545" s="147"/>
      <c r="CU545" s="291"/>
      <c r="CV545" s="292"/>
    </row>
    <row r="546" spans="2:100">
      <c r="B546">
        <v>488</v>
      </c>
      <c r="C546" s="243" t="str">
        <v/>
      </c>
      <c r="D546" s="592" t="str">
        <v/>
      </c>
      <c r="E546" s="245" t="str">
        <v/>
      </c>
      <c r="F546" s="243" t="str">
        <v/>
      </c>
      <c r="G546" s="245" t="str">
        <v/>
      </c>
      <c r="H546" s="243" t="str">
        <v/>
      </c>
      <c r="I546" s="245" t="str">
        <v/>
      </c>
      <c r="J546" s="242" t="str">
        <v/>
      </c>
      <c r="K546" s="242" t="str">
        <v/>
      </c>
      <c r="L546" s="242" t="str">
        <v/>
      </c>
      <c r="M546" s="243" t="str">
        <v/>
      </c>
      <c r="N546" s="592" t="str">
        <v/>
      </c>
      <c r="O546" s="245" t="str">
        <v/>
      </c>
      <c r="P546" s="245" t="str">
        <v/>
      </c>
      <c r="Q546" s="254" t="str">
        <v/>
      </c>
      <c r="R546" s="255" t="str">
        <v/>
      </c>
      <c r="S546" s="256" t="str">
        <v/>
      </c>
      <c r="T546" s="257" t="str">
        <v/>
      </c>
      <c r="U546" s="255" t="str">
        <v/>
      </c>
      <c r="V546" s="256" t="str">
        <v/>
      </c>
      <c r="W546" s="257" t="str">
        <v/>
      </c>
      <c r="X546" s="255" t="str">
        <v/>
      </c>
      <c r="Y546" s="256" t="str">
        <v/>
      </c>
      <c r="Z546" s="257" t="str">
        <v/>
      </c>
      <c r="AA546" s="255" t="str">
        <v/>
      </c>
      <c r="AB546" s="256" t="str">
        <v/>
      </c>
      <c r="AC546" s="257" t="str">
        <v/>
      </c>
      <c r="AD546" s="255" t="str">
        <v/>
      </c>
      <c r="AE546" s="256" t="str">
        <v/>
      </c>
      <c r="AF546" s="257" t="str">
        <v/>
      </c>
      <c r="AG546" s="255" t="str">
        <v/>
      </c>
      <c r="AH546" s="256" t="str">
        <v/>
      </c>
      <c r="AI546" s="257" t="str">
        <v/>
      </c>
      <c r="AJ546" s="255" t="str">
        <v/>
      </c>
      <c r="AK546" s="256" t="str">
        <v/>
      </c>
      <c r="AL546" s="257" t="str">
        <v/>
      </c>
      <c r="AM546" s="255" t="str">
        <v/>
      </c>
      <c r="AN546" s="256" t="str">
        <v/>
      </c>
      <c r="AO546" s="257" t="str">
        <v/>
      </c>
      <c r="AP546" s="255" t="str">
        <v/>
      </c>
      <c r="AQ546" s="256" t="str">
        <v/>
      </c>
      <c r="AR546" s="257" t="str">
        <v/>
      </c>
      <c r="AS546" s="255" t="str">
        <v/>
      </c>
      <c r="AT546" s="256" t="str">
        <v/>
      </c>
      <c r="AU546" s="257" t="str">
        <v/>
      </c>
      <c r="AV546" s="255" t="str">
        <v/>
      </c>
      <c r="AW546" s="256" t="str">
        <v/>
      </c>
      <c r="AX546" s="257" t="str">
        <v/>
      </c>
      <c r="AY546" s="243">
        <v>0</v>
      </c>
      <c r="AZ546" s="244">
        <v>0</v>
      </c>
      <c r="BA546" s="244">
        <v>0</v>
      </c>
      <c r="BB546" s="244">
        <v>0</v>
      </c>
      <c r="BC546" s="244">
        <v>0</v>
      </c>
      <c r="BD546" s="244">
        <v>0</v>
      </c>
      <c r="BE546" s="244">
        <v>0</v>
      </c>
      <c r="BF546" s="244">
        <v>0</v>
      </c>
      <c r="BG546" s="244">
        <v>0</v>
      </c>
      <c r="BH546" s="245">
        <v>0</v>
      </c>
      <c r="BK546">
        <v>488</v>
      </c>
      <c r="BL546" s="281"/>
      <c r="BM546" s="281"/>
      <c r="BN546" s="282"/>
      <c r="BO546" s="282"/>
      <c r="BP546" s="282"/>
      <c r="BQ546" s="283"/>
      <c r="BR546" s="284"/>
      <c r="BS546" s="147"/>
      <c r="BT546" s="285"/>
      <c r="BU546" s="288"/>
      <c r="BV546" s="287"/>
      <c r="BW546" s="288"/>
      <c r="BX546" s="286"/>
      <c r="BY546" s="287"/>
      <c r="BZ546" s="288"/>
      <c r="CA546" s="286"/>
      <c r="CB546" s="286"/>
      <c r="CC546" s="287"/>
      <c r="CD546" s="286"/>
      <c r="CE546" s="286"/>
      <c r="CF546" s="286"/>
      <c r="CG546" s="287"/>
      <c r="CH546" s="288"/>
      <c r="CI546" s="286"/>
      <c r="CJ546" s="286"/>
      <c r="CK546" s="287"/>
      <c r="CL546" s="288"/>
      <c r="CM546" s="286"/>
      <c r="CN546" s="294"/>
      <c r="CO546" s="289"/>
      <c r="CP546" s="290"/>
      <c r="CQ546" s="289"/>
      <c r="CR546" s="290"/>
      <c r="CS546" s="284"/>
      <c r="CT546" s="147"/>
      <c r="CU546" s="291"/>
      <c r="CV546" s="292"/>
    </row>
    <row r="547" spans="2:100">
      <c r="B547">
        <v>489</v>
      </c>
      <c r="C547" s="243" t="str">
        <v/>
      </c>
      <c r="D547" s="592" t="str">
        <v/>
      </c>
      <c r="E547" s="245" t="str">
        <v/>
      </c>
      <c r="F547" s="243" t="str">
        <v/>
      </c>
      <c r="G547" s="245" t="str">
        <v/>
      </c>
      <c r="H547" s="243" t="str">
        <v/>
      </c>
      <c r="I547" s="245" t="str">
        <v/>
      </c>
      <c r="J547" s="242" t="str">
        <v/>
      </c>
      <c r="K547" s="242" t="str">
        <v/>
      </c>
      <c r="L547" s="242" t="str">
        <v/>
      </c>
      <c r="M547" s="243" t="str">
        <v/>
      </c>
      <c r="N547" s="592" t="str">
        <v/>
      </c>
      <c r="O547" s="245" t="str">
        <v/>
      </c>
      <c r="P547" s="245" t="str">
        <v/>
      </c>
      <c r="Q547" s="254" t="str">
        <v/>
      </c>
      <c r="R547" s="255" t="str">
        <v/>
      </c>
      <c r="S547" s="256" t="str">
        <v/>
      </c>
      <c r="T547" s="257" t="str">
        <v/>
      </c>
      <c r="U547" s="255" t="str">
        <v/>
      </c>
      <c r="V547" s="256" t="str">
        <v/>
      </c>
      <c r="W547" s="257" t="str">
        <v/>
      </c>
      <c r="X547" s="255" t="str">
        <v/>
      </c>
      <c r="Y547" s="256" t="str">
        <v/>
      </c>
      <c r="Z547" s="257" t="str">
        <v/>
      </c>
      <c r="AA547" s="255" t="str">
        <v/>
      </c>
      <c r="AB547" s="256" t="str">
        <v/>
      </c>
      <c r="AC547" s="257" t="str">
        <v/>
      </c>
      <c r="AD547" s="255" t="str">
        <v/>
      </c>
      <c r="AE547" s="256" t="str">
        <v/>
      </c>
      <c r="AF547" s="257" t="str">
        <v/>
      </c>
      <c r="AG547" s="255" t="str">
        <v/>
      </c>
      <c r="AH547" s="256" t="str">
        <v/>
      </c>
      <c r="AI547" s="257" t="str">
        <v/>
      </c>
      <c r="AJ547" s="255" t="str">
        <v/>
      </c>
      <c r="AK547" s="256" t="str">
        <v/>
      </c>
      <c r="AL547" s="257" t="str">
        <v/>
      </c>
      <c r="AM547" s="255" t="str">
        <v/>
      </c>
      <c r="AN547" s="256" t="str">
        <v/>
      </c>
      <c r="AO547" s="257" t="str">
        <v/>
      </c>
      <c r="AP547" s="255" t="str">
        <v/>
      </c>
      <c r="AQ547" s="256" t="str">
        <v/>
      </c>
      <c r="AR547" s="257" t="str">
        <v/>
      </c>
      <c r="AS547" s="255" t="str">
        <v/>
      </c>
      <c r="AT547" s="256" t="str">
        <v/>
      </c>
      <c r="AU547" s="257" t="str">
        <v/>
      </c>
      <c r="AV547" s="255" t="str">
        <v/>
      </c>
      <c r="AW547" s="256" t="str">
        <v/>
      </c>
      <c r="AX547" s="257" t="str">
        <v/>
      </c>
      <c r="AY547" s="243">
        <v>0</v>
      </c>
      <c r="AZ547" s="244">
        <v>0</v>
      </c>
      <c r="BA547" s="244">
        <v>0</v>
      </c>
      <c r="BB547" s="244">
        <v>0</v>
      </c>
      <c r="BC547" s="244">
        <v>0</v>
      </c>
      <c r="BD547" s="244">
        <v>0</v>
      </c>
      <c r="BE547" s="244">
        <v>0</v>
      </c>
      <c r="BF547" s="244">
        <v>0</v>
      </c>
      <c r="BG547" s="244">
        <v>0</v>
      </c>
      <c r="BH547" s="245">
        <v>0</v>
      </c>
      <c r="BK547">
        <v>489</v>
      </c>
      <c r="BL547" s="281"/>
      <c r="BM547" s="281"/>
      <c r="BN547" s="282"/>
      <c r="BO547" s="282"/>
      <c r="BP547" s="282"/>
      <c r="BQ547" s="283"/>
      <c r="BR547" s="284"/>
      <c r="BS547" s="147"/>
      <c r="BT547" s="285"/>
      <c r="BU547" s="288"/>
      <c r="BV547" s="287"/>
      <c r="BW547" s="288"/>
      <c r="BX547" s="286"/>
      <c r="BY547" s="287"/>
      <c r="BZ547" s="288"/>
      <c r="CA547" s="286"/>
      <c r="CB547" s="286"/>
      <c r="CC547" s="287"/>
      <c r="CD547" s="286"/>
      <c r="CE547" s="286"/>
      <c r="CF547" s="286"/>
      <c r="CG547" s="287"/>
      <c r="CH547" s="288"/>
      <c r="CI547" s="286"/>
      <c r="CJ547" s="286"/>
      <c r="CK547" s="287"/>
      <c r="CL547" s="288"/>
      <c r="CM547" s="286"/>
      <c r="CN547" s="294"/>
      <c r="CO547" s="289"/>
      <c r="CP547" s="290"/>
      <c r="CQ547" s="289"/>
      <c r="CR547" s="290"/>
      <c r="CS547" s="284"/>
      <c r="CT547" s="147"/>
      <c r="CU547" s="291"/>
      <c r="CV547" s="292"/>
    </row>
    <row r="548" spans="2:100">
      <c r="B548">
        <v>490</v>
      </c>
      <c r="C548" s="243" t="str">
        <v/>
      </c>
      <c r="D548" s="592" t="str">
        <v/>
      </c>
      <c r="E548" s="245" t="str">
        <v/>
      </c>
      <c r="F548" s="243" t="str">
        <v/>
      </c>
      <c r="G548" s="245" t="str">
        <v/>
      </c>
      <c r="H548" s="243" t="str">
        <v/>
      </c>
      <c r="I548" s="245" t="str">
        <v/>
      </c>
      <c r="J548" s="242" t="str">
        <v/>
      </c>
      <c r="K548" s="242" t="str">
        <v/>
      </c>
      <c r="L548" s="242" t="str">
        <v/>
      </c>
      <c r="M548" s="243" t="str">
        <v/>
      </c>
      <c r="N548" s="592" t="str">
        <v/>
      </c>
      <c r="O548" s="245" t="str">
        <v/>
      </c>
      <c r="P548" s="245" t="str">
        <v/>
      </c>
      <c r="Q548" s="254" t="str">
        <v/>
      </c>
      <c r="R548" s="255" t="str">
        <v/>
      </c>
      <c r="S548" s="256" t="str">
        <v/>
      </c>
      <c r="T548" s="257" t="str">
        <v/>
      </c>
      <c r="U548" s="255" t="str">
        <v/>
      </c>
      <c r="V548" s="256" t="str">
        <v/>
      </c>
      <c r="W548" s="257" t="str">
        <v/>
      </c>
      <c r="X548" s="255" t="str">
        <v/>
      </c>
      <c r="Y548" s="256" t="str">
        <v/>
      </c>
      <c r="Z548" s="257" t="str">
        <v/>
      </c>
      <c r="AA548" s="255" t="str">
        <v/>
      </c>
      <c r="AB548" s="256" t="str">
        <v/>
      </c>
      <c r="AC548" s="257" t="str">
        <v/>
      </c>
      <c r="AD548" s="255" t="str">
        <v/>
      </c>
      <c r="AE548" s="256" t="str">
        <v/>
      </c>
      <c r="AF548" s="257" t="str">
        <v/>
      </c>
      <c r="AG548" s="255" t="str">
        <v/>
      </c>
      <c r="AH548" s="256" t="str">
        <v/>
      </c>
      <c r="AI548" s="257" t="str">
        <v/>
      </c>
      <c r="AJ548" s="255" t="str">
        <v/>
      </c>
      <c r="AK548" s="256" t="str">
        <v/>
      </c>
      <c r="AL548" s="257" t="str">
        <v/>
      </c>
      <c r="AM548" s="255" t="str">
        <v/>
      </c>
      <c r="AN548" s="256" t="str">
        <v/>
      </c>
      <c r="AO548" s="257" t="str">
        <v/>
      </c>
      <c r="AP548" s="255" t="str">
        <v/>
      </c>
      <c r="AQ548" s="256" t="str">
        <v/>
      </c>
      <c r="AR548" s="257" t="str">
        <v/>
      </c>
      <c r="AS548" s="255" t="str">
        <v/>
      </c>
      <c r="AT548" s="256" t="str">
        <v/>
      </c>
      <c r="AU548" s="257" t="str">
        <v/>
      </c>
      <c r="AV548" s="255" t="str">
        <v/>
      </c>
      <c r="AW548" s="256" t="str">
        <v/>
      </c>
      <c r="AX548" s="257" t="str">
        <v/>
      </c>
      <c r="AY548" s="243">
        <v>0</v>
      </c>
      <c r="AZ548" s="244">
        <v>0</v>
      </c>
      <c r="BA548" s="244">
        <v>0</v>
      </c>
      <c r="BB548" s="244">
        <v>0</v>
      </c>
      <c r="BC548" s="244">
        <v>0</v>
      </c>
      <c r="BD548" s="244">
        <v>0</v>
      </c>
      <c r="BE548" s="244">
        <v>0</v>
      </c>
      <c r="BF548" s="244">
        <v>0</v>
      </c>
      <c r="BG548" s="244">
        <v>0</v>
      </c>
      <c r="BH548" s="245">
        <v>0</v>
      </c>
      <c r="BK548">
        <v>490</v>
      </c>
      <c r="BL548" s="281"/>
      <c r="BM548" s="281"/>
      <c r="BN548" s="282"/>
      <c r="BO548" s="282"/>
      <c r="BP548" s="282"/>
      <c r="BQ548" s="283"/>
      <c r="BR548" s="284"/>
      <c r="BS548" s="147"/>
      <c r="BT548" s="285"/>
      <c r="BU548" s="288"/>
      <c r="BV548" s="287"/>
      <c r="BW548" s="288"/>
      <c r="BX548" s="286"/>
      <c r="BY548" s="287"/>
      <c r="BZ548" s="288"/>
      <c r="CA548" s="286"/>
      <c r="CB548" s="286"/>
      <c r="CC548" s="287"/>
      <c r="CD548" s="286"/>
      <c r="CE548" s="286"/>
      <c r="CF548" s="286"/>
      <c r="CG548" s="287"/>
      <c r="CH548" s="288"/>
      <c r="CI548" s="286"/>
      <c r="CJ548" s="286"/>
      <c r="CK548" s="287"/>
      <c r="CL548" s="288"/>
      <c r="CM548" s="286"/>
      <c r="CN548" s="294"/>
      <c r="CO548" s="289"/>
      <c r="CP548" s="290"/>
      <c r="CQ548" s="289"/>
      <c r="CR548" s="290"/>
      <c r="CS548" s="284"/>
      <c r="CT548" s="147"/>
      <c r="CU548" s="291"/>
      <c r="CV548" s="292"/>
    </row>
    <row r="549" spans="2:100">
      <c r="B549">
        <v>491</v>
      </c>
      <c r="C549" s="243" t="str">
        <v/>
      </c>
      <c r="D549" s="592" t="str">
        <v/>
      </c>
      <c r="E549" s="245" t="str">
        <v/>
      </c>
      <c r="F549" s="243" t="str">
        <v/>
      </c>
      <c r="G549" s="245" t="str">
        <v/>
      </c>
      <c r="H549" s="243" t="str">
        <v/>
      </c>
      <c r="I549" s="245" t="str">
        <v/>
      </c>
      <c r="J549" s="242" t="str">
        <v/>
      </c>
      <c r="K549" s="242" t="str">
        <v/>
      </c>
      <c r="L549" s="242" t="str">
        <v/>
      </c>
      <c r="M549" s="243" t="str">
        <v/>
      </c>
      <c r="N549" s="592" t="str">
        <v/>
      </c>
      <c r="O549" s="245" t="str">
        <v/>
      </c>
      <c r="P549" s="245" t="str">
        <v/>
      </c>
      <c r="Q549" s="254" t="str">
        <v/>
      </c>
      <c r="R549" s="255" t="str">
        <v/>
      </c>
      <c r="S549" s="256" t="str">
        <v/>
      </c>
      <c r="T549" s="257" t="str">
        <v/>
      </c>
      <c r="U549" s="255" t="str">
        <v/>
      </c>
      <c r="V549" s="256" t="str">
        <v/>
      </c>
      <c r="W549" s="257" t="str">
        <v/>
      </c>
      <c r="X549" s="255" t="str">
        <v/>
      </c>
      <c r="Y549" s="256" t="str">
        <v/>
      </c>
      <c r="Z549" s="257" t="str">
        <v/>
      </c>
      <c r="AA549" s="255" t="str">
        <v/>
      </c>
      <c r="AB549" s="256" t="str">
        <v/>
      </c>
      <c r="AC549" s="257" t="str">
        <v/>
      </c>
      <c r="AD549" s="255" t="str">
        <v/>
      </c>
      <c r="AE549" s="256" t="str">
        <v/>
      </c>
      <c r="AF549" s="257" t="str">
        <v/>
      </c>
      <c r="AG549" s="255" t="str">
        <v/>
      </c>
      <c r="AH549" s="256" t="str">
        <v/>
      </c>
      <c r="AI549" s="257" t="str">
        <v/>
      </c>
      <c r="AJ549" s="255" t="str">
        <v/>
      </c>
      <c r="AK549" s="256" t="str">
        <v/>
      </c>
      <c r="AL549" s="257" t="str">
        <v/>
      </c>
      <c r="AM549" s="255" t="str">
        <v/>
      </c>
      <c r="AN549" s="256" t="str">
        <v/>
      </c>
      <c r="AO549" s="257" t="str">
        <v/>
      </c>
      <c r="AP549" s="255" t="str">
        <v/>
      </c>
      <c r="AQ549" s="256" t="str">
        <v/>
      </c>
      <c r="AR549" s="257" t="str">
        <v/>
      </c>
      <c r="AS549" s="255" t="str">
        <v/>
      </c>
      <c r="AT549" s="256" t="str">
        <v/>
      </c>
      <c r="AU549" s="257" t="str">
        <v/>
      </c>
      <c r="AV549" s="255" t="str">
        <v/>
      </c>
      <c r="AW549" s="256" t="str">
        <v/>
      </c>
      <c r="AX549" s="257" t="str">
        <v/>
      </c>
      <c r="AY549" s="243">
        <v>0</v>
      </c>
      <c r="AZ549" s="244">
        <v>0</v>
      </c>
      <c r="BA549" s="244">
        <v>0</v>
      </c>
      <c r="BB549" s="244">
        <v>0</v>
      </c>
      <c r="BC549" s="244">
        <v>0</v>
      </c>
      <c r="BD549" s="244">
        <v>0</v>
      </c>
      <c r="BE549" s="244">
        <v>0</v>
      </c>
      <c r="BF549" s="244">
        <v>0</v>
      </c>
      <c r="BG549" s="244">
        <v>0</v>
      </c>
      <c r="BH549" s="245">
        <v>0</v>
      </c>
      <c r="BK549">
        <v>491</v>
      </c>
      <c r="BL549" s="281"/>
      <c r="BM549" s="281"/>
      <c r="BN549" s="282"/>
      <c r="BO549" s="282"/>
      <c r="BP549" s="282"/>
      <c r="BQ549" s="283"/>
      <c r="BR549" s="284"/>
      <c r="BS549" s="147"/>
      <c r="BT549" s="285"/>
      <c r="BU549" s="288"/>
      <c r="BV549" s="287"/>
      <c r="BW549" s="288"/>
      <c r="BX549" s="286"/>
      <c r="BY549" s="287"/>
      <c r="BZ549" s="288"/>
      <c r="CA549" s="286"/>
      <c r="CB549" s="286"/>
      <c r="CC549" s="287"/>
      <c r="CD549" s="286"/>
      <c r="CE549" s="286"/>
      <c r="CF549" s="286"/>
      <c r="CG549" s="287"/>
      <c r="CH549" s="288"/>
      <c r="CI549" s="286"/>
      <c r="CJ549" s="286"/>
      <c r="CK549" s="287"/>
      <c r="CL549" s="288"/>
      <c r="CM549" s="286"/>
      <c r="CN549" s="294"/>
      <c r="CO549" s="289"/>
      <c r="CP549" s="290"/>
      <c r="CQ549" s="289"/>
      <c r="CR549" s="290"/>
      <c r="CS549" s="284"/>
      <c r="CT549" s="147"/>
      <c r="CU549" s="291"/>
      <c r="CV549" s="292"/>
    </row>
    <row r="550" spans="2:100">
      <c r="B550">
        <v>492</v>
      </c>
      <c r="C550" s="243" t="str">
        <v/>
      </c>
      <c r="D550" s="592" t="str">
        <v/>
      </c>
      <c r="E550" s="245" t="str">
        <v/>
      </c>
      <c r="F550" s="243" t="str">
        <v/>
      </c>
      <c r="G550" s="245" t="str">
        <v/>
      </c>
      <c r="H550" s="243" t="str">
        <v/>
      </c>
      <c r="I550" s="245" t="str">
        <v/>
      </c>
      <c r="J550" s="242" t="str">
        <v/>
      </c>
      <c r="K550" s="242" t="str">
        <v/>
      </c>
      <c r="L550" s="242" t="str">
        <v/>
      </c>
      <c r="M550" s="243" t="str">
        <v/>
      </c>
      <c r="N550" s="592" t="str">
        <v/>
      </c>
      <c r="O550" s="245" t="str">
        <v/>
      </c>
      <c r="P550" s="245" t="str">
        <v/>
      </c>
      <c r="Q550" s="254" t="str">
        <v/>
      </c>
      <c r="R550" s="255" t="str">
        <v/>
      </c>
      <c r="S550" s="256" t="str">
        <v/>
      </c>
      <c r="T550" s="257" t="str">
        <v/>
      </c>
      <c r="U550" s="255" t="str">
        <v/>
      </c>
      <c r="V550" s="256" t="str">
        <v/>
      </c>
      <c r="W550" s="257" t="str">
        <v/>
      </c>
      <c r="X550" s="255" t="str">
        <v/>
      </c>
      <c r="Y550" s="256" t="str">
        <v/>
      </c>
      <c r="Z550" s="257" t="str">
        <v/>
      </c>
      <c r="AA550" s="255" t="str">
        <v/>
      </c>
      <c r="AB550" s="256" t="str">
        <v/>
      </c>
      <c r="AC550" s="257" t="str">
        <v/>
      </c>
      <c r="AD550" s="255" t="str">
        <v/>
      </c>
      <c r="AE550" s="256" t="str">
        <v/>
      </c>
      <c r="AF550" s="257" t="str">
        <v/>
      </c>
      <c r="AG550" s="255" t="str">
        <v/>
      </c>
      <c r="AH550" s="256" t="str">
        <v/>
      </c>
      <c r="AI550" s="257" t="str">
        <v/>
      </c>
      <c r="AJ550" s="255" t="str">
        <v/>
      </c>
      <c r="AK550" s="256" t="str">
        <v/>
      </c>
      <c r="AL550" s="257" t="str">
        <v/>
      </c>
      <c r="AM550" s="255" t="str">
        <v/>
      </c>
      <c r="AN550" s="256" t="str">
        <v/>
      </c>
      <c r="AO550" s="257" t="str">
        <v/>
      </c>
      <c r="AP550" s="255" t="str">
        <v/>
      </c>
      <c r="AQ550" s="256" t="str">
        <v/>
      </c>
      <c r="AR550" s="257" t="str">
        <v/>
      </c>
      <c r="AS550" s="255" t="str">
        <v/>
      </c>
      <c r="AT550" s="256" t="str">
        <v/>
      </c>
      <c r="AU550" s="257" t="str">
        <v/>
      </c>
      <c r="AV550" s="255" t="str">
        <v/>
      </c>
      <c r="AW550" s="256" t="str">
        <v/>
      </c>
      <c r="AX550" s="257" t="str">
        <v/>
      </c>
      <c r="AY550" s="243">
        <v>0</v>
      </c>
      <c r="AZ550" s="244">
        <v>0</v>
      </c>
      <c r="BA550" s="244">
        <v>0</v>
      </c>
      <c r="BB550" s="244">
        <v>0</v>
      </c>
      <c r="BC550" s="244">
        <v>0</v>
      </c>
      <c r="BD550" s="244">
        <v>0</v>
      </c>
      <c r="BE550" s="244">
        <v>0</v>
      </c>
      <c r="BF550" s="244">
        <v>0</v>
      </c>
      <c r="BG550" s="244">
        <v>0</v>
      </c>
      <c r="BH550" s="245">
        <v>0</v>
      </c>
      <c r="BK550">
        <v>492</v>
      </c>
      <c r="BL550" s="281"/>
      <c r="BM550" s="281"/>
      <c r="BN550" s="282"/>
      <c r="BO550" s="282"/>
      <c r="BP550" s="282"/>
      <c r="BQ550" s="283"/>
      <c r="BR550" s="284"/>
      <c r="BS550" s="147"/>
      <c r="BT550" s="285"/>
      <c r="BU550" s="288"/>
      <c r="BV550" s="287"/>
      <c r="BW550" s="288"/>
      <c r="BX550" s="286"/>
      <c r="BY550" s="287"/>
      <c r="BZ550" s="288"/>
      <c r="CA550" s="286"/>
      <c r="CB550" s="286"/>
      <c r="CC550" s="287"/>
      <c r="CD550" s="286"/>
      <c r="CE550" s="286"/>
      <c r="CF550" s="286"/>
      <c r="CG550" s="287"/>
      <c r="CH550" s="288"/>
      <c r="CI550" s="286"/>
      <c r="CJ550" s="286"/>
      <c r="CK550" s="287"/>
      <c r="CL550" s="288"/>
      <c r="CM550" s="286"/>
      <c r="CN550" s="294"/>
      <c r="CO550" s="289"/>
      <c r="CP550" s="290"/>
      <c r="CQ550" s="289"/>
      <c r="CR550" s="290"/>
      <c r="CS550" s="284"/>
      <c r="CT550" s="147"/>
      <c r="CU550" s="291"/>
      <c r="CV550" s="292"/>
    </row>
    <row r="551" spans="2:100">
      <c r="B551">
        <v>493</v>
      </c>
      <c r="C551" s="243" t="str">
        <v/>
      </c>
      <c r="D551" s="592" t="str">
        <v/>
      </c>
      <c r="E551" s="245" t="str">
        <v/>
      </c>
      <c r="F551" s="243" t="str">
        <v/>
      </c>
      <c r="G551" s="245" t="str">
        <v/>
      </c>
      <c r="H551" s="243" t="str">
        <v/>
      </c>
      <c r="I551" s="245" t="str">
        <v/>
      </c>
      <c r="J551" s="242" t="str">
        <v/>
      </c>
      <c r="K551" s="242" t="str">
        <v/>
      </c>
      <c r="L551" s="242" t="str">
        <v/>
      </c>
      <c r="M551" s="243" t="str">
        <v/>
      </c>
      <c r="N551" s="592" t="str">
        <v/>
      </c>
      <c r="O551" s="245" t="str">
        <v/>
      </c>
      <c r="P551" s="245" t="str">
        <v/>
      </c>
      <c r="Q551" s="254" t="str">
        <v/>
      </c>
      <c r="R551" s="255" t="str">
        <v/>
      </c>
      <c r="S551" s="256" t="str">
        <v/>
      </c>
      <c r="T551" s="257" t="str">
        <v/>
      </c>
      <c r="U551" s="255" t="str">
        <v/>
      </c>
      <c r="V551" s="256" t="str">
        <v/>
      </c>
      <c r="W551" s="257" t="str">
        <v/>
      </c>
      <c r="X551" s="255" t="str">
        <v/>
      </c>
      <c r="Y551" s="256" t="str">
        <v/>
      </c>
      <c r="Z551" s="257" t="str">
        <v/>
      </c>
      <c r="AA551" s="255" t="str">
        <v/>
      </c>
      <c r="AB551" s="256" t="str">
        <v/>
      </c>
      <c r="AC551" s="257" t="str">
        <v/>
      </c>
      <c r="AD551" s="255" t="str">
        <v/>
      </c>
      <c r="AE551" s="256" t="str">
        <v/>
      </c>
      <c r="AF551" s="257" t="str">
        <v/>
      </c>
      <c r="AG551" s="255" t="str">
        <v/>
      </c>
      <c r="AH551" s="256" t="str">
        <v/>
      </c>
      <c r="AI551" s="257" t="str">
        <v/>
      </c>
      <c r="AJ551" s="255" t="str">
        <v/>
      </c>
      <c r="AK551" s="256" t="str">
        <v/>
      </c>
      <c r="AL551" s="257" t="str">
        <v/>
      </c>
      <c r="AM551" s="255" t="str">
        <v/>
      </c>
      <c r="AN551" s="256" t="str">
        <v/>
      </c>
      <c r="AO551" s="257" t="str">
        <v/>
      </c>
      <c r="AP551" s="255" t="str">
        <v/>
      </c>
      <c r="AQ551" s="256" t="str">
        <v/>
      </c>
      <c r="AR551" s="257" t="str">
        <v/>
      </c>
      <c r="AS551" s="255" t="str">
        <v/>
      </c>
      <c r="AT551" s="256" t="str">
        <v/>
      </c>
      <c r="AU551" s="257" t="str">
        <v/>
      </c>
      <c r="AV551" s="255" t="str">
        <v/>
      </c>
      <c r="AW551" s="256" t="str">
        <v/>
      </c>
      <c r="AX551" s="257" t="str">
        <v/>
      </c>
      <c r="AY551" s="243">
        <v>0</v>
      </c>
      <c r="AZ551" s="244">
        <v>0</v>
      </c>
      <c r="BA551" s="244">
        <v>0</v>
      </c>
      <c r="BB551" s="244">
        <v>0</v>
      </c>
      <c r="BC551" s="244">
        <v>0</v>
      </c>
      <c r="BD551" s="244">
        <v>0</v>
      </c>
      <c r="BE551" s="244">
        <v>0</v>
      </c>
      <c r="BF551" s="244">
        <v>0</v>
      </c>
      <c r="BG551" s="244">
        <v>0</v>
      </c>
      <c r="BH551" s="245">
        <v>0</v>
      </c>
      <c r="BK551">
        <v>493</v>
      </c>
      <c r="BL551" s="281"/>
      <c r="BM551" s="281"/>
      <c r="BN551" s="282"/>
      <c r="BO551" s="282"/>
      <c r="BP551" s="282"/>
      <c r="BQ551" s="283"/>
      <c r="BR551" s="284"/>
      <c r="BS551" s="147"/>
      <c r="BT551" s="285"/>
      <c r="BU551" s="288"/>
      <c r="BV551" s="287"/>
      <c r="BW551" s="288"/>
      <c r="BX551" s="286"/>
      <c r="BY551" s="287"/>
      <c r="BZ551" s="288"/>
      <c r="CA551" s="286"/>
      <c r="CB551" s="286"/>
      <c r="CC551" s="287"/>
      <c r="CD551" s="286"/>
      <c r="CE551" s="286"/>
      <c r="CF551" s="286"/>
      <c r="CG551" s="287"/>
      <c r="CH551" s="288"/>
      <c r="CI551" s="286"/>
      <c r="CJ551" s="286"/>
      <c r="CK551" s="287"/>
      <c r="CL551" s="288"/>
      <c r="CM551" s="286"/>
      <c r="CN551" s="294"/>
      <c r="CO551" s="289"/>
      <c r="CP551" s="290"/>
      <c r="CQ551" s="289"/>
      <c r="CR551" s="290"/>
      <c r="CS551" s="284"/>
      <c r="CT551" s="147"/>
      <c r="CU551" s="291"/>
      <c r="CV551" s="292"/>
    </row>
    <row r="552" spans="2:100">
      <c r="B552">
        <v>494</v>
      </c>
      <c r="C552" s="243" t="str">
        <v/>
      </c>
      <c r="D552" s="592" t="str">
        <v/>
      </c>
      <c r="E552" s="245" t="str">
        <v/>
      </c>
      <c r="F552" s="243" t="str">
        <v/>
      </c>
      <c r="G552" s="245" t="str">
        <v/>
      </c>
      <c r="H552" s="243" t="str">
        <v/>
      </c>
      <c r="I552" s="245" t="str">
        <v/>
      </c>
      <c r="J552" s="242" t="str">
        <v/>
      </c>
      <c r="K552" s="242" t="str">
        <v/>
      </c>
      <c r="L552" s="242" t="str">
        <v/>
      </c>
      <c r="M552" s="243" t="str">
        <v/>
      </c>
      <c r="N552" s="592" t="str">
        <v/>
      </c>
      <c r="O552" s="245" t="str">
        <v/>
      </c>
      <c r="P552" s="245" t="str">
        <v/>
      </c>
      <c r="Q552" s="254" t="str">
        <v/>
      </c>
      <c r="R552" s="255" t="str">
        <v/>
      </c>
      <c r="S552" s="256" t="str">
        <v/>
      </c>
      <c r="T552" s="257" t="str">
        <v/>
      </c>
      <c r="U552" s="255" t="str">
        <v/>
      </c>
      <c r="V552" s="256" t="str">
        <v/>
      </c>
      <c r="W552" s="257" t="str">
        <v/>
      </c>
      <c r="X552" s="255" t="str">
        <v/>
      </c>
      <c r="Y552" s="256" t="str">
        <v/>
      </c>
      <c r="Z552" s="257" t="str">
        <v/>
      </c>
      <c r="AA552" s="255" t="str">
        <v/>
      </c>
      <c r="AB552" s="256" t="str">
        <v/>
      </c>
      <c r="AC552" s="257" t="str">
        <v/>
      </c>
      <c r="AD552" s="255" t="str">
        <v/>
      </c>
      <c r="AE552" s="256" t="str">
        <v/>
      </c>
      <c r="AF552" s="257" t="str">
        <v/>
      </c>
      <c r="AG552" s="255" t="str">
        <v/>
      </c>
      <c r="AH552" s="256" t="str">
        <v/>
      </c>
      <c r="AI552" s="257" t="str">
        <v/>
      </c>
      <c r="AJ552" s="255" t="str">
        <v/>
      </c>
      <c r="AK552" s="256" t="str">
        <v/>
      </c>
      <c r="AL552" s="257" t="str">
        <v/>
      </c>
      <c r="AM552" s="255" t="str">
        <v/>
      </c>
      <c r="AN552" s="256" t="str">
        <v/>
      </c>
      <c r="AO552" s="257" t="str">
        <v/>
      </c>
      <c r="AP552" s="255" t="str">
        <v/>
      </c>
      <c r="AQ552" s="256" t="str">
        <v/>
      </c>
      <c r="AR552" s="257" t="str">
        <v/>
      </c>
      <c r="AS552" s="255" t="str">
        <v/>
      </c>
      <c r="AT552" s="256" t="str">
        <v/>
      </c>
      <c r="AU552" s="257" t="str">
        <v/>
      </c>
      <c r="AV552" s="255" t="str">
        <v/>
      </c>
      <c r="AW552" s="256" t="str">
        <v/>
      </c>
      <c r="AX552" s="257" t="str">
        <v/>
      </c>
      <c r="AY552" s="243">
        <v>0</v>
      </c>
      <c r="AZ552" s="244">
        <v>0</v>
      </c>
      <c r="BA552" s="244">
        <v>0</v>
      </c>
      <c r="BB552" s="244">
        <v>0</v>
      </c>
      <c r="BC552" s="244">
        <v>0</v>
      </c>
      <c r="BD552" s="244">
        <v>0</v>
      </c>
      <c r="BE552" s="244">
        <v>0</v>
      </c>
      <c r="BF552" s="244">
        <v>0</v>
      </c>
      <c r="BG552" s="244">
        <v>0</v>
      </c>
      <c r="BH552" s="245">
        <v>0</v>
      </c>
      <c r="BK552">
        <v>494</v>
      </c>
      <c r="BL552" s="281"/>
      <c r="BM552" s="281"/>
      <c r="BN552" s="282"/>
      <c r="BO552" s="282"/>
      <c r="BP552" s="282"/>
      <c r="BQ552" s="283"/>
      <c r="BR552" s="284"/>
      <c r="BS552" s="147"/>
      <c r="BT552" s="285"/>
      <c r="BU552" s="288"/>
      <c r="BV552" s="287"/>
      <c r="BW552" s="288"/>
      <c r="BX552" s="286"/>
      <c r="BY552" s="287"/>
      <c r="BZ552" s="288"/>
      <c r="CA552" s="286"/>
      <c r="CB552" s="286"/>
      <c r="CC552" s="287"/>
      <c r="CD552" s="286"/>
      <c r="CE552" s="286"/>
      <c r="CF552" s="286"/>
      <c r="CG552" s="287"/>
      <c r="CH552" s="288"/>
      <c r="CI552" s="286"/>
      <c r="CJ552" s="286"/>
      <c r="CK552" s="287"/>
      <c r="CL552" s="288"/>
      <c r="CM552" s="286"/>
      <c r="CN552" s="294"/>
      <c r="CO552" s="289"/>
      <c r="CP552" s="290"/>
      <c r="CQ552" s="289"/>
      <c r="CR552" s="290"/>
      <c r="CS552" s="284"/>
      <c r="CT552" s="147"/>
      <c r="CU552" s="291"/>
      <c r="CV552" s="292"/>
    </row>
    <row r="553" spans="2:100">
      <c r="B553">
        <v>495</v>
      </c>
      <c r="C553" s="243" t="str">
        <v/>
      </c>
      <c r="D553" s="592" t="str">
        <v/>
      </c>
      <c r="E553" s="245" t="str">
        <v/>
      </c>
      <c r="F553" s="243" t="str">
        <v/>
      </c>
      <c r="G553" s="245" t="str">
        <v/>
      </c>
      <c r="H553" s="243" t="str">
        <v/>
      </c>
      <c r="I553" s="245" t="str">
        <v/>
      </c>
      <c r="J553" s="242" t="str">
        <v/>
      </c>
      <c r="K553" s="242" t="str">
        <v/>
      </c>
      <c r="L553" s="242" t="str">
        <v/>
      </c>
      <c r="M553" s="243" t="str">
        <v/>
      </c>
      <c r="N553" s="592" t="str">
        <v/>
      </c>
      <c r="O553" s="245" t="str">
        <v/>
      </c>
      <c r="P553" s="245" t="str">
        <v/>
      </c>
      <c r="Q553" s="254" t="str">
        <v/>
      </c>
      <c r="R553" s="255" t="str">
        <v/>
      </c>
      <c r="S553" s="256" t="str">
        <v/>
      </c>
      <c r="T553" s="257" t="str">
        <v/>
      </c>
      <c r="U553" s="255" t="str">
        <v/>
      </c>
      <c r="V553" s="256" t="str">
        <v/>
      </c>
      <c r="W553" s="257" t="str">
        <v/>
      </c>
      <c r="X553" s="255" t="str">
        <v/>
      </c>
      <c r="Y553" s="256" t="str">
        <v/>
      </c>
      <c r="Z553" s="257" t="str">
        <v/>
      </c>
      <c r="AA553" s="255" t="str">
        <v/>
      </c>
      <c r="AB553" s="256" t="str">
        <v/>
      </c>
      <c r="AC553" s="257" t="str">
        <v/>
      </c>
      <c r="AD553" s="255" t="str">
        <v/>
      </c>
      <c r="AE553" s="256" t="str">
        <v/>
      </c>
      <c r="AF553" s="257" t="str">
        <v/>
      </c>
      <c r="AG553" s="255" t="str">
        <v/>
      </c>
      <c r="AH553" s="256" t="str">
        <v/>
      </c>
      <c r="AI553" s="257" t="str">
        <v/>
      </c>
      <c r="AJ553" s="255" t="str">
        <v/>
      </c>
      <c r="AK553" s="256" t="str">
        <v/>
      </c>
      <c r="AL553" s="257" t="str">
        <v/>
      </c>
      <c r="AM553" s="255" t="str">
        <v/>
      </c>
      <c r="AN553" s="256" t="str">
        <v/>
      </c>
      <c r="AO553" s="257" t="str">
        <v/>
      </c>
      <c r="AP553" s="255" t="str">
        <v/>
      </c>
      <c r="AQ553" s="256" t="str">
        <v/>
      </c>
      <c r="AR553" s="257" t="str">
        <v/>
      </c>
      <c r="AS553" s="255" t="str">
        <v/>
      </c>
      <c r="AT553" s="256" t="str">
        <v/>
      </c>
      <c r="AU553" s="257" t="str">
        <v/>
      </c>
      <c r="AV553" s="255" t="str">
        <v/>
      </c>
      <c r="AW553" s="256" t="str">
        <v/>
      </c>
      <c r="AX553" s="257" t="str">
        <v/>
      </c>
      <c r="AY553" s="243">
        <v>0</v>
      </c>
      <c r="AZ553" s="244">
        <v>0</v>
      </c>
      <c r="BA553" s="244">
        <v>0</v>
      </c>
      <c r="BB553" s="244">
        <v>0</v>
      </c>
      <c r="BC553" s="244">
        <v>0</v>
      </c>
      <c r="BD553" s="244">
        <v>0</v>
      </c>
      <c r="BE553" s="244">
        <v>0</v>
      </c>
      <c r="BF553" s="244">
        <v>0</v>
      </c>
      <c r="BG553" s="244">
        <v>0</v>
      </c>
      <c r="BH553" s="245">
        <v>0</v>
      </c>
      <c r="BK553">
        <v>495</v>
      </c>
      <c r="BL553" s="281"/>
      <c r="BM553" s="281"/>
      <c r="BN553" s="282"/>
      <c r="BO553" s="282"/>
      <c r="BP553" s="282"/>
      <c r="BQ553" s="283"/>
      <c r="BR553" s="284"/>
      <c r="BS553" s="147"/>
      <c r="BT553" s="285"/>
      <c r="BU553" s="288"/>
      <c r="BV553" s="287"/>
      <c r="BW553" s="288"/>
      <c r="BX553" s="286"/>
      <c r="BY553" s="287"/>
      <c r="BZ553" s="288"/>
      <c r="CA553" s="286"/>
      <c r="CB553" s="286"/>
      <c r="CC553" s="287"/>
      <c r="CD553" s="286"/>
      <c r="CE553" s="286"/>
      <c r="CF553" s="286"/>
      <c r="CG553" s="287"/>
      <c r="CH553" s="288"/>
      <c r="CI553" s="286"/>
      <c r="CJ553" s="286"/>
      <c r="CK553" s="287"/>
      <c r="CL553" s="288"/>
      <c r="CM553" s="286"/>
      <c r="CN553" s="294"/>
      <c r="CO553" s="289"/>
      <c r="CP553" s="290"/>
      <c r="CQ553" s="289"/>
      <c r="CR553" s="290"/>
      <c r="CS553" s="284"/>
      <c r="CT553" s="147"/>
      <c r="CU553" s="291"/>
      <c r="CV553" s="292"/>
    </row>
    <row r="554" spans="2:100">
      <c r="B554">
        <v>496</v>
      </c>
      <c r="C554" s="243" t="str">
        <v/>
      </c>
      <c r="D554" s="592" t="str">
        <v/>
      </c>
      <c r="E554" s="245" t="str">
        <v/>
      </c>
      <c r="F554" s="243" t="str">
        <v/>
      </c>
      <c r="G554" s="245" t="str">
        <v/>
      </c>
      <c r="H554" s="243" t="str">
        <v/>
      </c>
      <c r="I554" s="245" t="str">
        <v/>
      </c>
      <c r="J554" s="242" t="str">
        <v/>
      </c>
      <c r="K554" s="242" t="str">
        <v/>
      </c>
      <c r="L554" s="242" t="str">
        <v/>
      </c>
      <c r="M554" s="243" t="str">
        <v/>
      </c>
      <c r="N554" s="592" t="str">
        <v/>
      </c>
      <c r="O554" s="245" t="str">
        <v/>
      </c>
      <c r="P554" s="245" t="str">
        <v/>
      </c>
      <c r="Q554" s="254" t="str">
        <v/>
      </c>
      <c r="R554" s="255" t="str">
        <v/>
      </c>
      <c r="S554" s="256" t="str">
        <v/>
      </c>
      <c r="T554" s="257" t="str">
        <v/>
      </c>
      <c r="U554" s="255" t="str">
        <v/>
      </c>
      <c r="V554" s="256" t="str">
        <v/>
      </c>
      <c r="W554" s="257" t="str">
        <v/>
      </c>
      <c r="X554" s="255" t="str">
        <v/>
      </c>
      <c r="Y554" s="256" t="str">
        <v/>
      </c>
      <c r="Z554" s="257" t="str">
        <v/>
      </c>
      <c r="AA554" s="255" t="str">
        <v/>
      </c>
      <c r="AB554" s="256" t="str">
        <v/>
      </c>
      <c r="AC554" s="257" t="str">
        <v/>
      </c>
      <c r="AD554" s="255" t="str">
        <v/>
      </c>
      <c r="AE554" s="256" t="str">
        <v/>
      </c>
      <c r="AF554" s="257" t="str">
        <v/>
      </c>
      <c r="AG554" s="255" t="str">
        <v/>
      </c>
      <c r="AH554" s="256" t="str">
        <v/>
      </c>
      <c r="AI554" s="257" t="str">
        <v/>
      </c>
      <c r="AJ554" s="255" t="str">
        <v/>
      </c>
      <c r="AK554" s="256" t="str">
        <v/>
      </c>
      <c r="AL554" s="257" t="str">
        <v/>
      </c>
      <c r="AM554" s="255" t="str">
        <v/>
      </c>
      <c r="AN554" s="256" t="str">
        <v/>
      </c>
      <c r="AO554" s="257" t="str">
        <v/>
      </c>
      <c r="AP554" s="255" t="str">
        <v/>
      </c>
      <c r="AQ554" s="256" t="str">
        <v/>
      </c>
      <c r="AR554" s="257" t="str">
        <v/>
      </c>
      <c r="AS554" s="255" t="str">
        <v/>
      </c>
      <c r="AT554" s="256" t="str">
        <v/>
      </c>
      <c r="AU554" s="257" t="str">
        <v/>
      </c>
      <c r="AV554" s="255" t="str">
        <v/>
      </c>
      <c r="AW554" s="256" t="str">
        <v/>
      </c>
      <c r="AX554" s="257" t="str">
        <v/>
      </c>
      <c r="AY554" s="243">
        <v>0</v>
      </c>
      <c r="AZ554" s="244">
        <v>0</v>
      </c>
      <c r="BA554" s="244">
        <v>0</v>
      </c>
      <c r="BB554" s="244">
        <v>0</v>
      </c>
      <c r="BC554" s="244">
        <v>0</v>
      </c>
      <c r="BD554" s="244">
        <v>0</v>
      </c>
      <c r="BE554" s="244">
        <v>0</v>
      </c>
      <c r="BF554" s="244">
        <v>0</v>
      </c>
      <c r="BG554" s="244">
        <v>0</v>
      </c>
      <c r="BH554" s="245">
        <v>0</v>
      </c>
      <c r="BK554">
        <v>496</v>
      </c>
      <c r="BL554" s="281"/>
      <c r="BM554" s="281"/>
      <c r="BN554" s="282"/>
      <c r="BO554" s="282"/>
      <c r="BP554" s="282"/>
      <c r="BQ554" s="283"/>
      <c r="BR554" s="284"/>
      <c r="BS554" s="147"/>
      <c r="BT554" s="285"/>
      <c r="BU554" s="288"/>
      <c r="BV554" s="287"/>
      <c r="BW554" s="288"/>
      <c r="BX554" s="286"/>
      <c r="BY554" s="287"/>
      <c r="BZ554" s="288"/>
      <c r="CA554" s="286"/>
      <c r="CB554" s="286"/>
      <c r="CC554" s="287"/>
      <c r="CD554" s="286"/>
      <c r="CE554" s="286"/>
      <c r="CF554" s="286"/>
      <c r="CG554" s="287"/>
      <c r="CH554" s="288"/>
      <c r="CI554" s="286"/>
      <c r="CJ554" s="286"/>
      <c r="CK554" s="287"/>
      <c r="CL554" s="288"/>
      <c r="CM554" s="286"/>
      <c r="CN554" s="294"/>
      <c r="CO554" s="289"/>
      <c r="CP554" s="290"/>
      <c r="CQ554" s="289"/>
      <c r="CR554" s="290"/>
      <c r="CS554" s="284"/>
      <c r="CT554" s="147"/>
      <c r="CU554" s="291"/>
      <c r="CV554" s="292"/>
    </row>
    <row r="555" spans="2:100">
      <c r="B555">
        <v>497</v>
      </c>
      <c r="C555" s="243" t="str">
        <v/>
      </c>
      <c r="D555" s="592" t="str">
        <v/>
      </c>
      <c r="E555" s="245" t="str">
        <v/>
      </c>
      <c r="F555" s="243" t="str">
        <v/>
      </c>
      <c r="G555" s="245" t="str">
        <v/>
      </c>
      <c r="H555" s="243" t="str">
        <v/>
      </c>
      <c r="I555" s="245" t="str">
        <v/>
      </c>
      <c r="J555" s="242" t="str">
        <v/>
      </c>
      <c r="K555" s="242" t="str">
        <v/>
      </c>
      <c r="L555" s="242" t="str">
        <v/>
      </c>
      <c r="M555" s="243" t="str">
        <v/>
      </c>
      <c r="N555" s="592" t="str">
        <v/>
      </c>
      <c r="O555" s="245" t="str">
        <v/>
      </c>
      <c r="P555" s="245" t="str">
        <v/>
      </c>
      <c r="Q555" s="254" t="str">
        <v/>
      </c>
      <c r="R555" s="255" t="str">
        <v/>
      </c>
      <c r="S555" s="256" t="str">
        <v/>
      </c>
      <c r="T555" s="257" t="str">
        <v/>
      </c>
      <c r="U555" s="255" t="str">
        <v/>
      </c>
      <c r="V555" s="256" t="str">
        <v/>
      </c>
      <c r="W555" s="257" t="str">
        <v/>
      </c>
      <c r="X555" s="255" t="str">
        <v/>
      </c>
      <c r="Y555" s="256" t="str">
        <v/>
      </c>
      <c r="Z555" s="257" t="str">
        <v/>
      </c>
      <c r="AA555" s="255" t="str">
        <v/>
      </c>
      <c r="AB555" s="256" t="str">
        <v/>
      </c>
      <c r="AC555" s="257" t="str">
        <v/>
      </c>
      <c r="AD555" s="255" t="str">
        <v/>
      </c>
      <c r="AE555" s="256" t="str">
        <v/>
      </c>
      <c r="AF555" s="257" t="str">
        <v/>
      </c>
      <c r="AG555" s="255" t="str">
        <v/>
      </c>
      <c r="AH555" s="256" t="str">
        <v/>
      </c>
      <c r="AI555" s="257" t="str">
        <v/>
      </c>
      <c r="AJ555" s="255" t="str">
        <v/>
      </c>
      <c r="AK555" s="256" t="str">
        <v/>
      </c>
      <c r="AL555" s="257" t="str">
        <v/>
      </c>
      <c r="AM555" s="255" t="str">
        <v/>
      </c>
      <c r="AN555" s="256" t="str">
        <v/>
      </c>
      <c r="AO555" s="257" t="str">
        <v/>
      </c>
      <c r="AP555" s="255" t="str">
        <v/>
      </c>
      <c r="AQ555" s="256" t="str">
        <v/>
      </c>
      <c r="AR555" s="257" t="str">
        <v/>
      </c>
      <c r="AS555" s="255" t="str">
        <v/>
      </c>
      <c r="AT555" s="256" t="str">
        <v/>
      </c>
      <c r="AU555" s="257" t="str">
        <v/>
      </c>
      <c r="AV555" s="255" t="str">
        <v/>
      </c>
      <c r="AW555" s="256" t="str">
        <v/>
      </c>
      <c r="AX555" s="257" t="str">
        <v/>
      </c>
      <c r="AY555" s="243">
        <v>0</v>
      </c>
      <c r="AZ555" s="244">
        <v>0</v>
      </c>
      <c r="BA555" s="244">
        <v>0</v>
      </c>
      <c r="BB555" s="244">
        <v>0</v>
      </c>
      <c r="BC555" s="244">
        <v>0</v>
      </c>
      <c r="BD555" s="244">
        <v>0</v>
      </c>
      <c r="BE555" s="244">
        <v>0</v>
      </c>
      <c r="BF555" s="244">
        <v>0</v>
      </c>
      <c r="BG555" s="244">
        <v>0</v>
      </c>
      <c r="BH555" s="245">
        <v>0</v>
      </c>
      <c r="BK555">
        <v>497</v>
      </c>
      <c r="BL555" s="281"/>
      <c r="BM555" s="281"/>
      <c r="BN555" s="282"/>
      <c r="BO555" s="282"/>
      <c r="BP555" s="282"/>
      <c r="BQ555" s="283"/>
      <c r="BR555" s="284"/>
      <c r="BS555" s="147"/>
      <c r="BT555" s="285"/>
      <c r="BU555" s="288"/>
      <c r="BV555" s="287"/>
      <c r="BW555" s="288"/>
      <c r="BX555" s="286"/>
      <c r="BY555" s="287"/>
      <c r="BZ555" s="288"/>
      <c r="CA555" s="286"/>
      <c r="CB555" s="286"/>
      <c r="CC555" s="287"/>
      <c r="CD555" s="286"/>
      <c r="CE555" s="286"/>
      <c r="CF555" s="286"/>
      <c r="CG555" s="287"/>
      <c r="CH555" s="288"/>
      <c r="CI555" s="286"/>
      <c r="CJ555" s="286"/>
      <c r="CK555" s="287"/>
      <c r="CL555" s="288"/>
      <c r="CM555" s="286"/>
      <c r="CN555" s="294"/>
      <c r="CO555" s="289"/>
      <c r="CP555" s="290"/>
      <c r="CQ555" s="289"/>
      <c r="CR555" s="290"/>
      <c r="CS555" s="284"/>
      <c r="CT555" s="147"/>
      <c r="CU555" s="291"/>
      <c r="CV555" s="292"/>
    </row>
    <row r="556" spans="2:100">
      <c r="B556">
        <v>498</v>
      </c>
      <c r="C556" s="243" t="str">
        <v/>
      </c>
      <c r="D556" s="592" t="str">
        <v/>
      </c>
      <c r="E556" s="245" t="str">
        <v/>
      </c>
      <c r="F556" s="243" t="str">
        <v/>
      </c>
      <c r="G556" s="245" t="str">
        <v/>
      </c>
      <c r="H556" s="243" t="str">
        <v/>
      </c>
      <c r="I556" s="245" t="str">
        <v/>
      </c>
      <c r="J556" s="242" t="str">
        <v/>
      </c>
      <c r="K556" s="242" t="str">
        <v/>
      </c>
      <c r="L556" s="242" t="str">
        <v/>
      </c>
      <c r="M556" s="243" t="str">
        <v/>
      </c>
      <c r="N556" s="592" t="str">
        <v/>
      </c>
      <c r="O556" s="245" t="str">
        <v/>
      </c>
      <c r="P556" s="245" t="str">
        <v/>
      </c>
      <c r="Q556" s="254" t="str">
        <v/>
      </c>
      <c r="R556" s="255" t="str">
        <v/>
      </c>
      <c r="S556" s="256" t="str">
        <v/>
      </c>
      <c r="T556" s="257" t="str">
        <v/>
      </c>
      <c r="U556" s="255" t="str">
        <v/>
      </c>
      <c r="V556" s="256" t="str">
        <v/>
      </c>
      <c r="W556" s="257" t="str">
        <v/>
      </c>
      <c r="X556" s="255" t="str">
        <v/>
      </c>
      <c r="Y556" s="256" t="str">
        <v/>
      </c>
      <c r="Z556" s="257" t="str">
        <v/>
      </c>
      <c r="AA556" s="255" t="str">
        <v/>
      </c>
      <c r="AB556" s="256" t="str">
        <v/>
      </c>
      <c r="AC556" s="257" t="str">
        <v/>
      </c>
      <c r="AD556" s="255" t="str">
        <v/>
      </c>
      <c r="AE556" s="256" t="str">
        <v/>
      </c>
      <c r="AF556" s="257" t="str">
        <v/>
      </c>
      <c r="AG556" s="255" t="str">
        <v/>
      </c>
      <c r="AH556" s="256" t="str">
        <v/>
      </c>
      <c r="AI556" s="257" t="str">
        <v/>
      </c>
      <c r="AJ556" s="255" t="str">
        <v/>
      </c>
      <c r="AK556" s="256" t="str">
        <v/>
      </c>
      <c r="AL556" s="257" t="str">
        <v/>
      </c>
      <c r="AM556" s="255" t="str">
        <v/>
      </c>
      <c r="AN556" s="256" t="str">
        <v/>
      </c>
      <c r="AO556" s="257" t="str">
        <v/>
      </c>
      <c r="AP556" s="255" t="str">
        <v/>
      </c>
      <c r="AQ556" s="256" t="str">
        <v/>
      </c>
      <c r="AR556" s="257" t="str">
        <v/>
      </c>
      <c r="AS556" s="255" t="str">
        <v/>
      </c>
      <c r="AT556" s="256" t="str">
        <v/>
      </c>
      <c r="AU556" s="257" t="str">
        <v/>
      </c>
      <c r="AV556" s="255" t="str">
        <v/>
      </c>
      <c r="AW556" s="256" t="str">
        <v/>
      </c>
      <c r="AX556" s="257" t="str">
        <v/>
      </c>
      <c r="AY556" s="243">
        <v>0</v>
      </c>
      <c r="AZ556" s="244">
        <v>0</v>
      </c>
      <c r="BA556" s="244">
        <v>0</v>
      </c>
      <c r="BB556" s="244">
        <v>0</v>
      </c>
      <c r="BC556" s="244">
        <v>0</v>
      </c>
      <c r="BD556" s="244">
        <v>0</v>
      </c>
      <c r="BE556" s="244">
        <v>0</v>
      </c>
      <c r="BF556" s="244">
        <v>0</v>
      </c>
      <c r="BG556" s="244">
        <v>0</v>
      </c>
      <c r="BH556" s="245">
        <v>0</v>
      </c>
      <c r="BK556">
        <v>498</v>
      </c>
      <c r="BL556" s="281"/>
      <c r="BM556" s="281"/>
      <c r="BN556" s="282"/>
      <c r="BO556" s="282"/>
      <c r="BP556" s="282"/>
      <c r="BQ556" s="283"/>
      <c r="BR556" s="284"/>
      <c r="BS556" s="147"/>
      <c r="BT556" s="285"/>
      <c r="BU556" s="288"/>
      <c r="BV556" s="287"/>
      <c r="BW556" s="288"/>
      <c r="BX556" s="286"/>
      <c r="BY556" s="287"/>
      <c r="BZ556" s="288"/>
      <c r="CA556" s="286"/>
      <c r="CB556" s="286"/>
      <c r="CC556" s="287"/>
      <c r="CD556" s="286"/>
      <c r="CE556" s="286"/>
      <c r="CF556" s="286"/>
      <c r="CG556" s="287"/>
      <c r="CH556" s="288"/>
      <c r="CI556" s="286"/>
      <c r="CJ556" s="286"/>
      <c r="CK556" s="287"/>
      <c r="CL556" s="288"/>
      <c r="CM556" s="286"/>
      <c r="CN556" s="294"/>
      <c r="CO556" s="289"/>
      <c r="CP556" s="290"/>
      <c r="CQ556" s="289"/>
      <c r="CR556" s="290"/>
      <c r="CS556" s="284"/>
      <c r="CT556" s="147"/>
      <c r="CU556" s="291"/>
      <c r="CV556" s="292"/>
    </row>
    <row r="557" spans="2:100">
      <c r="B557">
        <v>499</v>
      </c>
      <c r="C557" s="243" t="str">
        <v/>
      </c>
      <c r="D557" s="592" t="str">
        <v/>
      </c>
      <c r="E557" s="245" t="str">
        <v/>
      </c>
      <c r="F557" s="243" t="str">
        <v/>
      </c>
      <c r="G557" s="245" t="str">
        <v/>
      </c>
      <c r="H557" s="243" t="str">
        <v/>
      </c>
      <c r="I557" s="245" t="str">
        <v/>
      </c>
      <c r="J557" s="242" t="str">
        <v/>
      </c>
      <c r="K557" s="242" t="str">
        <v/>
      </c>
      <c r="L557" s="242" t="str">
        <v/>
      </c>
      <c r="M557" s="243" t="str">
        <v/>
      </c>
      <c r="N557" s="592" t="str">
        <v/>
      </c>
      <c r="O557" s="245" t="str">
        <v/>
      </c>
      <c r="P557" s="245" t="str">
        <v/>
      </c>
      <c r="Q557" s="254" t="str">
        <v/>
      </c>
      <c r="R557" s="255" t="str">
        <v/>
      </c>
      <c r="S557" s="256" t="str">
        <v/>
      </c>
      <c r="T557" s="257" t="str">
        <v/>
      </c>
      <c r="U557" s="255" t="str">
        <v/>
      </c>
      <c r="V557" s="256" t="str">
        <v/>
      </c>
      <c r="W557" s="257" t="str">
        <v/>
      </c>
      <c r="X557" s="255" t="str">
        <v/>
      </c>
      <c r="Y557" s="256" t="str">
        <v/>
      </c>
      <c r="Z557" s="257" t="str">
        <v/>
      </c>
      <c r="AA557" s="255" t="str">
        <v/>
      </c>
      <c r="AB557" s="256" t="str">
        <v/>
      </c>
      <c r="AC557" s="257" t="str">
        <v/>
      </c>
      <c r="AD557" s="255" t="str">
        <v/>
      </c>
      <c r="AE557" s="256" t="str">
        <v/>
      </c>
      <c r="AF557" s="257" t="str">
        <v/>
      </c>
      <c r="AG557" s="255" t="str">
        <v/>
      </c>
      <c r="AH557" s="256" t="str">
        <v/>
      </c>
      <c r="AI557" s="257" t="str">
        <v/>
      </c>
      <c r="AJ557" s="255" t="str">
        <v/>
      </c>
      <c r="AK557" s="256" t="str">
        <v/>
      </c>
      <c r="AL557" s="257" t="str">
        <v/>
      </c>
      <c r="AM557" s="255" t="str">
        <v/>
      </c>
      <c r="AN557" s="256" t="str">
        <v/>
      </c>
      <c r="AO557" s="257" t="str">
        <v/>
      </c>
      <c r="AP557" s="255" t="str">
        <v/>
      </c>
      <c r="AQ557" s="256" t="str">
        <v/>
      </c>
      <c r="AR557" s="257" t="str">
        <v/>
      </c>
      <c r="AS557" s="255" t="str">
        <v/>
      </c>
      <c r="AT557" s="256" t="str">
        <v/>
      </c>
      <c r="AU557" s="257" t="str">
        <v/>
      </c>
      <c r="AV557" s="255" t="str">
        <v/>
      </c>
      <c r="AW557" s="256" t="str">
        <v/>
      </c>
      <c r="AX557" s="257" t="str">
        <v/>
      </c>
      <c r="AY557" s="243">
        <v>0</v>
      </c>
      <c r="AZ557" s="244">
        <v>0</v>
      </c>
      <c r="BA557" s="244">
        <v>0</v>
      </c>
      <c r="BB557" s="244">
        <v>0</v>
      </c>
      <c r="BC557" s="244">
        <v>0</v>
      </c>
      <c r="BD557" s="244">
        <v>0</v>
      </c>
      <c r="BE557" s="244">
        <v>0</v>
      </c>
      <c r="BF557" s="244">
        <v>0</v>
      </c>
      <c r="BG557" s="244">
        <v>0</v>
      </c>
      <c r="BH557" s="245">
        <v>0</v>
      </c>
      <c r="BK557">
        <v>499</v>
      </c>
      <c r="BL557" s="281"/>
      <c r="BM557" s="281"/>
      <c r="BN557" s="282"/>
      <c r="BO557" s="282"/>
      <c r="BP557" s="282"/>
      <c r="BQ557" s="283"/>
      <c r="BR557" s="284"/>
      <c r="BS557" s="147"/>
      <c r="BT557" s="285"/>
      <c r="BU557" s="288"/>
      <c r="BV557" s="287"/>
      <c r="BW557" s="288"/>
      <c r="BX557" s="286"/>
      <c r="BY557" s="287"/>
      <c r="BZ557" s="288"/>
      <c r="CA557" s="286"/>
      <c r="CB557" s="286"/>
      <c r="CC557" s="287"/>
      <c r="CD557" s="286"/>
      <c r="CE557" s="286"/>
      <c r="CF557" s="286"/>
      <c r="CG557" s="287"/>
      <c r="CH557" s="288"/>
      <c r="CI557" s="286"/>
      <c r="CJ557" s="286"/>
      <c r="CK557" s="287"/>
      <c r="CL557" s="288"/>
      <c r="CM557" s="286"/>
      <c r="CN557" s="294"/>
      <c r="CO557" s="289"/>
      <c r="CP557" s="290"/>
      <c r="CQ557" s="289"/>
      <c r="CR557" s="290"/>
      <c r="CS557" s="284"/>
      <c r="CT557" s="147"/>
      <c r="CU557" s="291"/>
      <c r="CV557" s="292"/>
    </row>
    <row r="558" spans="2:100" ht="14.65" thickBot="1">
      <c r="B558">
        <v>500</v>
      </c>
      <c r="C558" s="247" t="str">
        <v/>
      </c>
      <c r="D558" s="593" t="str">
        <v/>
      </c>
      <c r="E558" s="249" t="str">
        <v/>
      </c>
      <c r="F558" s="247" t="str">
        <v/>
      </c>
      <c r="G558" s="249" t="str">
        <v/>
      </c>
      <c r="H558" s="247" t="str">
        <v/>
      </c>
      <c r="I558" s="249" t="str">
        <v/>
      </c>
      <c r="J558" s="246" t="str">
        <v/>
      </c>
      <c r="K558" s="246" t="str">
        <v/>
      </c>
      <c r="L558" s="246" t="str">
        <v/>
      </c>
      <c r="M558" s="247" t="str">
        <v/>
      </c>
      <c r="N558" s="593" t="str">
        <v/>
      </c>
      <c r="O558" s="249" t="str">
        <v/>
      </c>
      <c r="P558" s="249" t="str">
        <v/>
      </c>
      <c r="Q558" s="264" t="str">
        <v/>
      </c>
      <c r="R558" s="265" t="str">
        <v/>
      </c>
      <c r="S558" s="266" t="str">
        <v/>
      </c>
      <c r="T558" s="267" t="str">
        <v/>
      </c>
      <c r="U558" s="265" t="str">
        <v/>
      </c>
      <c r="V558" s="266" t="str">
        <v/>
      </c>
      <c r="W558" s="267" t="str">
        <v/>
      </c>
      <c r="X558" s="265" t="str">
        <v/>
      </c>
      <c r="Y558" s="266" t="str">
        <v/>
      </c>
      <c r="Z558" s="267" t="str">
        <v/>
      </c>
      <c r="AA558" s="265" t="str">
        <v/>
      </c>
      <c r="AB558" s="266" t="str">
        <v/>
      </c>
      <c r="AC558" s="267" t="str">
        <v/>
      </c>
      <c r="AD558" s="265" t="str">
        <v/>
      </c>
      <c r="AE558" s="266" t="str">
        <v/>
      </c>
      <c r="AF558" s="267" t="str">
        <v/>
      </c>
      <c r="AG558" s="265" t="str">
        <v/>
      </c>
      <c r="AH558" s="266" t="str">
        <v/>
      </c>
      <c r="AI558" s="267" t="str">
        <v/>
      </c>
      <c r="AJ558" s="265" t="str">
        <v/>
      </c>
      <c r="AK558" s="266" t="str">
        <v/>
      </c>
      <c r="AL558" s="267" t="str">
        <v/>
      </c>
      <c r="AM558" s="265" t="str">
        <v/>
      </c>
      <c r="AN558" s="266" t="str">
        <v/>
      </c>
      <c r="AO558" s="267" t="str">
        <v/>
      </c>
      <c r="AP558" s="265" t="str">
        <v/>
      </c>
      <c r="AQ558" s="266" t="str">
        <v/>
      </c>
      <c r="AR558" s="267" t="str">
        <v/>
      </c>
      <c r="AS558" s="265" t="str">
        <v/>
      </c>
      <c r="AT558" s="266" t="str">
        <v/>
      </c>
      <c r="AU558" s="267" t="str">
        <v/>
      </c>
      <c r="AV558" s="265" t="str">
        <v/>
      </c>
      <c r="AW558" s="266" t="str">
        <v/>
      </c>
      <c r="AX558" s="267" t="str">
        <v/>
      </c>
      <c r="AY558" s="247">
        <v>0</v>
      </c>
      <c r="AZ558" s="248">
        <v>0</v>
      </c>
      <c r="BA558" s="248">
        <v>0</v>
      </c>
      <c r="BB558" s="248">
        <v>0</v>
      </c>
      <c r="BC558" s="248">
        <v>0</v>
      </c>
      <c r="BD558" s="248">
        <v>0</v>
      </c>
      <c r="BE558" s="248">
        <v>0</v>
      </c>
      <c r="BF558" s="248">
        <v>0</v>
      </c>
      <c r="BG558" s="248">
        <v>0</v>
      </c>
      <c r="BH558" s="249">
        <v>0</v>
      </c>
      <c r="BK558">
        <v>500</v>
      </c>
      <c r="BL558" s="295"/>
      <c r="BM558" s="295"/>
      <c r="BN558" s="296"/>
      <c r="BO558" s="296"/>
      <c r="BP558" s="296"/>
      <c r="BQ558" s="297"/>
      <c r="BR558" s="298"/>
      <c r="BS558" s="299"/>
      <c r="BT558" s="300"/>
      <c r="BU558" s="301"/>
      <c r="BV558" s="302"/>
      <c r="BW558" s="301"/>
      <c r="BX558" s="303"/>
      <c r="BY558" s="302"/>
      <c r="BZ558" s="301"/>
      <c r="CA558" s="303"/>
      <c r="CB558" s="303"/>
      <c r="CC558" s="302"/>
      <c r="CD558" s="303"/>
      <c r="CE558" s="303"/>
      <c r="CF558" s="303"/>
      <c r="CG558" s="302"/>
      <c r="CH558" s="301"/>
      <c r="CI558" s="303"/>
      <c r="CJ558" s="303"/>
      <c r="CK558" s="302"/>
      <c r="CL558" s="301"/>
      <c r="CM558" s="303"/>
      <c r="CN558" s="302"/>
      <c r="CO558" s="247"/>
      <c r="CP558" s="249"/>
      <c r="CQ558" s="247"/>
      <c r="CR558" s="249"/>
      <c r="CS558" s="298"/>
      <c r="CT558" s="299"/>
      <c r="CU558" s="246"/>
      <c r="CV558" s="264"/>
    </row>
    <row r="559" spans="2:100">
      <c r="E559" s="61" t="s">
        <v>555</v>
      </c>
    </row>
    <row r="577" spans="1:1" s="8" customFormat="1">
      <c r="A577" s="7"/>
    </row>
  </sheetData>
  <sheetProtection selectLockedCells="1"/>
  <dataConsolidate link="1"/>
  <conditionalFormatting sqref="E55">
    <cfRule type="cellIs" dxfId="0" priority="7" operator="equal">
      <formula>"ON"</formula>
    </cfRule>
  </conditionalFormatting>
  <dataValidations count="1">
    <dataValidation type="list" allowBlank="1" showInputMessage="1" showErrorMessage="1" sqref="E55" xr:uid="{AA03FBEC-4183-496D-A4D4-452C72C166BC}">
      <formula1>"ON,OFF"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395A-5498-4563-BEB7-CB8E00004E1A}">
  <sheetPr codeName="Sheet1"/>
  <dimension ref="A1:AK503"/>
  <sheetViews>
    <sheetView topLeftCell="E1" zoomScale="70" zoomScaleNormal="70" workbookViewId="0">
      <selection activeCell="X5" sqref="X5"/>
    </sheetView>
  </sheetViews>
  <sheetFormatPr defaultRowHeight="14.25"/>
  <sheetData>
    <row r="1" spans="1:37">
      <c r="A1" s="209">
        <v>0</v>
      </c>
      <c r="B1" s="207">
        <v>1</v>
      </c>
      <c r="C1" s="207">
        <v>2</v>
      </c>
      <c r="D1" s="207">
        <v>3</v>
      </c>
      <c r="E1" s="207">
        <v>4</v>
      </c>
      <c r="F1" s="208">
        <v>5</v>
      </c>
      <c r="G1" s="165">
        <v>6</v>
      </c>
      <c r="H1" s="46">
        <v>7</v>
      </c>
      <c r="I1" s="170">
        <v>8</v>
      </c>
      <c r="J1" s="214">
        <v>9</v>
      </c>
      <c r="K1" s="218">
        <v>10</v>
      </c>
      <c r="L1" s="214">
        <v>11</v>
      </c>
      <c r="M1" s="219">
        <v>12</v>
      </c>
      <c r="N1" s="218">
        <v>13</v>
      </c>
      <c r="O1" s="214">
        <v>14</v>
      </c>
      <c r="P1" s="219">
        <v>15</v>
      </c>
      <c r="Q1" s="219">
        <v>16</v>
      </c>
      <c r="R1" s="218">
        <v>17</v>
      </c>
      <c r="S1" s="219">
        <v>18</v>
      </c>
      <c r="T1" s="219">
        <v>19</v>
      </c>
      <c r="U1" s="219">
        <v>20</v>
      </c>
      <c r="V1" s="218">
        <v>21</v>
      </c>
      <c r="W1" s="214">
        <v>22</v>
      </c>
      <c r="X1" s="219">
        <v>23</v>
      </c>
      <c r="Y1" s="219">
        <v>24</v>
      </c>
      <c r="Z1" s="218">
        <v>25</v>
      </c>
      <c r="AA1" s="214">
        <v>26</v>
      </c>
      <c r="AB1" s="219">
        <v>27</v>
      </c>
      <c r="AC1" s="218">
        <v>28</v>
      </c>
      <c r="AD1" s="165">
        <v>29</v>
      </c>
      <c r="AE1" s="46">
        <v>30</v>
      </c>
      <c r="AF1" s="165">
        <v>31</v>
      </c>
      <c r="AG1" s="46">
        <v>32</v>
      </c>
      <c r="AH1" s="165">
        <v>33</v>
      </c>
      <c r="AI1" s="46">
        <v>34</v>
      </c>
      <c r="AJ1" s="46">
        <v>35</v>
      </c>
      <c r="AK1" s="170">
        <v>36</v>
      </c>
    </row>
    <row r="2" spans="1:37">
      <c r="A2" s="220" t="s">
        <v>313</v>
      </c>
      <c r="B2" s="220" t="s">
        <v>313</v>
      </c>
      <c r="C2" s="229" t="s">
        <v>194</v>
      </c>
      <c r="D2" s="229" t="s">
        <v>16</v>
      </c>
      <c r="E2" s="229" t="s">
        <v>314</v>
      </c>
      <c r="F2" s="223" t="s">
        <v>315</v>
      </c>
      <c r="G2" s="220" t="s">
        <v>320</v>
      </c>
      <c r="H2" s="226" t="s">
        <v>321</v>
      </c>
      <c r="I2" s="224" t="s">
        <v>15</v>
      </c>
      <c r="J2" s="231" t="s">
        <v>316</v>
      </c>
      <c r="K2" s="226" t="s">
        <v>196</v>
      </c>
      <c r="L2" s="231" t="s">
        <v>280</v>
      </c>
      <c r="M2" s="232" t="s">
        <v>316</v>
      </c>
      <c r="N2" s="226" t="s">
        <v>196</v>
      </c>
      <c r="O2" s="231" t="s">
        <v>280</v>
      </c>
      <c r="P2" s="232" t="s">
        <v>316</v>
      </c>
      <c r="Q2" s="232" t="s">
        <v>196</v>
      </c>
      <c r="R2" s="226" t="s">
        <v>195</v>
      </c>
      <c r="S2" s="232" t="s">
        <v>280</v>
      </c>
      <c r="T2" s="232" t="s">
        <v>316</v>
      </c>
      <c r="U2" s="232" t="s">
        <v>196</v>
      </c>
      <c r="V2" s="226" t="s">
        <v>195</v>
      </c>
      <c r="W2" s="232" t="s">
        <v>280</v>
      </c>
      <c r="X2" s="232" t="s">
        <v>316</v>
      </c>
      <c r="Y2" s="232" t="s">
        <v>196</v>
      </c>
      <c r="Z2" s="226" t="s">
        <v>195</v>
      </c>
      <c r="AA2" s="231" t="s">
        <v>68</v>
      </c>
      <c r="AB2" s="232" t="s">
        <v>71</v>
      </c>
      <c r="AC2" s="226" t="s">
        <v>72</v>
      </c>
      <c r="AD2" s="220" t="s">
        <v>268</v>
      </c>
      <c r="AE2" s="223" t="s">
        <v>317</v>
      </c>
      <c r="AF2" s="220" t="s">
        <v>318</v>
      </c>
      <c r="AG2" s="223" t="s">
        <v>319</v>
      </c>
      <c r="AH2" s="220" t="s">
        <v>320</v>
      </c>
      <c r="AI2" s="226" t="s">
        <v>321</v>
      </c>
      <c r="AJ2" s="223" t="s">
        <v>322</v>
      </c>
      <c r="AK2" s="227" t="s">
        <v>323</v>
      </c>
    </row>
    <row r="3" spans="1:37" ht="14.65" thickBot="1">
      <c r="A3" s="233" t="s">
        <v>163</v>
      </c>
      <c r="B3" s="233" t="s">
        <v>73</v>
      </c>
      <c r="C3" s="235" t="s">
        <v>66</v>
      </c>
      <c r="D3" s="235" t="s">
        <v>32</v>
      </c>
      <c r="E3" s="235" t="s">
        <v>51</v>
      </c>
      <c r="F3" s="237" t="s">
        <v>48</v>
      </c>
      <c r="G3" s="220"/>
      <c r="H3" s="223"/>
      <c r="I3" s="227" t="s">
        <v>330</v>
      </c>
      <c r="J3" s="229" t="s">
        <v>331</v>
      </c>
      <c r="K3" s="223"/>
      <c r="L3" s="220" t="s">
        <v>243</v>
      </c>
      <c r="M3" s="229"/>
      <c r="N3" s="223"/>
      <c r="O3" s="220" t="s">
        <v>51</v>
      </c>
      <c r="P3" s="229"/>
      <c r="Q3" s="229"/>
      <c r="R3" s="223"/>
      <c r="S3" s="229" t="s">
        <v>338</v>
      </c>
      <c r="T3" s="229"/>
      <c r="U3" s="229"/>
      <c r="V3" s="223"/>
      <c r="W3" s="220" t="s">
        <v>48</v>
      </c>
      <c r="X3" s="229"/>
      <c r="Y3" s="229"/>
      <c r="Z3" s="223"/>
      <c r="AA3" s="220" t="s">
        <v>69</v>
      </c>
      <c r="AB3" s="229"/>
      <c r="AC3" s="223"/>
      <c r="AD3" s="220" t="s">
        <v>59</v>
      </c>
      <c r="AE3" s="223"/>
      <c r="AF3" s="220" t="s">
        <v>75</v>
      </c>
      <c r="AG3" s="223"/>
      <c r="AH3" s="220"/>
      <c r="AI3" s="223"/>
      <c r="AJ3" s="223" t="s">
        <v>332</v>
      </c>
      <c r="AK3" s="234" t="s">
        <v>289</v>
      </c>
    </row>
    <row r="4" spans="1:37">
      <c r="A4" s="268">
        <v>1</v>
      </c>
      <c r="B4" s="268">
        <v>17844</v>
      </c>
      <c r="C4" s="269">
        <v>10206</v>
      </c>
      <c r="D4" s="269">
        <v>183</v>
      </c>
      <c r="E4" s="269">
        <v>0</v>
      </c>
      <c r="F4" s="270">
        <v>0</v>
      </c>
      <c r="G4" s="271"/>
      <c r="H4" s="272"/>
      <c r="I4" s="273">
        <v>1</v>
      </c>
      <c r="J4" s="274">
        <v>3.4430039393564885E-2</v>
      </c>
      <c r="K4" s="275">
        <v>0</v>
      </c>
      <c r="L4" s="274">
        <v>0</v>
      </c>
      <c r="M4" s="276">
        <v>100</v>
      </c>
      <c r="N4" s="275">
        <v>0</v>
      </c>
      <c r="O4" s="274">
        <v>0</v>
      </c>
      <c r="P4" s="276">
        <v>0.7799896347238181</v>
      </c>
      <c r="Q4" s="276">
        <v>0</v>
      </c>
      <c r="R4" s="275">
        <v>1.2231921287759489</v>
      </c>
      <c r="S4" s="276">
        <v>0</v>
      </c>
      <c r="T4" s="276">
        <v>15.75582285931319</v>
      </c>
      <c r="U4" s="276">
        <v>0</v>
      </c>
      <c r="V4" s="275">
        <v>22.375154529945689</v>
      </c>
      <c r="W4" s="274">
        <v>0</v>
      </c>
      <c r="X4" s="276">
        <v>1.7295743514963051</v>
      </c>
      <c r="Y4" s="276">
        <v>0</v>
      </c>
      <c r="Z4" s="275">
        <v>0</v>
      </c>
      <c r="AA4" s="274"/>
      <c r="AB4" s="276"/>
      <c r="AC4" s="275"/>
      <c r="AD4" s="277">
        <v>0</v>
      </c>
      <c r="AE4" s="278">
        <v>0</v>
      </c>
      <c r="AF4" s="277">
        <v>0</v>
      </c>
      <c r="AG4" s="278">
        <v>0</v>
      </c>
      <c r="AH4" s="271">
        <v>0</v>
      </c>
      <c r="AI4" s="272">
        <v>0</v>
      </c>
      <c r="AJ4" s="279">
        <v>0</v>
      </c>
      <c r="AK4" s="280">
        <v>0</v>
      </c>
    </row>
    <row r="5" spans="1:37">
      <c r="A5" s="281">
        <v>0.99497487437185916</v>
      </c>
      <c r="B5" s="281">
        <v>17754.331658291456</v>
      </c>
      <c r="C5" s="282">
        <v>10173.62311557789</v>
      </c>
      <c r="D5" s="282">
        <v>182.69346733668343</v>
      </c>
      <c r="E5" s="282">
        <v>0</v>
      </c>
      <c r="F5" s="283">
        <v>0</v>
      </c>
      <c r="G5" s="284"/>
      <c r="H5" s="147"/>
      <c r="I5" s="285">
        <v>1</v>
      </c>
      <c r="J5" s="286">
        <v>3.4430039393564885E-2</v>
      </c>
      <c r="K5" s="287">
        <v>0</v>
      </c>
      <c r="L5" s="288">
        <v>0</v>
      </c>
      <c r="M5" s="286">
        <v>100</v>
      </c>
      <c r="N5" s="287">
        <v>0</v>
      </c>
      <c r="O5" s="288">
        <v>0</v>
      </c>
      <c r="P5" s="286">
        <v>0.77990897307693963</v>
      </c>
      <c r="Q5" s="286">
        <v>0</v>
      </c>
      <c r="R5" s="287">
        <v>1.2231563812927717</v>
      </c>
      <c r="S5" s="286">
        <v>0</v>
      </c>
      <c r="T5" s="286">
        <v>15.755729685177648</v>
      </c>
      <c r="U5" s="286">
        <v>0</v>
      </c>
      <c r="V5" s="287">
        <v>22.376369420608178</v>
      </c>
      <c r="W5" s="288">
        <v>0</v>
      </c>
      <c r="X5" s="286">
        <v>1.7299865370384659</v>
      </c>
      <c r="Y5" s="286">
        <v>0</v>
      </c>
      <c r="Z5" s="287">
        <v>0</v>
      </c>
      <c r="AA5" s="288"/>
      <c r="AB5" s="286"/>
      <c r="AC5" s="287"/>
      <c r="AD5" s="289">
        <v>0</v>
      </c>
      <c r="AE5" s="290">
        <v>0</v>
      </c>
      <c r="AF5" s="289">
        <v>0</v>
      </c>
      <c r="AG5" s="290">
        <v>0</v>
      </c>
      <c r="AH5" s="284">
        <v>0</v>
      </c>
      <c r="AI5" s="147">
        <v>0</v>
      </c>
      <c r="AJ5" s="291">
        <v>0</v>
      </c>
      <c r="AK5" s="292">
        <v>0</v>
      </c>
    </row>
    <row r="6" spans="1:37">
      <c r="A6" s="281">
        <v>0.98994974874371844</v>
      </c>
      <c r="B6" s="281">
        <v>17664.663316582912</v>
      </c>
      <c r="C6" s="282">
        <v>10141.246231155779</v>
      </c>
      <c r="D6" s="282">
        <v>182.38693467336685</v>
      </c>
      <c r="E6" s="282">
        <v>0</v>
      </c>
      <c r="F6" s="283">
        <v>0</v>
      </c>
      <c r="G6" s="284"/>
      <c r="H6" s="147"/>
      <c r="I6" s="285">
        <v>1</v>
      </c>
      <c r="J6" s="288">
        <v>3.4430039393564885E-2</v>
      </c>
      <c r="K6" s="287">
        <v>0</v>
      </c>
      <c r="L6" s="288">
        <v>0</v>
      </c>
      <c r="M6" s="286">
        <v>100</v>
      </c>
      <c r="N6" s="287">
        <v>0</v>
      </c>
      <c r="O6" s="288">
        <v>0</v>
      </c>
      <c r="P6" s="286">
        <v>0.77982815519738669</v>
      </c>
      <c r="Q6" s="286">
        <v>0</v>
      </c>
      <c r="R6" s="287">
        <v>1.2231206258345799</v>
      </c>
      <c r="S6" s="286">
        <v>0</v>
      </c>
      <c r="T6" s="286">
        <v>15.755633787058116</v>
      </c>
      <c r="U6" s="286">
        <v>0</v>
      </c>
      <c r="V6" s="287">
        <v>22.377584402960427</v>
      </c>
      <c r="W6" s="288">
        <v>0</v>
      </c>
      <c r="X6" s="286">
        <v>1.7304130180631201</v>
      </c>
      <c r="Y6" s="286">
        <v>0</v>
      </c>
      <c r="Z6" s="287">
        <v>0</v>
      </c>
      <c r="AA6" s="288"/>
      <c r="AB6" s="286"/>
      <c r="AC6" s="287"/>
      <c r="AD6" s="289">
        <v>0</v>
      </c>
      <c r="AE6" s="290">
        <v>0</v>
      </c>
      <c r="AF6" s="289">
        <v>0</v>
      </c>
      <c r="AG6" s="290">
        <v>0</v>
      </c>
      <c r="AH6" s="284">
        <v>0</v>
      </c>
      <c r="AI6" s="147">
        <v>0</v>
      </c>
      <c r="AJ6" s="291">
        <v>0</v>
      </c>
      <c r="AK6" s="292">
        <v>0</v>
      </c>
    </row>
    <row r="7" spans="1:37">
      <c r="A7" s="281">
        <v>0.9849246231155776</v>
      </c>
      <c r="B7" s="281">
        <v>17574.994974874367</v>
      </c>
      <c r="C7" s="282">
        <v>10108.869346733669</v>
      </c>
      <c r="D7" s="282">
        <v>182.08040201005028</v>
      </c>
      <c r="E7" s="282">
        <v>0</v>
      </c>
      <c r="F7" s="283">
        <v>0</v>
      </c>
      <c r="G7" s="284"/>
      <c r="H7" s="147"/>
      <c r="I7" s="285">
        <v>1</v>
      </c>
      <c r="J7" s="288">
        <v>3.4430039393564885E-2</v>
      </c>
      <c r="K7" s="287">
        <v>0</v>
      </c>
      <c r="L7" s="288">
        <v>0</v>
      </c>
      <c r="M7" s="286">
        <v>100</v>
      </c>
      <c r="N7" s="287">
        <v>0</v>
      </c>
      <c r="O7" s="288">
        <v>0</v>
      </c>
      <c r="P7" s="286">
        <v>0.77974718044886149</v>
      </c>
      <c r="Q7" s="286">
        <v>0</v>
      </c>
      <c r="R7" s="287">
        <v>1.2230848623811195</v>
      </c>
      <c r="S7" s="286">
        <v>0</v>
      </c>
      <c r="T7" s="286">
        <v>15.755535153340629</v>
      </c>
      <c r="U7" s="286">
        <v>0</v>
      </c>
      <c r="V7" s="287">
        <v>22.37879947689165</v>
      </c>
      <c r="W7" s="288">
        <v>0</v>
      </c>
      <c r="X7" s="286">
        <v>1.7308537779114752</v>
      </c>
      <c r="Y7" s="286">
        <v>0</v>
      </c>
      <c r="Z7" s="287">
        <v>0</v>
      </c>
      <c r="AA7" s="288"/>
      <c r="AB7" s="286"/>
      <c r="AC7" s="287"/>
      <c r="AD7" s="289">
        <v>0</v>
      </c>
      <c r="AE7" s="290">
        <v>0</v>
      </c>
      <c r="AF7" s="289">
        <v>0</v>
      </c>
      <c r="AG7" s="290">
        <v>0</v>
      </c>
      <c r="AH7" s="284">
        <v>0</v>
      </c>
      <c r="AI7" s="147">
        <v>0</v>
      </c>
      <c r="AJ7" s="291">
        <v>0</v>
      </c>
      <c r="AK7" s="292">
        <v>0</v>
      </c>
    </row>
    <row r="8" spans="1:37">
      <c r="A8" s="281">
        <v>0.97989949748743688</v>
      </c>
      <c r="B8" s="281">
        <v>17485.326633165823</v>
      </c>
      <c r="C8" s="282">
        <v>10076.492462311558</v>
      </c>
      <c r="D8" s="282">
        <v>181.7738693467337</v>
      </c>
      <c r="E8" s="282">
        <v>0</v>
      </c>
      <c r="F8" s="283">
        <v>0</v>
      </c>
      <c r="G8" s="284"/>
      <c r="H8" s="147"/>
      <c r="I8" s="285">
        <v>1</v>
      </c>
      <c r="J8" s="288">
        <v>3.4430039393564885E-2</v>
      </c>
      <c r="K8" s="287">
        <v>0</v>
      </c>
      <c r="L8" s="288">
        <v>0</v>
      </c>
      <c r="M8" s="286">
        <v>100</v>
      </c>
      <c r="N8" s="287">
        <v>0</v>
      </c>
      <c r="O8" s="288">
        <v>0</v>
      </c>
      <c r="P8" s="286">
        <v>0.77966604819138396</v>
      </c>
      <c r="Q8" s="286">
        <v>0</v>
      </c>
      <c r="R8" s="287">
        <v>1.2230490909120819</v>
      </c>
      <c r="S8" s="286">
        <v>0</v>
      </c>
      <c r="T8" s="286">
        <v>15.755433772343324</v>
      </c>
      <c r="U8" s="286">
        <v>0</v>
      </c>
      <c r="V8" s="287">
        <v>22.380014642290451</v>
      </c>
      <c r="W8" s="288">
        <v>0</v>
      </c>
      <c r="X8" s="286">
        <v>1.7313088003780908</v>
      </c>
      <c r="Y8" s="286">
        <v>0</v>
      </c>
      <c r="Z8" s="287">
        <v>0</v>
      </c>
      <c r="AA8" s="288"/>
      <c r="AB8" s="286"/>
      <c r="AC8" s="287"/>
      <c r="AD8" s="289">
        <v>0</v>
      </c>
      <c r="AE8" s="290">
        <v>0</v>
      </c>
      <c r="AF8" s="289">
        <v>0</v>
      </c>
      <c r="AG8" s="290">
        <v>0</v>
      </c>
      <c r="AH8" s="284">
        <v>0</v>
      </c>
      <c r="AI8" s="147">
        <v>0</v>
      </c>
      <c r="AJ8" s="291">
        <v>0</v>
      </c>
      <c r="AK8" s="292">
        <v>0</v>
      </c>
    </row>
    <row r="9" spans="1:37">
      <c r="A9" s="281">
        <v>0.97487437185929604</v>
      </c>
      <c r="B9" s="281">
        <v>17395.658291457279</v>
      </c>
      <c r="C9" s="282">
        <v>10044.115577889448</v>
      </c>
      <c r="D9" s="282">
        <v>181.46733668341713</v>
      </c>
      <c r="E9" s="282">
        <v>0</v>
      </c>
      <c r="F9" s="283">
        <v>0</v>
      </c>
      <c r="G9" s="284"/>
      <c r="H9" s="147"/>
      <c r="I9" s="285">
        <v>1</v>
      </c>
      <c r="J9" s="288">
        <v>3.4430039393564885E-2</v>
      </c>
      <c r="K9" s="287">
        <v>0</v>
      </c>
      <c r="L9" s="288">
        <v>0</v>
      </c>
      <c r="M9" s="286">
        <v>100</v>
      </c>
      <c r="N9" s="287">
        <v>0</v>
      </c>
      <c r="O9" s="288">
        <v>0</v>
      </c>
      <c r="P9" s="286">
        <v>0.77958475778126501</v>
      </c>
      <c r="Q9" s="286">
        <v>0</v>
      </c>
      <c r="R9" s="287">
        <v>1.2230133114071007</v>
      </c>
      <c r="S9" s="286">
        <v>0</v>
      </c>
      <c r="T9" s="286">
        <v>15.755329632315943</v>
      </c>
      <c r="U9" s="286">
        <v>0</v>
      </c>
      <c r="V9" s="287">
        <v>22.381229899044719</v>
      </c>
      <c r="W9" s="288">
        <v>0</v>
      </c>
      <c r="X9" s="286">
        <v>1.7317780697080962</v>
      </c>
      <c r="Y9" s="286">
        <v>0</v>
      </c>
      <c r="Z9" s="287">
        <v>0</v>
      </c>
      <c r="AA9" s="288"/>
      <c r="AB9" s="286"/>
      <c r="AC9" s="287"/>
      <c r="AD9" s="289">
        <v>0</v>
      </c>
      <c r="AE9" s="290">
        <v>0</v>
      </c>
      <c r="AF9" s="289">
        <v>0</v>
      </c>
      <c r="AG9" s="290">
        <v>0</v>
      </c>
      <c r="AH9" s="284">
        <v>0</v>
      </c>
      <c r="AI9" s="147">
        <v>0</v>
      </c>
      <c r="AJ9" s="291">
        <v>0</v>
      </c>
      <c r="AK9" s="292">
        <v>0</v>
      </c>
    </row>
    <row r="10" spans="1:37">
      <c r="A10" s="281">
        <v>0.96984924623115532</v>
      </c>
      <c r="B10" s="281">
        <v>17305.989949748735</v>
      </c>
      <c r="C10" s="282">
        <v>10011.738693467338</v>
      </c>
      <c r="D10" s="282">
        <v>181.16080402010056</v>
      </c>
      <c r="E10" s="282">
        <v>0</v>
      </c>
      <c r="F10" s="283">
        <v>0</v>
      </c>
      <c r="G10" s="284"/>
      <c r="H10" s="147"/>
      <c r="I10" s="285">
        <v>1</v>
      </c>
      <c r="J10" s="288">
        <v>3.4430039393564885E-2</v>
      </c>
      <c r="K10" s="287">
        <v>0</v>
      </c>
      <c r="L10" s="288">
        <v>0</v>
      </c>
      <c r="M10" s="286">
        <v>100</v>
      </c>
      <c r="N10" s="287">
        <v>0</v>
      </c>
      <c r="O10" s="288">
        <v>0</v>
      </c>
      <c r="P10" s="286">
        <v>0.77950330857107841</v>
      </c>
      <c r="Q10" s="286">
        <v>0</v>
      </c>
      <c r="R10" s="287">
        <v>1.2229775238457468</v>
      </c>
      <c r="S10" s="286">
        <v>0</v>
      </c>
      <c r="T10" s="286">
        <v>15.755222721439292</v>
      </c>
      <c r="U10" s="286">
        <v>0</v>
      </c>
      <c r="V10" s="287">
        <v>22.382445247041645</v>
      </c>
      <c r="W10" s="288">
        <v>0</v>
      </c>
      <c r="X10" s="286">
        <v>1.732261570594446</v>
      </c>
      <c r="Y10" s="286">
        <v>0</v>
      </c>
      <c r="Z10" s="287">
        <v>0</v>
      </c>
      <c r="AA10" s="288"/>
      <c r="AB10" s="286"/>
      <c r="AC10" s="287"/>
      <c r="AD10" s="289">
        <v>0</v>
      </c>
      <c r="AE10" s="290">
        <v>0</v>
      </c>
      <c r="AF10" s="289">
        <v>0</v>
      </c>
      <c r="AG10" s="290">
        <v>0</v>
      </c>
      <c r="AH10" s="284">
        <v>0</v>
      </c>
      <c r="AI10" s="147">
        <v>0</v>
      </c>
      <c r="AJ10" s="291">
        <v>0</v>
      </c>
      <c r="AK10" s="292">
        <v>0</v>
      </c>
    </row>
    <row r="11" spans="1:37">
      <c r="A11" s="281">
        <v>0.96482412060301448</v>
      </c>
      <c r="B11" s="281">
        <v>17216.321608040191</v>
      </c>
      <c r="C11" s="282">
        <v>9979.3618090452273</v>
      </c>
      <c r="D11" s="282">
        <v>180.85427135678398</v>
      </c>
      <c r="E11" s="282">
        <v>0</v>
      </c>
      <c r="F11" s="283">
        <v>0</v>
      </c>
      <c r="G11" s="284"/>
      <c r="H11" s="147"/>
      <c r="I11" s="285">
        <v>1</v>
      </c>
      <c r="J11" s="288">
        <v>3.4430039393564885E-2</v>
      </c>
      <c r="K11" s="287">
        <v>0</v>
      </c>
      <c r="L11" s="288">
        <v>0</v>
      </c>
      <c r="M11" s="286">
        <v>100</v>
      </c>
      <c r="N11" s="287">
        <v>0</v>
      </c>
      <c r="O11" s="288">
        <v>0</v>
      </c>
      <c r="P11" s="286">
        <v>0.77942169990963106</v>
      </c>
      <c r="Q11" s="286">
        <v>0</v>
      </c>
      <c r="R11" s="287">
        <v>1.2229417282075321</v>
      </c>
      <c r="S11" s="286">
        <v>0</v>
      </c>
      <c r="T11" s="286">
        <v>15.755113027824741</v>
      </c>
      <c r="U11" s="286">
        <v>0</v>
      </c>
      <c r="V11" s="287">
        <v>22.383660686167712</v>
      </c>
      <c r="W11" s="288">
        <v>0</v>
      </c>
      <c r="X11" s="286">
        <v>1.7327592881751244</v>
      </c>
      <c r="Y11" s="286">
        <v>0</v>
      </c>
      <c r="Z11" s="287">
        <v>0</v>
      </c>
      <c r="AA11" s="288"/>
      <c r="AB11" s="286"/>
      <c r="AC11" s="287"/>
      <c r="AD11" s="289">
        <v>0</v>
      </c>
      <c r="AE11" s="290">
        <v>0</v>
      </c>
      <c r="AF11" s="289">
        <v>0</v>
      </c>
      <c r="AG11" s="290">
        <v>0</v>
      </c>
      <c r="AH11" s="284">
        <v>0</v>
      </c>
      <c r="AI11" s="147">
        <v>0</v>
      </c>
      <c r="AJ11" s="291">
        <v>0</v>
      </c>
      <c r="AK11" s="292">
        <v>0</v>
      </c>
    </row>
    <row r="12" spans="1:37">
      <c r="A12" s="281">
        <v>0.95979899497487375</v>
      </c>
      <c r="B12" s="281">
        <v>17126.653266331647</v>
      </c>
      <c r="C12" s="282">
        <v>9946.984924623117</v>
      </c>
      <c r="D12" s="282">
        <v>180.54773869346741</v>
      </c>
      <c r="E12" s="282">
        <v>0</v>
      </c>
      <c r="F12" s="283">
        <v>0</v>
      </c>
      <c r="G12" s="284"/>
      <c r="H12" s="147"/>
      <c r="I12" s="285">
        <v>1</v>
      </c>
      <c r="J12" s="288">
        <v>3.4430039393564885E-2</v>
      </c>
      <c r="K12" s="287">
        <v>0</v>
      </c>
      <c r="L12" s="288">
        <v>0</v>
      </c>
      <c r="M12" s="286">
        <v>100</v>
      </c>
      <c r="N12" s="287">
        <v>0</v>
      </c>
      <c r="O12" s="288">
        <v>0</v>
      </c>
      <c r="P12" s="286">
        <v>0.77933993114193534</v>
      </c>
      <c r="Q12" s="286">
        <v>0</v>
      </c>
      <c r="R12" s="287">
        <v>1.2229059244719078</v>
      </c>
      <c r="S12" s="286">
        <v>0</v>
      </c>
      <c r="T12" s="286">
        <v>15.75500053951364</v>
      </c>
      <c r="U12" s="286">
        <v>0</v>
      </c>
      <c r="V12" s="287">
        <v>22.384876216308715</v>
      </c>
      <c r="W12" s="288">
        <v>0</v>
      </c>
      <c r="X12" s="286">
        <v>1.7332712080304995</v>
      </c>
      <c r="Y12" s="286">
        <v>0</v>
      </c>
      <c r="Z12" s="287">
        <v>0</v>
      </c>
      <c r="AA12" s="288"/>
      <c r="AB12" s="286"/>
      <c r="AC12" s="287"/>
      <c r="AD12" s="289">
        <v>0</v>
      </c>
      <c r="AE12" s="290">
        <v>0</v>
      </c>
      <c r="AF12" s="289">
        <v>0</v>
      </c>
      <c r="AG12" s="290">
        <v>0</v>
      </c>
      <c r="AH12" s="284">
        <v>0</v>
      </c>
      <c r="AI12" s="147">
        <v>0</v>
      </c>
      <c r="AJ12" s="291">
        <v>0</v>
      </c>
      <c r="AK12" s="292">
        <v>0</v>
      </c>
    </row>
    <row r="13" spans="1:37">
      <c r="A13" s="281">
        <v>0.95477386934673292</v>
      </c>
      <c r="B13" s="281">
        <v>17036.984924623102</v>
      </c>
      <c r="C13" s="282">
        <v>9914.6080402010066</v>
      </c>
      <c r="D13" s="282">
        <v>180.24120603015083</v>
      </c>
      <c r="E13" s="282">
        <v>0</v>
      </c>
      <c r="F13" s="283">
        <v>0</v>
      </c>
      <c r="G13" s="284"/>
      <c r="H13" s="147"/>
      <c r="I13" s="285">
        <v>1</v>
      </c>
      <c r="J13" s="288">
        <v>3.4430039393564885E-2</v>
      </c>
      <c r="K13" s="287">
        <v>0</v>
      </c>
      <c r="L13" s="288">
        <v>0</v>
      </c>
      <c r="M13" s="286">
        <v>100</v>
      </c>
      <c r="N13" s="287">
        <v>0</v>
      </c>
      <c r="O13" s="288">
        <v>0</v>
      </c>
      <c r="P13" s="286">
        <v>0.77925800160917924</v>
      </c>
      <c r="Q13" s="286">
        <v>0</v>
      </c>
      <c r="R13" s="287">
        <v>1.2228701126182702</v>
      </c>
      <c r="S13" s="286">
        <v>0</v>
      </c>
      <c r="T13" s="286">
        <v>15.754885244476853</v>
      </c>
      <c r="U13" s="286">
        <v>0</v>
      </c>
      <c r="V13" s="287">
        <v>22.386091837349785</v>
      </c>
      <c r="W13" s="288">
        <v>0</v>
      </c>
      <c r="X13" s="286">
        <v>1.7337973161805953</v>
      </c>
      <c r="Y13" s="286">
        <v>0</v>
      </c>
      <c r="Z13" s="287">
        <v>0</v>
      </c>
      <c r="AA13" s="288"/>
      <c r="AB13" s="286"/>
      <c r="AC13" s="287"/>
      <c r="AD13" s="289">
        <v>0</v>
      </c>
      <c r="AE13" s="290">
        <v>0</v>
      </c>
      <c r="AF13" s="289">
        <v>0</v>
      </c>
      <c r="AG13" s="290">
        <v>0</v>
      </c>
      <c r="AH13" s="284">
        <v>0</v>
      </c>
      <c r="AI13" s="147">
        <v>0</v>
      </c>
      <c r="AJ13" s="291">
        <v>0</v>
      </c>
      <c r="AK13" s="292">
        <v>0</v>
      </c>
    </row>
    <row r="14" spans="1:37">
      <c r="A14" s="281">
        <v>0.94974874371859219</v>
      </c>
      <c r="B14" s="281">
        <v>16947.316582914558</v>
      </c>
      <c r="C14" s="282">
        <v>9882.2311557788962</v>
      </c>
      <c r="D14" s="282">
        <v>179.93467336683426</v>
      </c>
      <c r="E14" s="282">
        <v>0</v>
      </c>
      <c r="F14" s="283">
        <v>0</v>
      </c>
      <c r="G14" s="284"/>
      <c r="H14" s="147"/>
      <c r="I14" s="285">
        <v>1</v>
      </c>
      <c r="J14" s="288">
        <v>3.4430039393564885E-2</v>
      </c>
      <c r="K14" s="287">
        <v>0</v>
      </c>
      <c r="L14" s="288">
        <v>0</v>
      </c>
      <c r="M14" s="286">
        <v>100</v>
      </c>
      <c r="N14" s="287">
        <v>0</v>
      </c>
      <c r="O14" s="288">
        <v>0</v>
      </c>
      <c r="P14" s="286">
        <v>0.77917591064869629</v>
      </c>
      <c r="Q14" s="286">
        <v>0</v>
      </c>
      <c r="R14" s="287">
        <v>1.222834292625945</v>
      </c>
      <c r="S14" s="286">
        <v>0</v>
      </c>
      <c r="T14" s="286">
        <v>15.754767130614123</v>
      </c>
      <c r="U14" s="286">
        <v>0</v>
      </c>
      <c r="V14" s="287">
        <v>22.387307549175247</v>
      </c>
      <c r="W14" s="288">
        <v>0</v>
      </c>
      <c r="X14" s="286">
        <v>1.7343375990825127</v>
      </c>
      <c r="Y14" s="286">
        <v>0</v>
      </c>
      <c r="Z14" s="287">
        <v>0</v>
      </c>
      <c r="AA14" s="288"/>
      <c r="AB14" s="286"/>
      <c r="AC14" s="287"/>
      <c r="AD14" s="289">
        <v>0</v>
      </c>
      <c r="AE14" s="290">
        <v>0</v>
      </c>
      <c r="AF14" s="289">
        <v>0</v>
      </c>
      <c r="AG14" s="290">
        <v>0</v>
      </c>
      <c r="AH14" s="284">
        <v>0</v>
      </c>
      <c r="AI14" s="147">
        <v>0</v>
      </c>
      <c r="AJ14" s="291">
        <v>0</v>
      </c>
      <c r="AK14" s="292">
        <v>0</v>
      </c>
    </row>
    <row r="15" spans="1:37">
      <c r="A15" s="281">
        <v>0.94472361809045136</v>
      </c>
      <c r="B15" s="281">
        <v>16857.648241206014</v>
      </c>
      <c r="C15" s="282">
        <v>9849.8542713567858</v>
      </c>
      <c r="D15" s="282">
        <v>179.62814070351769</v>
      </c>
      <c r="E15" s="282">
        <v>0</v>
      </c>
      <c r="F15" s="283">
        <v>0</v>
      </c>
      <c r="G15" s="284"/>
      <c r="H15" s="147"/>
      <c r="I15" s="285">
        <v>1</v>
      </c>
      <c r="J15" s="288">
        <v>3.4430039393564885E-2</v>
      </c>
      <c r="K15" s="287">
        <v>0</v>
      </c>
      <c r="L15" s="288">
        <v>0</v>
      </c>
      <c r="M15" s="286">
        <v>100</v>
      </c>
      <c r="N15" s="287">
        <v>0</v>
      </c>
      <c r="O15" s="288">
        <v>0</v>
      </c>
      <c r="P15" s="286">
        <v>0.77909365759393967</v>
      </c>
      <c r="Q15" s="286">
        <v>0</v>
      </c>
      <c r="R15" s="287">
        <v>1.2227984644742009</v>
      </c>
      <c r="S15" s="286">
        <v>0</v>
      </c>
      <c r="T15" s="286">
        <v>15.754646185753639</v>
      </c>
      <c r="U15" s="286">
        <v>0</v>
      </c>
      <c r="V15" s="287">
        <v>22.388523351668773</v>
      </c>
      <c r="W15" s="288">
        <v>0</v>
      </c>
      <c r="X15" s="286">
        <v>1.7348920436277433</v>
      </c>
      <c r="Y15" s="286">
        <v>0</v>
      </c>
      <c r="Z15" s="287">
        <v>0</v>
      </c>
      <c r="AA15" s="288"/>
      <c r="AB15" s="286"/>
      <c r="AC15" s="287"/>
      <c r="AD15" s="289">
        <v>0</v>
      </c>
      <c r="AE15" s="290">
        <v>0</v>
      </c>
      <c r="AF15" s="289">
        <v>0</v>
      </c>
      <c r="AG15" s="290">
        <v>0</v>
      </c>
      <c r="AH15" s="284">
        <v>0</v>
      </c>
      <c r="AI15" s="147">
        <v>0</v>
      </c>
      <c r="AJ15" s="291">
        <v>0</v>
      </c>
      <c r="AK15" s="292">
        <v>0</v>
      </c>
    </row>
    <row r="16" spans="1:37">
      <c r="A16" s="281">
        <v>0.93969849246231052</v>
      </c>
      <c r="B16" s="281">
        <v>16767.97989949747</v>
      </c>
      <c r="C16" s="282">
        <v>9817.4773869346755</v>
      </c>
      <c r="D16" s="282">
        <v>179.32160804020111</v>
      </c>
      <c r="E16" s="282">
        <v>0</v>
      </c>
      <c r="F16" s="283">
        <v>0</v>
      </c>
      <c r="G16" s="284"/>
      <c r="H16" s="147"/>
      <c r="I16" s="285">
        <v>1</v>
      </c>
      <c r="J16" s="288">
        <v>3.4430039393564885E-2</v>
      </c>
      <c r="K16" s="287">
        <v>0</v>
      </c>
      <c r="L16" s="288">
        <v>0</v>
      </c>
      <c r="M16" s="286">
        <v>100</v>
      </c>
      <c r="N16" s="287">
        <v>0</v>
      </c>
      <c r="O16" s="288">
        <v>0</v>
      </c>
      <c r="P16" s="286">
        <v>0.7790112417744447</v>
      </c>
      <c r="Q16" s="286">
        <v>0</v>
      </c>
      <c r="R16" s="287">
        <v>1.2227626281422546</v>
      </c>
      <c r="S16" s="286">
        <v>0</v>
      </c>
      <c r="T16" s="286">
        <v>15.754522397651344</v>
      </c>
      <c r="U16" s="286">
        <v>0</v>
      </c>
      <c r="V16" s="287">
        <v>22.389739244713379</v>
      </c>
      <c r="W16" s="288">
        <v>0</v>
      </c>
      <c r="X16" s="286">
        <v>1.7354606371396604</v>
      </c>
      <c r="Y16" s="286">
        <v>0</v>
      </c>
      <c r="Z16" s="287">
        <v>0</v>
      </c>
      <c r="AA16" s="288"/>
      <c r="AB16" s="286"/>
      <c r="AC16" s="287"/>
      <c r="AD16" s="289">
        <v>0</v>
      </c>
      <c r="AE16" s="290">
        <v>0</v>
      </c>
      <c r="AF16" s="289">
        <v>0</v>
      </c>
      <c r="AG16" s="290">
        <v>0</v>
      </c>
      <c r="AH16" s="284">
        <v>0</v>
      </c>
      <c r="AI16" s="147">
        <v>0</v>
      </c>
      <c r="AJ16" s="291">
        <v>0</v>
      </c>
      <c r="AK16" s="292">
        <v>0</v>
      </c>
    </row>
    <row r="17" spans="1:37">
      <c r="A17" s="281">
        <v>0.93467336683416979</v>
      </c>
      <c r="B17" s="281">
        <v>16678.311557788926</v>
      </c>
      <c r="C17" s="282">
        <v>9785.1005025125651</v>
      </c>
      <c r="D17" s="282">
        <v>179.01507537688454</v>
      </c>
      <c r="E17" s="282">
        <v>0</v>
      </c>
      <c r="F17" s="283">
        <v>0</v>
      </c>
      <c r="G17" s="284"/>
      <c r="H17" s="147"/>
      <c r="I17" s="285">
        <v>1</v>
      </c>
      <c r="J17" s="288">
        <v>3.4430039393564885E-2</v>
      </c>
      <c r="K17" s="287">
        <v>0</v>
      </c>
      <c r="L17" s="288">
        <v>0</v>
      </c>
      <c r="M17" s="286">
        <v>100</v>
      </c>
      <c r="N17" s="287">
        <v>0</v>
      </c>
      <c r="O17" s="288">
        <v>0</v>
      </c>
      <c r="P17" s="286">
        <v>0.77892866251580717</v>
      </c>
      <c r="Q17" s="286">
        <v>0</v>
      </c>
      <c r="R17" s="287">
        <v>1.2227267836092452</v>
      </c>
      <c r="S17" s="286">
        <v>0</v>
      </c>
      <c r="T17" s="286">
        <v>15.754395753990513</v>
      </c>
      <c r="U17" s="286">
        <v>0</v>
      </c>
      <c r="V17" s="287">
        <v>22.390955228191235</v>
      </c>
      <c r="W17" s="288">
        <v>0</v>
      </c>
      <c r="X17" s="286">
        <v>1.7360433673709028</v>
      </c>
      <c r="Y17" s="286">
        <v>0</v>
      </c>
      <c r="Z17" s="287">
        <v>0</v>
      </c>
      <c r="AA17" s="288"/>
      <c r="AB17" s="286"/>
      <c r="AC17" s="287"/>
      <c r="AD17" s="289">
        <v>0</v>
      </c>
      <c r="AE17" s="290">
        <v>0</v>
      </c>
      <c r="AF17" s="289">
        <v>0</v>
      </c>
      <c r="AG17" s="290">
        <v>0</v>
      </c>
      <c r="AH17" s="284">
        <v>0</v>
      </c>
      <c r="AI17" s="147">
        <v>0</v>
      </c>
      <c r="AJ17" s="291">
        <v>0</v>
      </c>
      <c r="AK17" s="292">
        <v>0</v>
      </c>
    </row>
    <row r="18" spans="1:37">
      <c r="A18" s="281">
        <v>0.92964824120602896</v>
      </c>
      <c r="B18" s="281">
        <v>16588.643216080382</v>
      </c>
      <c r="C18" s="282">
        <v>9752.7236180904547</v>
      </c>
      <c r="D18" s="282">
        <v>178.70854271356797</v>
      </c>
      <c r="E18" s="282">
        <v>0</v>
      </c>
      <c r="F18" s="283">
        <v>0</v>
      </c>
      <c r="G18" s="284"/>
      <c r="H18" s="147"/>
      <c r="I18" s="285">
        <v>1</v>
      </c>
      <c r="J18" s="288">
        <v>3.4430039393564885E-2</v>
      </c>
      <c r="K18" s="287">
        <v>0</v>
      </c>
      <c r="L18" s="288">
        <v>0</v>
      </c>
      <c r="M18" s="286">
        <v>100</v>
      </c>
      <c r="N18" s="287">
        <v>0</v>
      </c>
      <c r="O18" s="288">
        <v>0</v>
      </c>
      <c r="P18" s="286">
        <v>0.7788459191396464</v>
      </c>
      <c r="Q18" s="286">
        <v>0</v>
      </c>
      <c r="R18" s="287">
        <v>1.2226909308542615</v>
      </c>
      <c r="S18" s="286">
        <v>0</v>
      </c>
      <c r="T18" s="286">
        <v>15.754266242381078</v>
      </c>
      <c r="U18" s="286">
        <v>0</v>
      </c>
      <c r="V18" s="287">
        <v>22.392171301983872</v>
      </c>
      <c r="W18" s="288">
        <v>0</v>
      </c>
      <c r="X18" s="286">
        <v>1.7366402225009101</v>
      </c>
      <c r="Y18" s="286">
        <v>0</v>
      </c>
      <c r="Z18" s="287">
        <v>0</v>
      </c>
      <c r="AA18" s="288"/>
      <c r="AB18" s="286"/>
      <c r="AC18" s="287"/>
      <c r="AD18" s="289">
        <v>0</v>
      </c>
      <c r="AE18" s="290">
        <v>0</v>
      </c>
      <c r="AF18" s="289">
        <v>0</v>
      </c>
      <c r="AG18" s="290">
        <v>0</v>
      </c>
      <c r="AH18" s="284">
        <v>0</v>
      </c>
      <c r="AI18" s="147">
        <v>0</v>
      </c>
      <c r="AJ18" s="291">
        <v>0</v>
      </c>
      <c r="AK18" s="292">
        <v>0</v>
      </c>
    </row>
    <row r="19" spans="1:37">
      <c r="A19" s="281">
        <v>0.92462311557788823</v>
      </c>
      <c r="B19" s="281">
        <v>16498.974874371837</v>
      </c>
      <c r="C19" s="282">
        <v>9720.3467336683443</v>
      </c>
      <c r="D19" s="282">
        <v>178.40201005025139</v>
      </c>
      <c r="E19" s="282">
        <v>0</v>
      </c>
      <c r="F19" s="283">
        <v>0</v>
      </c>
      <c r="G19" s="284"/>
      <c r="H19" s="147"/>
      <c r="I19" s="285">
        <v>1</v>
      </c>
      <c r="J19" s="288">
        <v>3.4430039393564885E-2</v>
      </c>
      <c r="K19" s="287">
        <v>0</v>
      </c>
      <c r="L19" s="288">
        <v>0</v>
      </c>
      <c r="M19" s="286">
        <v>100</v>
      </c>
      <c r="N19" s="287">
        <v>0</v>
      </c>
      <c r="O19" s="288">
        <v>0</v>
      </c>
      <c r="P19" s="286">
        <v>0.77876301096357825</v>
      </c>
      <c r="Q19" s="286">
        <v>0</v>
      </c>
      <c r="R19" s="287">
        <v>1.2226550698563297</v>
      </c>
      <c r="S19" s="286">
        <v>0</v>
      </c>
      <c r="T19" s="286">
        <v>15.754133850359135</v>
      </c>
      <c r="U19" s="286">
        <v>0</v>
      </c>
      <c r="V19" s="287">
        <v>22.393387465972115</v>
      </c>
      <c r="W19" s="288">
        <v>0</v>
      </c>
      <c r="X19" s="286">
        <v>1.7372511911333968</v>
      </c>
      <c r="Y19" s="286">
        <v>0</v>
      </c>
      <c r="Z19" s="287">
        <v>0</v>
      </c>
      <c r="AA19" s="288"/>
      <c r="AB19" s="286"/>
      <c r="AC19" s="287"/>
      <c r="AD19" s="289">
        <v>0</v>
      </c>
      <c r="AE19" s="290">
        <v>0</v>
      </c>
      <c r="AF19" s="289">
        <v>0</v>
      </c>
      <c r="AG19" s="290">
        <v>0</v>
      </c>
      <c r="AH19" s="284">
        <v>0</v>
      </c>
      <c r="AI19" s="147">
        <v>0</v>
      </c>
      <c r="AJ19" s="291">
        <v>0</v>
      </c>
      <c r="AK19" s="292">
        <v>0</v>
      </c>
    </row>
    <row r="20" spans="1:37">
      <c r="A20" s="281">
        <v>0.9195979899497474</v>
      </c>
      <c r="B20" s="281">
        <v>16409.306532663293</v>
      </c>
      <c r="C20" s="282">
        <v>9687.9698492462339</v>
      </c>
      <c r="D20" s="282">
        <v>178.09547738693482</v>
      </c>
      <c r="E20" s="282">
        <v>0</v>
      </c>
      <c r="F20" s="283">
        <v>0</v>
      </c>
      <c r="G20" s="284"/>
      <c r="H20" s="147"/>
      <c r="I20" s="285">
        <v>1</v>
      </c>
      <c r="J20" s="288">
        <v>3.4430039393564885E-2</v>
      </c>
      <c r="K20" s="287">
        <v>0</v>
      </c>
      <c r="L20" s="288">
        <v>0</v>
      </c>
      <c r="M20" s="286">
        <v>100</v>
      </c>
      <c r="N20" s="287">
        <v>0</v>
      </c>
      <c r="O20" s="288">
        <v>0</v>
      </c>
      <c r="P20" s="286">
        <v>0.77867993730118046</v>
      </c>
      <c r="Q20" s="286">
        <v>0</v>
      </c>
      <c r="R20" s="287">
        <v>1.2226192005944105</v>
      </c>
      <c r="S20" s="286">
        <v>0</v>
      </c>
      <c r="T20" s="286">
        <v>15.753998565386308</v>
      </c>
      <c r="U20" s="286">
        <v>0</v>
      </c>
      <c r="V20" s="287">
        <v>22.394603720036002</v>
      </c>
      <c r="W20" s="288">
        <v>0</v>
      </c>
      <c r="X20" s="286">
        <v>1.7378762622938746</v>
      </c>
      <c r="Y20" s="286">
        <v>0</v>
      </c>
      <c r="Z20" s="287">
        <v>0</v>
      </c>
      <c r="AA20" s="288"/>
      <c r="AB20" s="286"/>
      <c r="AC20" s="287"/>
      <c r="AD20" s="289">
        <v>0</v>
      </c>
      <c r="AE20" s="290">
        <v>0</v>
      </c>
      <c r="AF20" s="289">
        <v>0</v>
      </c>
      <c r="AG20" s="290">
        <v>0</v>
      </c>
      <c r="AH20" s="284">
        <v>0</v>
      </c>
      <c r="AI20" s="147">
        <v>0</v>
      </c>
      <c r="AJ20" s="291">
        <v>0</v>
      </c>
      <c r="AK20" s="292">
        <v>0</v>
      </c>
    </row>
    <row r="21" spans="1:37">
      <c r="A21" s="281">
        <v>0.91457286432160678</v>
      </c>
      <c r="B21" s="281">
        <v>16319.638190954751</v>
      </c>
      <c r="C21" s="282">
        <v>9655.5929648241236</v>
      </c>
      <c r="D21" s="282">
        <v>177.78894472361824</v>
      </c>
      <c r="E21" s="282">
        <v>0</v>
      </c>
      <c r="F21" s="283">
        <v>0</v>
      </c>
      <c r="G21" s="284"/>
      <c r="H21" s="147"/>
      <c r="I21" s="285">
        <v>1</v>
      </c>
      <c r="J21" s="288">
        <v>3.4430039393564885E-2</v>
      </c>
      <c r="K21" s="287">
        <v>0</v>
      </c>
      <c r="L21" s="288">
        <v>0</v>
      </c>
      <c r="M21" s="286">
        <v>100</v>
      </c>
      <c r="N21" s="287">
        <v>0</v>
      </c>
      <c r="O21" s="288">
        <v>0</v>
      </c>
      <c r="P21" s="286">
        <v>0.77859669746196458</v>
      </c>
      <c r="Q21" s="286">
        <v>0</v>
      </c>
      <c r="R21" s="287">
        <v>1.2225833230474059</v>
      </c>
      <c r="S21" s="286">
        <v>0</v>
      </c>
      <c r="T21" s="286">
        <v>15.75386037484922</v>
      </c>
      <c r="U21" s="286">
        <v>0</v>
      </c>
      <c r="V21" s="287">
        <v>22.395820064054909</v>
      </c>
      <c r="W21" s="288">
        <v>0</v>
      </c>
      <c r="X21" s="286">
        <v>1.7385154254272548</v>
      </c>
      <c r="Y21" s="286">
        <v>0</v>
      </c>
      <c r="Z21" s="287">
        <v>0</v>
      </c>
      <c r="AA21" s="288"/>
      <c r="AB21" s="286"/>
      <c r="AC21" s="287"/>
      <c r="AD21" s="289">
        <v>0</v>
      </c>
      <c r="AE21" s="290">
        <v>0</v>
      </c>
      <c r="AF21" s="289">
        <v>0</v>
      </c>
      <c r="AG21" s="290">
        <v>0</v>
      </c>
      <c r="AH21" s="284">
        <v>0</v>
      </c>
      <c r="AI21" s="147">
        <v>0</v>
      </c>
      <c r="AJ21" s="291">
        <v>0</v>
      </c>
      <c r="AK21" s="292">
        <v>0</v>
      </c>
    </row>
    <row r="22" spans="1:37">
      <c r="A22" s="281">
        <v>0.90954773869346606</v>
      </c>
      <c r="B22" s="281">
        <v>16229.969849246208</v>
      </c>
      <c r="C22" s="282">
        <v>9623.2160804020132</v>
      </c>
      <c r="D22" s="282">
        <v>177.48241206030167</v>
      </c>
      <c r="E22" s="282">
        <v>0</v>
      </c>
      <c r="F22" s="283">
        <v>0</v>
      </c>
      <c r="G22" s="284"/>
      <c r="H22" s="147"/>
      <c r="I22" s="285">
        <v>1</v>
      </c>
      <c r="J22" s="288">
        <v>3.4430039393564885E-2</v>
      </c>
      <c r="K22" s="287">
        <v>0</v>
      </c>
      <c r="L22" s="288">
        <v>0</v>
      </c>
      <c r="M22" s="286">
        <v>100</v>
      </c>
      <c r="N22" s="287">
        <v>0</v>
      </c>
      <c r="O22" s="288">
        <v>0</v>
      </c>
      <c r="P22" s="286">
        <v>0.7785132907513429</v>
      </c>
      <c r="Q22" s="286">
        <v>0</v>
      </c>
      <c r="R22" s="287">
        <v>1.2225474371941494</v>
      </c>
      <c r="S22" s="286">
        <v>0</v>
      </c>
      <c r="T22" s="286">
        <v>15.753719266058871</v>
      </c>
      <c r="U22" s="286">
        <v>0</v>
      </c>
      <c r="V22" s="287">
        <v>22.397036497907386</v>
      </c>
      <c r="W22" s="288">
        <v>0</v>
      </c>
      <c r="X22" s="286">
        <v>1.7391686703954234</v>
      </c>
      <c r="Y22" s="286">
        <v>0</v>
      </c>
      <c r="Z22" s="287">
        <v>0</v>
      </c>
      <c r="AA22" s="288"/>
      <c r="AB22" s="286"/>
      <c r="AC22" s="287"/>
      <c r="AD22" s="289">
        <v>0</v>
      </c>
      <c r="AE22" s="290">
        <v>0</v>
      </c>
      <c r="AF22" s="289">
        <v>0</v>
      </c>
      <c r="AG22" s="290">
        <v>0</v>
      </c>
      <c r="AH22" s="284">
        <v>0</v>
      </c>
      <c r="AI22" s="147">
        <v>0</v>
      </c>
      <c r="AJ22" s="291">
        <v>0</v>
      </c>
      <c r="AK22" s="292">
        <v>0</v>
      </c>
    </row>
    <row r="23" spans="1:37">
      <c r="A23" s="281">
        <v>0.90452261306532533</v>
      </c>
      <c r="B23" s="281">
        <v>16140.301507537666</v>
      </c>
      <c r="C23" s="282">
        <v>9590.8391959799028</v>
      </c>
      <c r="D23" s="282">
        <v>177.1758793969851</v>
      </c>
      <c r="E23" s="282">
        <v>0</v>
      </c>
      <c r="F23" s="283">
        <v>0</v>
      </c>
      <c r="G23" s="284"/>
      <c r="H23" s="147"/>
      <c r="I23" s="285">
        <v>1</v>
      </c>
      <c r="J23" s="288">
        <v>3.4430039393564885E-2</v>
      </c>
      <c r="K23" s="287">
        <v>0</v>
      </c>
      <c r="L23" s="288">
        <v>0</v>
      </c>
      <c r="M23" s="286">
        <v>100</v>
      </c>
      <c r="N23" s="287">
        <v>0</v>
      </c>
      <c r="O23" s="288">
        <v>0</v>
      </c>
      <c r="P23" s="286">
        <v>0.77842971647059478</v>
      </c>
      <c r="Q23" s="286">
        <v>0</v>
      </c>
      <c r="R23" s="287">
        <v>1.2225115430134192</v>
      </c>
      <c r="S23" s="286">
        <v>0</v>
      </c>
      <c r="T23" s="286">
        <v>15.753575226250053</v>
      </c>
      <c r="U23" s="286">
        <v>0</v>
      </c>
      <c r="V23" s="287">
        <v>22.398253021471341</v>
      </c>
      <c r="W23" s="288">
        <v>0</v>
      </c>
      <c r="X23" s="286">
        <v>1.7398359874748168</v>
      </c>
      <c r="Y23" s="286">
        <v>0</v>
      </c>
      <c r="Z23" s="287">
        <v>0</v>
      </c>
      <c r="AA23" s="288"/>
      <c r="AB23" s="286"/>
      <c r="AC23" s="287"/>
      <c r="AD23" s="289">
        <v>0</v>
      </c>
      <c r="AE23" s="290">
        <v>0</v>
      </c>
      <c r="AF23" s="289">
        <v>0</v>
      </c>
      <c r="AG23" s="290">
        <v>0</v>
      </c>
      <c r="AH23" s="284">
        <v>0</v>
      </c>
      <c r="AI23" s="147">
        <v>0</v>
      </c>
      <c r="AJ23" s="291">
        <v>0</v>
      </c>
      <c r="AK23" s="292">
        <v>0</v>
      </c>
    </row>
    <row r="24" spans="1:37">
      <c r="A24" s="281">
        <v>0.89949748743718472</v>
      </c>
      <c r="B24" s="281">
        <v>16050.633165829124</v>
      </c>
      <c r="C24" s="282">
        <v>9558.4623115577924</v>
      </c>
      <c r="D24" s="282">
        <v>176.86934673366852</v>
      </c>
      <c r="E24" s="282">
        <v>0</v>
      </c>
      <c r="F24" s="283">
        <v>0</v>
      </c>
      <c r="G24" s="284"/>
      <c r="H24" s="147"/>
      <c r="I24" s="285">
        <v>1</v>
      </c>
      <c r="J24" s="288">
        <v>3.4430039393564885E-2</v>
      </c>
      <c r="K24" s="287">
        <v>0</v>
      </c>
      <c r="L24" s="288">
        <v>0</v>
      </c>
      <c r="M24" s="286">
        <v>100</v>
      </c>
      <c r="N24" s="287">
        <v>0</v>
      </c>
      <c r="O24" s="288">
        <v>0</v>
      </c>
      <c r="P24" s="286">
        <v>0.77834597391683746</v>
      </c>
      <c r="Q24" s="286">
        <v>0</v>
      </c>
      <c r="R24" s="287">
        <v>1.2224756404839232</v>
      </c>
      <c r="S24" s="286">
        <v>0</v>
      </c>
      <c r="T24" s="286">
        <v>15.753428242580764</v>
      </c>
      <c r="U24" s="286">
        <v>0</v>
      </c>
      <c r="V24" s="287">
        <v>22.399469634623863</v>
      </c>
      <c r="W24" s="288">
        <v>0</v>
      </c>
      <c r="X24" s="286">
        <v>1.7405173673541454</v>
      </c>
      <c r="Y24" s="286">
        <v>0</v>
      </c>
      <c r="Z24" s="287">
        <v>0</v>
      </c>
      <c r="AA24" s="288"/>
      <c r="AB24" s="286"/>
      <c r="AC24" s="287"/>
      <c r="AD24" s="289">
        <v>0</v>
      </c>
      <c r="AE24" s="290">
        <v>0</v>
      </c>
      <c r="AF24" s="289">
        <v>0</v>
      </c>
      <c r="AG24" s="290">
        <v>0</v>
      </c>
      <c r="AH24" s="284">
        <v>0</v>
      </c>
      <c r="AI24" s="147">
        <v>0</v>
      </c>
      <c r="AJ24" s="291">
        <v>0</v>
      </c>
      <c r="AK24" s="292">
        <v>0</v>
      </c>
    </row>
    <row r="25" spans="1:37">
      <c r="A25" s="281">
        <v>0.89447236180904399</v>
      </c>
      <c r="B25" s="281">
        <v>15960.964824120581</v>
      </c>
      <c r="C25" s="282">
        <v>9526.085427135682</v>
      </c>
      <c r="D25" s="282">
        <v>176.56281407035195</v>
      </c>
      <c r="E25" s="282">
        <v>0</v>
      </c>
      <c r="F25" s="283">
        <v>0</v>
      </c>
      <c r="G25" s="284"/>
      <c r="H25" s="147"/>
      <c r="I25" s="285">
        <v>1</v>
      </c>
      <c r="J25" s="288">
        <v>3.4430039393564885E-2</v>
      </c>
      <c r="K25" s="287">
        <v>0</v>
      </c>
      <c r="L25" s="288">
        <v>0</v>
      </c>
      <c r="M25" s="286">
        <v>100</v>
      </c>
      <c r="N25" s="287">
        <v>0</v>
      </c>
      <c r="O25" s="288">
        <v>0</v>
      </c>
      <c r="P25" s="286">
        <v>0.77826206238299001</v>
      </c>
      <c r="Q25" s="286">
        <v>0</v>
      </c>
      <c r="R25" s="287">
        <v>1.2224397295843148</v>
      </c>
      <c r="S25" s="286">
        <v>0</v>
      </c>
      <c r="T25" s="286">
        <v>15.753278302131589</v>
      </c>
      <c r="U25" s="286">
        <v>0</v>
      </c>
      <c r="V25" s="287">
        <v>22.400686337241375</v>
      </c>
      <c r="W25" s="288">
        <v>0</v>
      </c>
      <c r="X25" s="286">
        <v>1.7412128011319992</v>
      </c>
      <c r="Y25" s="286">
        <v>0</v>
      </c>
      <c r="Z25" s="287">
        <v>0</v>
      </c>
      <c r="AA25" s="288"/>
      <c r="AB25" s="286"/>
      <c r="AC25" s="287"/>
      <c r="AD25" s="289">
        <v>0</v>
      </c>
      <c r="AE25" s="290">
        <v>0</v>
      </c>
      <c r="AF25" s="289">
        <v>0</v>
      </c>
      <c r="AG25" s="290">
        <v>0</v>
      </c>
      <c r="AH25" s="284">
        <v>0</v>
      </c>
      <c r="AI25" s="147">
        <v>0</v>
      </c>
      <c r="AJ25" s="291">
        <v>0</v>
      </c>
      <c r="AK25" s="292">
        <v>0</v>
      </c>
    </row>
    <row r="26" spans="1:37">
      <c r="A26" s="281">
        <v>0.88944723618090338</v>
      </c>
      <c r="B26" s="281">
        <v>15871.296482412039</v>
      </c>
      <c r="C26" s="282">
        <v>9493.7085427135717</v>
      </c>
      <c r="D26" s="282">
        <v>176.25628140703537</v>
      </c>
      <c r="E26" s="282">
        <v>0</v>
      </c>
      <c r="F26" s="283">
        <v>0</v>
      </c>
      <c r="G26" s="284"/>
      <c r="H26" s="147"/>
      <c r="I26" s="285">
        <v>1</v>
      </c>
      <c r="J26" s="288">
        <v>3.4430039393564885E-2</v>
      </c>
      <c r="K26" s="287">
        <v>0</v>
      </c>
      <c r="L26" s="288">
        <v>0</v>
      </c>
      <c r="M26" s="286">
        <v>100</v>
      </c>
      <c r="N26" s="287">
        <v>0</v>
      </c>
      <c r="O26" s="288">
        <v>0</v>
      </c>
      <c r="P26" s="286">
        <v>0.77817798115774262</v>
      </c>
      <c r="Q26" s="286">
        <v>0</v>
      </c>
      <c r="R26" s="287">
        <v>1.2224038102931747</v>
      </c>
      <c r="S26" s="286">
        <v>0</v>
      </c>
      <c r="T26" s="286">
        <v>15.75312539190508</v>
      </c>
      <c r="U26" s="286">
        <v>0</v>
      </c>
      <c r="V26" s="287">
        <v>22.401903129199475</v>
      </c>
      <c r="W26" s="288">
        <v>0</v>
      </c>
      <c r="X26" s="286">
        <v>1.7419222803145731</v>
      </c>
      <c r="Y26" s="286">
        <v>0</v>
      </c>
      <c r="Z26" s="287">
        <v>0</v>
      </c>
      <c r="AA26" s="288"/>
      <c r="AB26" s="286"/>
      <c r="AC26" s="287"/>
      <c r="AD26" s="289">
        <v>0</v>
      </c>
      <c r="AE26" s="290">
        <v>0</v>
      </c>
      <c r="AF26" s="289">
        <v>0</v>
      </c>
      <c r="AG26" s="290">
        <v>0</v>
      </c>
      <c r="AH26" s="284">
        <v>0</v>
      </c>
      <c r="AI26" s="147">
        <v>0</v>
      </c>
      <c r="AJ26" s="291">
        <v>0</v>
      </c>
      <c r="AK26" s="292">
        <v>0</v>
      </c>
    </row>
    <row r="27" spans="1:37">
      <c r="A27" s="281">
        <v>0.88442211055276265</v>
      </c>
      <c r="B27" s="281">
        <v>15781.628140703497</v>
      </c>
      <c r="C27" s="282">
        <v>9461.3316582914613</v>
      </c>
      <c r="D27" s="282">
        <v>175.9497487437188</v>
      </c>
      <c r="E27" s="282">
        <v>0</v>
      </c>
      <c r="F27" s="283">
        <v>0</v>
      </c>
      <c r="G27" s="284"/>
      <c r="H27" s="147"/>
      <c r="I27" s="285">
        <v>1</v>
      </c>
      <c r="J27" s="288">
        <v>3.4430039393564885E-2</v>
      </c>
      <c r="K27" s="287">
        <v>0</v>
      </c>
      <c r="L27" s="288">
        <v>0</v>
      </c>
      <c r="M27" s="286">
        <v>100</v>
      </c>
      <c r="N27" s="287">
        <v>0</v>
      </c>
      <c r="O27" s="288">
        <v>0</v>
      </c>
      <c r="P27" s="286">
        <v>0.77809372952552225</v>
      </c>
      <c r="Q27" s="286">
        <v>0</v>
      </c>
      <c r="R27" s="287">
        <v>1.2223678825890263</v>
      </c>
      <c r="S27" s="286">
        <v>0</v>
      </c>
      <c r="T27" s="286">
        <v>15.752969498825188</v>
      </c>
      <c r="U27" s="286">
        <v>0</v>
      </c>
      <c r="V27" s="287">
        <v>22.403120010373069</v>
      </c>
      <c r="W27" s="288">
        <v>0</v>
      </c>
      <c r="X27" s="286">
        <v>1.7426457968133813</v>
      </c>
      <c r="Y27" s="286">
        <v>0</v>
      </c>
      <c r="Z27" s="287">
        <v>0</v>
      </c>
      <c r="AA27" s="288"/>
      <c r="AB27" s="286"/>
      <c r="AC27" s="287"/>
      <c r="AD27" s="289">
        <v>0</v>
      </c>
      <c r="AE27" s="290">
        <v>0</v>
      </c>
      <c r="AF27" s="289">
        <v>0</v>
      </c>
      <c r="AG27" s="290">
        <v>0</v>
      </c>
      <c r="AH27" s="284">
        <v>0</v>
      </c>
      <c r="AI27" s="147">
        <v>0</v>
      </c>
      <c r="AJ27" s="291">
        <v>0</v>
      </c>
      <c r="AK27" s="292">
        <v>0</v>
      </c>
    </row>
    <row r="28" spans="1:37">
      <c r="A28" s="281">
        <v>0.87939698492462193</v>
      </c>
      <c r="B28" s="281">
        <v>15691.959798994954</v>
      </c>
      <c r="C28" s="282">
        <v>9428.9547738693509</v>
      </c>
      <c r="D28" s="282">
        <v>175.64321608040223</v>
      </c>
      <c r="E28" s="282">
        <v>0</v>
      </c>
      <c r="F28" s="283">
        <v>0</v>
      </c>
      <c r="G28" s="284"/>
      <c r="H28" s="147"/>
      <c r="I28" s="285">
        <v>1</v>
      </c>
      <c r="J28" s="288">
        <v>3.4430039393564885E-2</v>
      </c>
      <c r="K28" s="287">
        <v>0</v>
      </c>
      <c r="L28" s="288">
        <v>0</v>
      </c>
      <c r="M28" s="286">
        <v>100</v>
      </c>
      <c r="N28" s="287">
        <v>0</v>
      </c>
      <c r="O28" s="288">
        <v>0</v>
      </c>
      <c r="P28" s="286">
        <v>0.77800930676645896</v>
      </c>
      <c r="Q28" s="286">
        <v>0</v>
      </c>
      <c r="R28" s="287">
        <v>1.2223319464503273</v>
      </c>
      <c r="S28" s="286">
        <v>0</v>
      </c>
      <c r="T28" s="286">
        <v>15.752810609736564</v>
      </c>
      <c r="U28" s="286">
        <v>0</v>
      </c>
      <c r="V28" s="287">
        <v>22.404336980636291</v>
      </c>
      <c r="W28" s="288">
        <v>0</v>
      </c>
      <c r="X28" s="286">
        <v>1.7433833429430023</v>
      </c>
      <c r="Y28" s="286">
        <v>0</v>
      </c>
      <c r="Z28" s="287">
        <v>0</v>
      </c>
      <c r="AA28" s="288"/>
      <c r="AB28" s="286"/>
      <c r="AC28" s="287"/>
      <c r="AD28" s="289">
        <v>0</v>
      </c>
      <c r="AE28" s="290">
        <v>0</v>
      </c>
      <c r="AF28" s="289">
        <v>0</v>
      </c>
      <c r="AG28" s="290">
        <v>0</v>
      </c>
      <c r="AH28" s="284">
        <v>0</v>
      </c>
      <c r="AI28" s="147">
        <v>0</v>
      </c>
      <c r="AJ28" s="291">
        <v>0</v>
      </c>
      <c r="AK28" s="292">
        <v>0</v>
      </c>
    </row>
    <row r="29" spans="1:37">
      <c r="A29" s="281">
        <v>0.87437185929648131</v>
      </c>
      <c r="B29" s="281">
        <v>15602.291457286412</v>
      </c>
      <c r="C29" s="282">
        <v>9396.5778894472405</v>
      </c>
      <c r="D29" s="282">
        <v>175.33668341708565</v>
      </c>
      <c r="E29" s="282">
        <v>0</v>
      </c>
      <c r="F29" s="283">
        <v>0</v>
      </c>
      <c r="G29" s="284"/>
      <c r="H29" s="147"/>
      <c r="I29" s="285">
        <v>1</v>
      </c>
      <c r="J29" s="288">
        <v>3.4430039393564885E-2</v>
      </c>
      <c r="K29" s="287">
        <v>0</v>
      </c>
      <c r="L29" s="288">
        <v>0</v>
      </c>
      <c r="M29" s="286">
        <v>100</v>
      </c>
      <c r="N29" s="287">
        <v>0</v>
      </c>
      <c r="O29" s="288">
        <v>0</v>
      </c>
      <c r="P29" s="286">
        <v>0.77792471215635162</v>
      </c>
      <c r="Q29" s="286">
        <v>0</v>
      </c>
      <c r="R29" s="287">
        <v>1.2222960018554714</v>
      </c>
      <c r="S29" s="286">
        <v>0</v>
      </c>
      <c r="T29" s="286">
        <v>15.752648711403996</v>
      </c>
      <c r="U29" s="286">
        <v>0</v>
      </c>
      <c r="V29" s="287">
        <v>22.405554039862526</v>
      </c>
      <c r="W29" s="288">
        <v>0</v>
      </c>
      <c r="X29" s="286">
        <v>1.74413491141887</v>
      </c>
      <c r="Y29" s="286">
        <v>0</v>
      </c>
      <c r="Z29" s="287">
        <v>0</v>
      </c>
      <c r="AA29" s="288"/>
      <c r="AB29" s="286"/>
      <c r="AC29" s="287"/>
      <c r="AD29" s="289">
        <v>0</v>
      </c>
      <c r="AE29" s="290">
        <v>0</v>
      </c>
      <c r="AF29" s="289">
        <v>0</v>
      </c>
      <c r="AG29" s="290">
        <v>0</v>
      </c>
      <c r="AH29" s="284">
        <v>0</v>
      </c>
      <c r="AI29" s="147">
        <v>0</v>
      </c>
      <c r="AJ29" s="291">
        <v>0</v>
      </c>
      <c r="AK29" s="292">
        <v>0</v>
      </c>
    </row>
    <row r="30" spans="1:37">
      <c r="A30" s="281">
        <v>0.86934673366834059</v>
      </c>
      <c r="B30" s="281">
        <v>15512.62311557787</v>
      </c>
      <c r="C30" s="282">
        <v>9364.2010050251301</v>
      </c>
      <c r="D30" s="282">
        <v>175.03015075376908</v>
      </c>
      <c r="E30" s="282">
        <v>0</v>
      </c>
      <c r="F30" s="283">
        <v>0</v>
      </c>
      <c r="G30" s="284"/>
      <c r="H30" s="147"/>
      <c r="I30" s="285">
        <v>1</v>
      </c>
      <c r="J30" s="288">
        <v>3.4430039393564885E-2</v>
      </c>
      <c r="K30" s="287">
        <v>0</v>
      </c>
      <c r="L30" s="288">
        <v>0</v>
      </c>
      <c r="M30" s="286">
        <v>100</v>
      </c>
      <c r="N30" s="287">
        <v>0</v>
      </c>
      <c r="O30" s="288">
        <v>0</v>
      </c>
      <c r="P30" s="286">
        <v>0.77783994496663511</v>
      </c>
      <c r="Q30" s="286">
        <v>0</v>
      </c>
      <c r="R30" s="287">
        <v>1.2222600487827839</v>
      </c>
      <c r="S30" s="286">
        <v>0</v>
      </c>
      <c r="T30" s="286">
        <v>15.752483790511761</v>
      </c>
      <c r="U30" s="286">
        <v>0</v>
      </c>
      <c r="V30" s="287">
        <v>22.406771187924335</v>
      </c>
      <c r="W30" s="288">
        <v>0</v>
      </c>
      <c r="X30" s="286">
        <v>1.7449004953550302</v>
      </c>
      <c r="Y30" s="286">
        <v>0</v>
      </c>
      <c r="Z30" s="287">
        <v>0</v>
      </c>
      <c r="AA30" s="288"/>
      <c r="AB30" s="286"/>
      <c r="AC30" s="287"/>
      <c r="AD30" s="289">
        <v>0</v>
      </c>
      <c r="AE30" s="290">
        <v>0</v>
      </c>
      <c r="AF30" s="289">
        <v>0</v>
      </c>
      <c r="AG30" s="290">
        <v>0</v>
      </c>
      <c r="AH30" s="284">
        <v>0</v>
      </c>
      <c r="AI30" s="147">
        <v>0</v>
      </c>
      <c r="AJ30" s="291">
        <v>0</v>
      </c>
      <c r="AK30" s="292">
        <v>0</v>
      </c>
    </row>
    <row r="31" spans="1:37">
      <c r="A31" s="281">
        <v>0.86432160804019986</v>
      </c>
      <c r="B31" s="281">
        <v>15422.954773869327</v>
      </c>
      <c r="C31" s="282">
        <v>9331.8241206030198</v>
      </c>
      <c r="D31" s="282">
        <v>174.7236180904525</v>
      </c>
      <c r="E31" s="282">
        <v>0</v>
      </c>
      <c r="F31" s="283">
        <v>0</v>
      </c>
      <c r="G31" s="284"/>
      <c r="H31" s="147"/>
      <c r="I31" s="285">
        <v>1</v>
      </c>
      <c r="J31" s="288">
        <v>3.4430039393564885E-2</v>
      </c>
      <c r="K31" s="287">
        <v>0</v>
      </c>
      <c r="L31" s="288">
        <v>0</v>
      </c>
      <c r="M31" s="286">
        <v>100</v>
      </c>
      <c r="N31" s="287">
        <v>0</v>
      </c>
      <c r="O31" s="288">
        <v>0</v>
      </c>
      <c r="P31" s="286">
        <v>0.77775500446434431</v>
      </c>
      <c r="Q31" s="286">
        <v>0</v>
      </c>
      <c r="R31" s="287">
        <v>1.2222240872105377</v>
      </c>
      <c r="S31" s="286">
        <v>0</v>
      </c>
      <c r="T31" s="286">
        <v>15.752315833662951</v>
      </c>
      <c r="U31" s="286">
        <v>0</v>
      </c>
      <c r="V31" s="287">
        <v>22.407988424693666</v>
      </c>
      <c r="W31" s="288">
        <v>0</v>
      </c>
      <c r="X31" s="286">
        <v>1.7456800882619963</v>
      </c>
      <c r="Y31" s="286">
        <v>0</v>
      </c>
      <c r="Z31" s="287">
        <v>0</v>
      </c>
      <c r="AA31" s="288"/>
      <c r="AB31" s="286"/>
      <c r="AC31" s="287"/>
      <c r="AD31" s="289">
        <v>0</v>
      </c>
      <c r="AE31" s="290">
        <v>0</v>
      </c>
      <c r="AF31" s="289">
        <v>0</v>
      </c>
      <c r="AG31" s="290">
        <v>0</v>
      </c>
      <c r="AH31" s="284">
        <v>0</v>
      </c>
      <c r="AI31" s="147">
        <v>0</v>
      </c>
      <c r="AJ31" s="291">
        <v>0</v>
      </c>
      <c r="AK31" s="292">
        <v>0</v>
      </c>
    </row>
    <row r="32" spans="1:37">
      <c r="A32" s="281">
        <v>0.85929648241205925</v>
      </c>
      <c r="B32" s="281">
        <v>15333.286432160785</v>
      </c>
      <c r="C32" s="282">
        <v>9299.4472361809094</v>
      </c>
      <c r="D32" s="282">
        <v>174.41708542713593</v>
      </c>
      <c r="E32" s="282">
        <v>0</v>
      </c>
      <c r="F32" s="283">
        <v>0</v>
      </c>
      <c r="G32" s="284"/>
      <c r="H32" s="147"/>
      <c r="I32" s="285">
        <v>1</v>
      </c>
      <c r="J32" s="288">
        <v>3.4430039393564885E-2</v>
      </c>
      <c r="K32" s="287">
        <v>0</v>
      </c>
      <c r="L32" s="288">
        <v>0</v>
      </c>
      <c r="M32" s="286">
        <v>100</v>
      </c>
      <c r="N32" s="287">
        <v>0</v>
      </c>
      <c r="O32" s="288">
        <v>0</v>
      </c>
      <c r="P32" s="286">
        <v>0.77766988991207753</v>
      </c>
      <c r="Q32" s="286">
        <v>0</v>
      </c>
      <c r="R32" s="287">
        <v>1.2221881171169229</v>
      </c>
      <c r="S32" s="286">
        <v>0</v>
      </c>
      <c r="T32" s="286">
        <v>15.752144827378849</v>
      </c>
      <c r="U32" s="286">
        <v>0</v>
      </c>
      <c r="V32" s="287">
        <v>22.409205750041526</v>
      </c>
      <c r="W32" s="288">
        <v>0</v>
      </c>
      <c r="X32" s="286">
        <v>1.7464736840445829</v>
      </c>
      <c r="Y32" s="286">
        <v>0</v>
      </c>
      <c r="Z32" s="287">
        <v>0</v>
      </c>
      <c r="AA32" s="288"/>
      <c r="AB32" s="286"/>
      <c r="AC32" s="287"/>
      <c r="AD32" s="289">
        <v>0</v>
      </c>
      <c r="AE32" s="290">
        <v>0</v>
      </c>
      <c r="AF32" s="289">
        <v>0</v>
      </c>
      <c r="AG32" s="290">
        <v>0</v>
      </c>
      <c r="AH32" s="284">
        <v>0</v>
      </c>
      <c r="AI32" s="147">
        <v>0</v>
      </c>
      <c r="AJ32" s="291">
        <v>0</v>
      </c>
      <c r="AK32" s="292">
        <v>0</v>
      </c>
    </row>
    <row r="33" spans="1:37">
      <c r="A33" s="281">
        <v>0.85427135678391852</v>
      </c>
      <c r="B33" s="281">
        <v>15243.618090452243</v>
      </c>
      <c r="C33" s="282">
        <v>9267.070351758799</v>
      </c>
      <c r="D33" s="282">
        <v>174.11055276381936</v>
      </c>
      <c r="E33" s="282">
        <v>0</v>
      </c>
      <c r="F33" s="283">
        <v>0</v>
      </c>
      <c r="G33" s="284"/>
      <c r="H33" s="147"/>
      <c r="I33" s="285">
        <v>1</v>
      </c>
      <c r="J33" s="288">
        <v>3.4430039393564885E-2</v>
      </c>
      <c r="K33" s="287">
        <v>0</v>
      </c>
      <c r="L33" s="288">
        <v>0</v>
      </c>
      <c r="M33" s="286">
        <v>100</v>
      </c>
      <c r="N33" s="287">
        <v>0</v>
      </c>
      <c r="O33" s="288">
        <v>0</v>
      </c>
      <c r="P33" s="286">
        <v>0.77758460056796463</v>
      </c>
      <c r="Q33" s="286">
        <v>0</v>
      </c>
      <c r="R33" s="287">
        <v>1.2221521384800764</v>
      </c>
      <c r="S33" s="286">
        <v>0</v>
      </c>
      <c r="T33" s="286">
        <v>15.751970758098283</v>
      </c>
      <c r="U33" s="286">
        <v>0</v>
      </c>
      <c r="V33" s="287">
        <v>22.410423163838232</v>
      </c>
      <c r="W33" s="288">
        <v>0</v>
      </c>
      <c r="X33" s="286">
        <v>1.7472812769997512</v>
      </c>
      <c r="Y33" s="286">
        <v>0</v>
      </c>
      <c r="Z33" s="287">
        <v>0</v>
      </c>
      <c r="AA33" s="288"/>
      <c r="AB33" s="286"/>
      <c r="AC33" s="287"/>
      <c r="AD33" s="289">
        <v>0</v>
      </c>
      <c r="AE33" s="290">
        <v>0</v>
      </c>
      <c r="AF33" s="289">
        <v>0</v>
      </c>
      <c r="AG33" s="290">
        <v>0</v>
      </c>
      <c r="AH33" s="284">
        <v>0</v>
      </c>
      <c r="AI33" s="147">
        <v>0</v>
      </c>
      <c r="AJ33" s="291">
        <v>0</v>
      </c>
      <c r="AK33" s="292">
        <v>0</v>
      </c>
    </row>
    <row r="34" spans="1:37">
      <c r="A34" s="281">
        <v>0.84924623115577791</v>
      </c>
      <c r="B34" s="281">
        <v>15153.9497487437</v>
      </c>
      <c r="C34" s="282">
        <v>9234.6934673366886</v>
      </c>
      <c r="D34" s="282">
        <v>173.80402010050278</v>
      </c>
      <c r="E34" s="282">
        <v>0</v>
      </c>
      <c r="F34" s="283">
        <v>0</v>
      </c>
      <c r="G34" s="284"/>
      <c r="H34" s="147"/>
      <c r="I34" s="285">
        <v>1</v>
      </c>
      <c r="J34" s="288">
        <v>3.4430039393564885E-2</v>
      </c>
      <c r="K34" s="287">
        <v>0</v>
      </c>
      <c r="L34" s="288">
        <v>0</v>
      </c>
      <c r="M34" s="286">
        <v>100</v>
      </c>
      <c r="N34" s="287">
        <v>0</v>
      </c>
      <c r="O34" s="288">
        <v>0</v>
      </c>
      <c r="P34" s="286">
        <v>0.77749913568562823</v>
      </c>
      <c r="Q34" s="286">
        <v>0</v>
      </c>
      <c r="R34" s="287">
        <v>1.2221161512780656</v>
      </c>
      <c r="S34" s="286">
        <v>0</v>
      </c>
      <c r="T34" s="286">
        <v>15.751793612176952</v>
      </c>
      <c r="U34" s="286">
        <v>0</v>
      </c>
      <c r="V34" s="287">
        <v>22.411640665953328</v>
      </c>
      <c r="W34" s="288">
        <v>0</v>
      </c>
      <c r="X34" s="286">
        <v>1.7481028618145347</v>
      </c>
      <c r="Y34" s="286">
        <v>0</v>
      </c>
      <c r="Z34" s="287">
        <v>0</v>
      </c>
      <c r="AA34" s="288"/>
      <c r="AB34" s="286"/>
      <c r="AC34" s="287"/>
      <c r="AD34" s="289">
        <v>0</v>
      </c>
      <c r="AE34" s="290">
        <v>0</v>
      </c>
      <c r="AF34" s="289">
        <v>0</v>
      </c>
      <c r="AG34" s="290">
        <v>0</v>
      </c>
      <c r="AH34" s="284">
        <v>0</v>
      </c>
      <c r="AI34" s="147">
        <v>0</v>
      </c>
      <c r="AJ34" s="291">
        <v>0</v>
      </c>
      <c r="AK34" s="292">
        <v>0</v>
      </c>
    </row>
    <row r="35" spans="1:37">
      <c r="A35" s="281">
        <v>0.84422110552763718</v>
      </c>
      <c r="B35" s="281">
        <v>15064.281407035158</v>
      </c>
      <c r="C35" s="282">
        <v>9202.3165829145782</v>
      </c>
      <c r="D35" s="282">
        <v>173.49748743718621</v>
      </c>
      <c r="E35" s="282">
        <v>0</v>
      </c>
      <c r="F35" s="283">
        <v>0</v>
      </c>
      <c r="G35" s="284"/>
      <c r="H35" s="147"/>
      <c r="I35" s="285">
        <v>1</v>
      </c>
      <c r="J35" s="288">
        <v>3.4430039393564885E-2</v>
      </c>
      <c r="K35" s="287">
        <v>0</v>
      </c>
      <c r="L35" s="288">
        <v>0</v>
      </c>
      <c r="M35" s="286">
        <v>100</v>
      </c>
      <c r="N35" s="287">
        <v>0</v>
      </c>
      <c r="O35" s="288">
        <v>0</v>
      </c>
      <c r="P35" s="286">
        <v>0.77741349451414987</v>
      </c>
      <c r="Q35" s="286">
        <v>0</v>
      </c>
      <c r="R35" s="287">
        <v>1.2220801554889</v>
      </c>
      <c r="S35" s="286">
        <v>0</v>
      </c>
      <c r="T35" s="286">
        <v>15.751613375886762</v>
      </c>
      <c r="U35" s="286">
        <v>0</v>
      </c>
      <c r="V35" s="287">
        <v>22.412858256255621</v>
      </c>
      <c r="W35" s="288">
        <v>0</v>
      </c>
      <c r="X35" s="286">
        <v>1.7489384335639044</v>
      </c>
      <c r="Y35" s="286">
        <v>0</v>
      </c>
      <c r="Z35" s="287">
        <v>0</v>
      </c>
      <c r="AA35" s="288"/>
      <c r="AB35" s="286"/>
      <c r="AC35" s="287"/>
      <c r="AD35" s="289">
        <v>0</v>
      </c>
      <c r="AE35" s="290">
        <v>0</v>
      </c>
      <c r="AF35" s="289">
        <v>0</v>
      </c>
      <c r="AG35" s="290">
        <v>0</v>
      </c>
      <c r="AH35" s="284">
        <v>0</v>
      </c>
      <c r="AI35" s="147">
        <v>0</v>
      </c>
      <c r="AJ35" s="291">
        <v>0</v>
      </c>
      <c r="AK35" s="292">
        <v>0</v>
      </c>
    </row>
    <row r="36" spans="1:37">
      <c r="A36" s="281">
        <v>0.83919597989949646</v>
      </c>
      <c r="B36" s="281">
        <v>14974.613065326615</v>
      </c>
      <c r="C36" s="282">
        <v>9169.9396984924679</v>
      </c>
      <c r="D36" s="282">
        <v>173.19095477386963</v>
      </c>
      <c r="E36" s="282">
        <v>0</v>
      </c>
      <c r="F36" s="283">
        <v>0</v>
      </c>
      <c r="G36" s="284"/>
      <c r="H36" s="147"/>
      <c r="I36" s="285">
        <v>1</v>
      </c>
      <c r="J36" s="288">
        <v>3.4430039393564885E-2</v>
      </c>
      <c r="K36" s="287">
        <v>0</v>
      </c>
      <c r="L36" s="288">
        <v>0</v>
      </c>
      <c r="M36" s="286">
        <v>100</v>
      </c>
      <c r="N36" s="287">
        <v>0</v>
      </c>
      <c r="O36" s="288">
        <v>0</v>
      </c>
      <c r="P36" s="286">
        <v>0.77732767629803101</v>
      </c>
      <c r="Q36" s="286">
        <v>0</v>
      </c>
      <c r="R36" s="287">
        <v>1.2220441510905125</v>
      </c>
      <c r="S36" s="286">
        <v>0</v>
      </c>
      <c r="T36" s="286">
        <v>15.751430035415138</v>
      </c>
      <c r="U36" s="286">
        <v>0</v>
      </c>
      <c r="V36" s="287">
        <v>22.414075934613063</v>
      </c>
      <c r="W36" s="288">
        <v>0</v>
      </c>
      <c r="X36" s="286">
        <v>1.7497879877087501</v>
      </c>
      <c r="Y36" s="286">
        <v>0</v>
      </c>
      <c r="Z36" s="287">
        <v>0</v>
      </c>
      <c r="AA36" s="288"/>
      <c r="AB36" s="286"/>
      <c r="AC36" s="287"/>
      <c r="AD36" s="289">
        <v>0</v>
      </c>
      <c r="AE36" s="290">
        <v>0</v>
      </c>
      <c r="AF36" s="289">
        <v>0</v>
      </c>
      <c r="AG36" s="290">
        <v>0</v>
      </c>
      <c r="AH36" s="284">
        <v>0</v>
      </c>
      <c r="AI36" s="147">
        <v>0</v>
      </c>
      <c r="AJ36" s="291">
        <v>0</v>
      </c>
      <c r="AK36" s="292">
        <v>0</v>
      </c>
    </row>
    <row r="37" spans="1:37">
      <c r="A37" s="281">
        <v>0.83417085427135584</v>
      </c>
      <c r="B37" s="281">
        <v>14884.944723618073</v>
      </c>
      <c r="C37" s="282">
        <v>9137.5628140703575</v>
      </c>
      <c r="D37" s="282">
        <v>172.88442211055306</v>
      </c>
      <c r="E37" s="282">
        <v>0</v>
      </c>
      <c r="F37" s="283">
        <v>0</v>
      </c>
      <c r="G37" s="284"/>
      <c r="H37" s="147"/>
      <c r="I37" s="285">
        <v>1</v>
      </c>
      <c r="J37" s="288">
        <v>3.4430039393564885E-2</v>
      </c>
      <c r="K37" s="287">
        <v>0</v>
      </c>
      <c r="L37" s="288">
        <v>0</v>
      </c>
      <c r="M37" s="286">
        <v>100</v>
      </c>
      <c r="N37" s="287">
        <v>0</v>
      </c>
      <c r="O37" s="288">
        <v>0</v>
      </c>
      <c r="P37" s="286">
        <v>0.77724168027715901</v>
      </c>
      <c r="Q37" s="286">
        <v>0</v>
      </c>
      <c r="R37" s="287">
        <v>1.2220081380607724</v>
      </c>
      <c r="S37" s="286">
        <v>0</v>
      </c>
      <c r="T37" s="286">
        <v>15.751243576864384</v>
      </c>
      <c r="U37" s="286">
        <v>0</v>
      </c>
      <c r="V37" s="287">
        <v>22.415293700892835</v>
      </c>
      <c r="W37" s="288">
        <v>0</v>
      </c>
      <c r="X37" s="286">
        <v>1.7506515200937969</v>
      </c>
      <c r="Y37" s="286">
        <v>0</v>
      </c>
      <c r="Z37" s="287">
        <v>0</v>
      </c>
      <c r="AA37" s="288"/>
      <c r="AB37" s="286"/>
      <c r="AC37" s="287"/>
      <c r="AD37" s="289">
        <v>0</v>
      </c>
      <c r="AE37" s="290">
        <v>0</v>
      </c>
      <c r="AF37" s="289">
        <v>0</v>
      </c>
      <c r="AG37" s="290">
        <v>0</v>
      </c>
      <c r="AH37" s="284">
        <v>0</v>
      </c>
      <c r="AI37" s="147">
        <v>0</v>
      </c>
      <c r="AJ37" s="291">
        <v>0</v>
      </c>
      <c r="AK37" s="292">
        <v>0</v>
      </c>
    </row>
    <row r="38" spans="1:37">
      <c r="A38" s="281">
        <v>0.82914572864321512</v>
      </c>
      <c r="B38" s="281">
        <v>14795.276381909531</v>
      </c>
      <c r="C38" s="282">
        <v>9105.1859296482471</v>
      </c>
      <c r="D38" s="282">
        <v>172.57788944723649</v>
      </c>
      <c r="E38" s="282">
        <v>0</v>
      </c>
      <c r="F38" s="283">
        <v>0</v>
      </c>
      <c r="G38" s="284"/>
      <c r="H38" s="147"/>
      <c r="I38" s="285">
        <v>1</v>
      </c>
      <c r="J38" s="288">
        <v>3.4430039393564885E-2</v>
      </c>
      <c r="K38" s="287">
        <v>0</v>
      </c>
      <c r="L38" s="288">
        <v>0</v>
      </c>
      <c r="M38" s="286">
        <v>100</v>
      </c>
      <c r="N38" s="287">
        <v>0</v>
      </c>
      <c r="O38" s="288">
        <v>0</v>
      </c>
      <c r="P38" s="286">
        <v>0.77715550568676728</v>
      </c>
      <c r="Q38" s="286">
        <v>0</v>
      </c>
      <c r="R38" s="287">
        <v>1.2219721163774842</v>
      </c>
      <c r="S38" s="286">
        <v>0</v>
      </c>
      <c r="T38" s="286">
        <v>15.75105398625095</v>
      </c>
      <c r="U38" s="286">
        <v>0</v>
      </c>
      <c r="V38" s="287">
        <v>22.416511554961332</v>
      </c>
      <c r="W38" s="288">
        <v>0</v>
      </c>
      <c r="X38" s="286">
        <v>1.7515290269455785</v>
      </c>
      <c r="Y38" s="286">
        <v>0</v>
      </c>
      <c r="Z38" s="287">
        <v>0</v>
      </c>
      <c r="AA38" s="288"/>
      <c r="AB38" s="286"/>
      <c r="AC38" s="287"/>
      <c r="AD38" s="289">
        <v>0</v>
      </c>
      <c r="AE38" s="290">
        <v>0</v>
      </c>
      <c r="AF38" s="289">
        <v>0</v>
      </c>
      <c r="AG38" s="290">
        <v>0</v>
      </c>
      <c r="AH38" s="284">
        <v>0</v>
      </c>
      <c r="AI38" s="147">
        <v>0</v>
      </c>
      <c r="AJ38" s="291">
        <v>0</v>
      </c>
      <c r="AK38" s="292">
        <v>0</v>
      </c>
    </row>
    <row r="39" spans="1:37">
      <c r="A39" s="281">
        <v>0.82412060301507439</v>
      </c>
      <c r="B39" s="281">
        <v>14705.608040200988</v>
      </c>
      <c r="C39" s="282">
        <v>9072.8090452261367</v>
      </c>
      <c r="D39" s="282">
        <v>172.27135678391991</v>
      </c>
      <c r="E39" s="282">
        <v>0</v>
      </c>
      <c r="F39" s="283">
        <v>0</v>
      </c>
      <c r="G39" s="284"/>
      <c r="H39" s="147"/>
      <c r="I39" s="285">
        <v>1</v>
      </c>
      <c r="J39" s="288">
        <v>3.4430039393564885E-2</v>
      </c>
      <c r="K39" s="287">
        <v>0</v>
      </c>
      <c r="L39" s="288">
        <v>0</v>
      </c>
      <c r="M39" s="286">
        <v>100</v>
      </c>
      <c r="N39" s="287">
        <v>0</v>
      </c>
      <c r="O39" s="288">
        <v>0</v>
      </c>
      <c r="P39" s="286">
        <v>0.77706915175739988</v>
      </c>
      <c r="Q39" s="286">
        <v>0</v>
      </c>
      <c r="R39" s="287">
        <v>1.2219360860183921</v>
      </c>
      <c r="S39" s="286">
        <v>0</v>
      </c>
      <c r="T39" s="286">
        <v>15.750861249504755</v>
      </c>
      <c r="U39" s="286">
        <v>0</v>
      </c>
      <c r="V39" s="287">
        <v>22.417729496684238</v>
      </c>
      <c r="W39" s="288">
        <v>0</v>
      </c>
      <c r="X39" s="286">
        <v>1.752420504870462</v>
      </c>
      <c r="Y39" s="286">
        <v>0</v>
      </c>
      <c r="Z39" s="287">
        <v>0</v>
      </c>
      <c r="AA39" s="288"/>
      <c r="AB39" s="286"/>
      <c r="AC39" s="287"/>
      <c r="AD39" s="289">
        <v>0</v>
      </c>
      <c r="AE39" s="290">
        <v>0</v>
      </c>
      <c r="AF39" s="289">
        <v>0</v>
      </c>
      <c r="AG39" s="290">
        <v>0</v>
      </c>
      <c r="AH39" s="284">
        <v>0</v>
      </c>
      <c r="AI39" s="147">
        <v>0</v>
      </c>
      <c r="AJ39" s="291">
        <v>0</v>
      </c>
      <c r="AK39" s="292">
        <v>0</v>
      </c>
    </row>
    <row r="40" spans="1:37">
      <c r="A40" s="281">
        <v>0.81909547738693378</v>
      </c>
      <c r="B40" s="281">
        <v>14615.939698492446</v>
      </c>
      <c r="C40" s="282">
        <v>9040.4321608040264</v>
      </c>
      <c r="D40" s="282">
        <v>171.96482412060334</v>
      </c>
      <c r="E40" s="282">
        <v>0</v>
      </c>
      <c r="F40" s="283">
        <v>0</v>
      </c>
      <c r="G40" s="284"/>
      <c r="H40" s="147"/>
      <c r="I40" s="285">
        <v>1</v>
      </c>
      <c r="J40" s="288">
        <v>3.4430039393564885E-2</v>
      </c>
      <c r="K40" s="287">
        <v>0</v>
      </c>
      <c r="L40" s="288">
        <v>0</v>
      </c>
      <c r="M40" s="286">
        <v>100</v>
      </c>
      <c r="N40" s="287">
        <v>0</v>
      </c>
      <c r="O40" s="288">
        <v>0</v>
      </c>
      <c r="P40" s="286">
        <v>0.7769826177148722</v>
      </c>
      <c r="Q40" s="286">
        <v>0</v>
      </c>
      <c r="R40" s="287">
        <v>1.2219000469611623</v>
      </c>
      <c r="S40" s="286">
        <v>0</v>
      </c>
      <c r="T40" s="286">
        <v>15.750665352468497</v>
      </c>
      <c r="U40" s="286">
        <v>0</v>
      </c>
      <c r="V40" s="287">
        <v>22.418947525926317</v>
      </c>
      <c r="W40" s="288">
        <v>0</v>
      </c>
      <c r="X40" s="286">
        <v>1.7533259508526335</v>
      </c>
      <c r="Y40" s="286">
        <v>0</v>
      </c>
      <c r="Z40" s="287">
        <v>0</v>
      </c>
      <c r="AA40" s="288"/>
      <c r="AB40" s="286"/>
      <c r="AC40" s="287"/>
      <c r="AD40" s="289">
        <v>0</v>
      </c>
      <c r="AE40" s="290">
        <v>0</v>
      </c>
      <c r="AF40" s="289">
        <v>0</v>
      </c>
      <c r="AG40" s="290">
        <v>0</v>
      </c>
      <c r="AH40" s="284">
        <v>0</v>
      </c>
      <c r="AI40" s="147">
        <v>0</v>
      </c>
      <c r="AJ40" s="291">
        <v>0</v>
      </c>
      <c r="AK40" s="292">
        <v>0</v>
      </c>
    </row>
    <row r="41" spans="1:37">
      <c r="A41" s="281">
        <v>0.81407035175879305</v>
      </c>
      <c r="B41" s="281">
        <v>14526.271356783904</v>
      </c>
      <c r="C41" s="282">
        <v>9008.055276381916</v>
      </c>
      <c r="D41" s="282">
        <v>171.65829145728677</v>
      </c>
      <c r="E41" s="282">
        <v>0</v>
      </c>
      <c r="F41" s="283">
        <v>0</v>
      </c>
      <c r="G41" s="284"/>
      <c r="H41" s="147"/>
      <c r="I41" s="285">
        <v>1</v>
      </c>
      <c r="J41" s="288">
        <v>3.4430039393564885E-2</v>
      </c>
      <c r="K41" s="287">
        <v>0</v>
      </c>
      <c r="L41" s="288">
        <v>0</v>
      </c>
      <c r="M41" s="286">
        <v>100</v>
      </c>
      <c r="N41" s="287">
        <v>0</v>
      </c>
      <c r="O41" s="288">
        <v>0</v>
      </c>
      <c r="P41" s="286">
        <v>0.77689590278023335</v>
      </c>
      <c r="Q41" s="286">
        <v>0</v>
      </c>
      <c r="R41" s="287">
        <v>1.2218639991833973</v>
      </c>
      <c r="S41" s="286">
        <v>0</v>
      </c>
      <c r="T41" s="286">
        <v>15.750466280896925</v>
      </c>
      <c r="U41" s="286">
        <v>0</v>
      </c>
      <c r="V41" s="287">
        <v>22.420165642551588</v>
      </c>
      <c r="W41" s="288">
        <v>0</v>
      </c>
      <c r="X41" s="286">
        <v>1.7542453622521597</v>
      </c>
      <c r="Y41" s="286">
        <v>0</v>
      </c>
      <c r="Z41" s="287">
        <v>0</v>
      </c>
      <c r="AA41" s="288"/>
      <c r="AB41" s="286"/>
      <c r="AC41" s="287"/>
      <c r="AD41" s="289">
        <v>0</v>
      </c>
      <c r="AE41" s="290">
        <v>0</v>
      </c>
      <c r="AF41" s="289">
        <v>0</v>
      </c>
      <c r="AG41" s="290">
        <v>0</v>
      </c>
      <c r="AH41" s="284">
        <v>0</v>
      </c>
      <c r="AI41" s="147">
        <v>0</v>
      </c>
      <c r="AJ41" s="291">
        <v>0</v>
      </c>
      <c r="AK41" s="292">
        <v>0</v>
      </c>
    </row>
    <row r="42" spans="1:37">
      <c r="A42" s="281">
        <v>0.80904522613065244</v>
      </c>
      <c r="B42" s="281">
        <v>14436.603015075361</v>
      </c>
      <c r="C42" s="282">
        <v>8975.6783919598056</v>
      </c>
      <c r="D42" s="282">
        <v>171.35175879397019</v>
      </c>
      <c r="E42" s="282">
        <v>0</v>
      </c>
      <c r="F42" s="283">
        <v>0</v>
      </c>
      <c r="G42" s="284"/>
      <c r="H42" s="147"/>
      <c r="I42" s="285">
        <v>1</v>
      </c>
      <c r="J42" s="288">
        <v>3.4430039393564885E-2</v>
      </c>
      <c r="K42" s="287">
        <v>0</v>
      </c>
      <c r="L42" s="288">
        <v>0</v>
      </c>
      <c r="M42" s="286">
        <v>100</v>
      </c>
      <c r="N42" s="287">
        <v>0</v>
      </c>
      <c r="O42" s="288">
        <v>0</v>
      </c>
      <c r="P42" s="286">
        <v>0.77680900616972559</v>
      </c>
      <c r="Q42" s="286">
        <v>0</v>
      </c>
      <c r="R42" s="287">
        <v>1.2218279426626371</v>
      </c>
      <c r="S42" s="286">
        <v>0</v>
      </c>
      <c r="T42" s="286">
        <v>15.750264020456127</v>
      </c>
      <c r="U42" s="286">
        <v>0</v>
      </c>
      <c r="V42" s="287">
        <v>22.421383846423296</v>
      </c>
      <c r="W42" s="288">
        <v>0</v>
      </c>
      <c r="X42" s="286">
        <v>1.7551787368030285</v>
      </c>
      <c r="Y42" s="286">
        <v>0</v>
      </c>
      <c r="Z42" s="287">
        <v>0</v>
      </c>
      <c r="AA42" s="288"/>
      <c r="AB42" s="286"/>
      <c r="AC42" s="287"/>
      <c r="AD42" s="289">
        <v>0</v>
      </c>
      <c r="AE42" s="290">
        <v>0</v>
      </c>
      <c r="AF42" s="289">
        <v>0</v>
      </c>
      <c r="AG42" s="290">
        <v>0</v>
      </c>
      <c r="AH42" s="284">
        <v>0</v>
      </c>
      <c r="AI42" s="147">
        <v>0</v>
      </c>
      <c r="AJ42" s="291">
        <v>0</v>
      </c>
      <c r="AK42" s="292">
        <v>0</v>
      </c>
    </row>
    <row r="43" spans="1:37">
      <c r="A43" s="281">
        <v>0.80402010050251171</v>
      </c>
      <c r="B43" s="281">
        <v>14346.934673366819</v>
      </c>
      <c r="C43" s="282">
        <v>8943.3015075376952</v>
      </c>
      <c r="D43" s="282">
        <v>171.04522613065362</v>
      </c>
      <c r="E43" s="282">
        <v>0</v>
      </c>
      <c r="F43" s="283">
        <v>0</v>
      </c>
      <c r="G43" s="284"/>
      <c r="H43" s="147"/>
      <c r="I43" s="285">
        <v>1</v>
      </c>
      <c r="J43" s="288">
        <v>3.4430039393564885E-2</v>
      </c>
      <c r="K43" s="287">
        <v>0</v>
      </c>
      <c r="L43" s="288">
        <v>0</v>
      </c>
      <c r="M43" s="286">
        <v>100</v>
      </c>
      <c r="N43" s="287">
        <v>0</v>
      </c>
      <c r="O43" s="288">
        <v>0</v>
      </c>
      <c r="P43" s="286">
        <v>0.77672192709474885</v>
      </c>
      <c r="Q43" s="286">
        <v>0</v>
      </c>
      <c r="R43" s="287">
        <v>1.2217918773763492</v>
      </c>
      <c r="S43" s="286">
        <v>0</v>
      </c>
      <c r="T43" s="286">
        <v>15.750058556722829</v>
      </c>
      <c r="U43" s="286">
        <v>0</v>
      </c>
      <c r="V43" s="287">
        <v>22.422602137403857</v>
      </c>
      <c r="W43" s="288">
        <v>0</v>
      </c>
      <c r="X43" s="286">
        <v>1.7561260726111971</v>
      </c>
      <c r="Y43" s="286">
        <v>0</v>
      </c>
      <c r="Z43" s="287">
        <v>0</v>
      </c>
      <c r="AA43" s="288"/>
      <c r="AB43" s="286"/>
      <c r="AC43" s="287"/>
      <c r="AD43" s="289">
        <v>0</v>
      </c>
      <c r="AE43" s="290">
        <v>0</v>
      </c>
      <c r="AF43" s="289">
        <v>0</v>
      </c>
      <c r="AG43" s="290">
        <v>0</v>
      </c>
      <c r="AH43" s="284">
        <v>0</v>
      </c>
      <c r="AI43" s="147">
        <v>0</v>
      </c>
      <c r="AJ43" s="291">
        <v>0</v>
      </c>
      <c r="AK43" s="292">
        <v>0</v>
      </c>
    </row>
    <row r="44" spans="1:37">
      <c r="A44" s="281">
        <v>0.79899497487437099</v>
      </c>
      <c r="B44" s="281">
        <v>14257.266331658277</v>
      </c>
      <c r="C44" s="282">
        <v>8910.9246231155848</v>
      </c>
      <c r="D44" s="282">
        <v>170.73869346733704</v>
      </c>
      <c r="E44" s="282">
        <v>0</v>
      </c>
      <c r="F44" s="283">
        <v>0</v>
      </c>
      <c r="G44" s="284"/>
      <c r="H44" s="147"/>
      <c r="I44" s="285">
        <v>1</v>
      </c>
      <c r="J44" s="288">
        <v>3.4430039393564885E-2</v>
      </c>
      <c r="K44" s="287">
        <v>0</v>
      </c>
      <c r="L44" s="288">
        <v>0</v>
      </c>
      <c r="M44" s="286">
        <v>100</v>
      </c>
      <c r="N44" s="287">
        <v>0</v>
      </c>
      <c r="O44" s="288">
        <v>0</v>
      </c>
      <c r="P44" s="286">
        <v>0.7766346647618172</v>
      </c>
      <c r="Q44" s="286">
        <v>0</v>
      </c>
      <c r="R44" s="287">
        <v>1.2217558033019302</v>
      </c>
      <c r="S44" s="286">
        <v>0</v>
      </c>
      <c r="T44" s="286">
        <v>15.749849875183623</v>
      </c>
      <c r="U44" s="286">
        <v>0</v>
      </c>
      <c r="V44" s="287">
        <v>22.423820515354819</v>
      </c>
      <c r="W44" s="288">
        <v>0</v>
      </c>
      <c r="X44" s="286">
        <v>1.7570873681527346</v>
      </c>
      <c r="Y44" s="286">
        <v>0</v>
      </c>
      <c r="Z44" s="287">
        <v>0</v>
      </c>
      <c r="AA44" s="288"/>
      <c r="AB44" s="286"/>
      <c r="AC44" s="287"/>
      <c r="AD44" s="289">
        <v>0</v>
      </c>
      <c r="AE44" s="290">
        <v>0</v>
      </c>
      <c r="AF44" s="289">
        <v>0</v>
      </c>
      <c r="AG44" s="290">
        <v>0</v>
      </c>
      <c r="AH44" s="284">
        <v>0</v>
      </c>
      <c r="AI44" s="147">
        <v>0</v>
      </c>
      <c r="AJ44" s="291">
        <v>0</v>
      </c>
      <c r="AK44" s="292">
        <v>0</v>
      </c>
    </row>
    <row r="45" spans="1:37">
      <c r="A45" s="281">
        <v>0.79396984924623037</v>
      </c>
      <c r="B45" s="281">
        <v>14167.597989949734</v>
      </c>
      <c r="C45" s="282">
        <v>8878.5477386934745</v>
      </c>
      <c r="D45" s="282">
        <v>170.43216080402047</v>
      </c>
      <c r="E45" s="282">
        <v>0</v>
      </c>
      <c r="F45" s="283">
        <v>0</v>
      </c>
      <c r="G45" s="284"/>
      <c r="H45" s="147"/>
      <c r="I45" s="285">
        <v>1</v>
      </c>
      <c r="J45" s="288">
        <v>3.4430039393564885E-2</v>
      </c>
      <c r="K45" s="287">
        <v>0</v>
      </c>
      <c r="L45" s="288">
        <v>0</v>
      </c>
      <c r="M45" s="286">
        <v>100</v>
      </c>
      <c r="N45" s="287">
        <v>0</v>
      </c>
      <c r="O45" s="288">
        <v>0</v>
      </c>
      <c r="P45" s="286">
        <v>0.77654721837252205</v>
      </c>
      <c r="Q45" s="286">
        <v>0</v>
      </c>
      <c r="R45" s="287">
        <v>1.2217197204167232</v>
      </c>
      <c r="S45" s="286">
        <v>0</v>
      </c>
      <c r="T45" s="286">
        <v>15.749637961234278</v>
      </c>
      <c r="U45" s="286">
        <v>0</v>
      </c>
      <c r="V45" s="287">
        <v>22.425038980137078</v>
      </c>
      <c r="W45" s="288">
        <v>0</v>
      </c>
      <c r="X45" s="286">
        <v>1.7580626222718747</v>
      </c>
      <c r="Y45" s="286">
        <v>0</v>
      </c>
      <c r="Z45" s="287">
        <v>0</v>
      </c>
      <c r="AA45" s="288"/>
      <c r="AB45" s="286"/>
      <c r="AC45" s="287"/>
      <c r="AD45" s="289">
        <v>0</v>
      </c>
      <c r="AE45" s="290">
        <v>0</v>
      </c>
      <c r="AF45" s="289">
        <v>0</v>
      </c>
      <c r="AG45" s="290">
        <v>0</v>
      </c>
      <c r="AH45" s="284">
        <v>0</v>
      </c>
      <c r="AI45" s="147">
        <v>0</v>
      </c>
      <c r="AJ45" s="291">
        <v>0</v>
      </c>
      <c r="AK45" s="292">
        <v>0</v>
      </c>
    </row>
    <row r="46" spans="1:37">
      <c r="A46" s="281">
        <v>0.78894472361808965</v>
      </c>
      <c r="B46" s="281">
        <v>14077.929648241192</v>
      </c>
      <c r="C46" s="282">
        <v>8846.1708542713641</v>
      </c>
      <c r="D46" s="282">
        <v>170.1256281407039</v>
      </c>
      <c r="E46" s="282">
        <v>0</v>
      </c>
      <c r="F46" s="283">
        <v>0</v>
      </c>
      <c r="G46" s="284"/>
      <c r="H46" s="147"/>
      <c r="I46" s="285">
        <v>1</v>
      </c>
      <c r="J46" s="288">
        <v>3.4430039393564885E-2</v>
      </c>
      <c r="K46" s="287">
        <v>0</v>
      </c>
      <c r="L46" s="288">
        <v>0</v>
      </c>
      <c r="M46" s="286">
        <v>100</v>
      </c>
      <c r="N46" s="287">
        <v>0</v>
      </c>
      <c r="O46" s="288">
        <v>0</v>
      </c>
      <c r="P46" s="286">
        <v>0.77645958712348928</v>
      </c>
      <c r="Q46" s="286">
        <v>0</v>
      </c>
      <c r="R46" s="287">
        <v>1.2216836286979809</v>
      </c>
      <c r="S46" s="286">
        <v>0</v>
      </c>
      <c r="T46" s="286">
        <v>15.749422800178944</v>
      </c>
      <c r="U46" s="286">
        <v>0</v>
      </c>
      <c r="V46" s="287">
        <v>22.426257531610499</v>
      </c>
      <c r="W46" s="288">
        <v>0</v>
      </c>
      <c r="X46" s="286">
        <v>1.7590518341792243</v>
      </c>
      <c r="Y46" s="286">
        <v>0</v>
      </c>
      <c r="Z46" s="287">
        <v>0</v>
      </c>
      <c r="AA46" s="288"/>
      <c r="AB46" s="286"/>
      <c r="AC46" s="287"/>
      <c r="AD46" s="289">
        <v>0</v>
      </c>
      <c r="AE46" s="290">
        <v>0</v>
      </c>
      <c r="AF46" s="289">
        <v>0</v>
      </c>
      <c r="AG46" s="290">
        <v>0</v>
      </c>
      <c r="AH46" s="284">
        <v>0</v>
      </c>
      <c r="AI46" s="147">
        <v>0</v>
      </c>
      <c r="AJ46" s="291">
        <v>0</v>
      </c>
      <c r="AK46" s="292">
        <v>0</v>
      </c>
    </row>
    <row r="47" spans="1:37">
      <c r="A47" s="281">
        <v>0.78391959798994892</v>
      </c>
      <c r="B47" s="281">
        <v>13988.26130653265</v>
      </c>
      <c r="C47" s="282">
        <v>8813.7939698492537</v>
      </c>
      <c r="D47" s="282">
        <v>169.81909547738732</v>
      </c>
      <c r="E47" s="282">
        <v>0</v>
      </c>
      <c r="F47" s="283">
        <v>0</v>
      </c>
      <c r="G47" s="284"/>
      <c r="H47" s="147"/>
      <c r="I47" s="285">
        <v>1</v>
      </c>
      <c r="J47" s="288">
        <v>3.4430039393564885E-2</v>
      </c>
      <c r="K47" s="287">
        <v>0</v>
      </c>
      <c r="L47" s="288">
        <v>0</v>
      </c>
      <c r="M47" s="286">
        <v>100</v>
      </c>
      <c r="N47" s="287">
        <v>0</v>
      </c>
      <c r="O47" s="288">
        <v>0</v>
      </c>
      <c r="P47" s="286">
        <v>0.77637177020634141</v>
      </c>
      <c r="Q47" s="286">
        <v>0</v>
      </c>
      <c r="R47" s="287">
        <v>1.2216475281229033</v>
      </c>
      <c r="S47" s="286">
        <v>0</v>
      </c>
      <c r="T47" s="286">
        <v>15.749204377229455</v>
      </c>
      <c r="U47" s="286">
        <v>0</v>
      </c>
      <c r="V47" s="287">
        <v>22.427476169634271</v>
      </c>
      <c r="W47" s="288">
        <v>0</v>
      </c>
      <c r="X47" s="286">
        <v>1.7600550034498108</v>
      </c>
      <c r="Y47" s="286">
        <v>0</v>
      </c>
      <c r="Z47" s="287">
        <v>0</v>
      </c>
      <c r="AA47" s="288"/>
      <c r="AB47" s="286"/>
      <c r="AC47" s="287"/>
      <c r="AD47" s="289">
        <v>0</v>
      </c>
      <c r="AE47" s="290">
        <v>0</v>
      </c>
      <c r="AF47" s="289">
        <v>0</v>
      </c>
      <c r="AG47" s="290">
        <v>0</v>
      </c>
      <c r="AH47" s="284">
        <v>0</v>
      </c>
      <c r="AI47" s="147">
        <v>0</v>
      </c>
      <c r="AJ47" s="291">
        <v>0</v>
      </c>
      <c r="AK47" s="292">
        <v>0</v>
      </c>
    </row>
    <row r="48" spans="1:37">
      <c r="A48" s="281">
        <v>0.77889447236180831</v>
      </c>
      <c r="B48" s="281">
        <v>13898.592964824107</v>
      </c>
      <c r="C48" s="282">
        <v>8781.4170854271433</v>
      </c>
      <c r="D48" s="282">
        <v>169.51256281407075</v>
      </c>
      <c r="E48" s="282">
        <v>0</v>
      </c>
      <c r="F48" s="283">
        <v>0</v>
      </c>
      <c r="G48" s="284"/>
      <c r="H48" s="147"/>
      <c r="I48" s="285">
        <v>1</v>
      </c>
      <c r="J48" s="288">
        <v>3.4430039393564885E-2</v>
      </c>
      <c r="K48" s="287">
        <v>0</v>
      </c>
      <c r="L48" s="288">
        <v>0</v>
      </c>
      <c r="M48" s="286">
        <v>100</v>
      </c>
      <c r="N48" s="287">
        <v>0</v>
      </c>
      <c r="O48" s="288">
        <v>0</v>
      </c>
      <c r="P48" s="286">
        <v>0.77628376680765165</v>
      </c>
      <c r="Q48" s="286">
        <v>0</v>
      </c>
      <c r="R48" s="287">
        <v>1.2216114186686189</v>
      </c>
      <c r="S48" s="286">
        <v>0</v>
      </c>
      <c r="T48" s="286">
        <v>15.748982677504491</v>
      </c>
      <c r="U48" s="286">
        <v>0</v>
      </c>
      <c r="V48" s="287">
        <v>22.428694894066748</v>
      </c>
      <c r="W48" s="288">
        <v>0</v>
      </c>
      <c r="X48" s="286">
        <v>1.7610721300213183</v>
      </c>
      <c r="Y48" s="286">
        <v>0</v>
      </c>
      <c r="Z48" s="287">
        <v>0</v>
      </c>
      <c r="AA48" s="288"/>
      <c r="AB48" s="286"/>
      <c r="AC48" s="287"/>
      <c r="AD48" s="289">
        <v>0</v>
      </c>
      <c r="AE48" s="290">
        <v>0</v>
      </c>
      <c r="AF48" s="289">
        <v>0</v>
      </c>
      <c r="AG48" s="290">
        <v>0</v>
      </c>
      <c r="AH48" s="284">
        <v>0</v>
      </c>
      <c r="AI48" s="147">
        <v>0</v>
      </c>
      <c r="AJ48" s="291">
        <v>0</v>
      </c>
      <c r="AK48" s="292">
        <v>0</v>
      </c>
    </row>
    <row r="49" spans="1:37">
      <c r="A49" s="281">
        <v>0.77386934673366758</v>
      </c>
      <c r="B49" s="281">
        <v>13808.924623115565</v>
      </c>
      <c r="C49" s="282">
        <v>8749.0402010050329</v>
      </c>
      <c r="D49" s="282">
        <v>169.20603015075417</v>
      </c>
      <c r="E49" s="282">
        <v>0</v>
      </c>
      <c r="F49" s="283">
        <v>0</v>
      </c>
      <c r="G49" s="284"/>
      <c r="H49" s="147"/>
      <c r="I49" s="285">
        <v>1</v>
      </c>
      <c r="J49" s="288">
        <v>3.4430039393564885E-2</v>
      </c>
      <c r="K49" s="287">
        <v>0</v>
      </c>
      <c r="L49" s="288">
        <v>0</v>
      </c>
      <c r="M49" s="286">
        <v>100</v>
      </c>
      <c r="N49" s="287">
        <v>0</v>
      </c>
      <c r="O49" s="288">
        <v>0</v>
      </c>
      <c r="P49" s="286">
        <v>0.77619557610890888</v>
      </c>
      <c r="Q49" s="286">
        <v>0</v>
      </c>
      <c r="R49" s="287">
        <v>1.2215753003121848</v>
      </c>
      <c r="S49" s="286">
        <v>0</v>
      </c>
      <c r="T49" s="286">
        <v>15.748757686028908</v>
      </c>
      <c r="U49" s="286">
        <v>0</v>
      </c>
      <c r="V49" s="287">
        <v>22.429913704765422</v>
      </c>
      <c r="W49" s="288">
        <v>0</v>
      </c>
      <c r="X49" s="286">
        <v>1.7621032141922344</v>
      </c>
      <c r="Y49" s="286">
        <v>0</v>
      </c>
      <c r="Z49" s="287">
        <v>0</v>
      </c>
      <c r="AA49" s="288"/>
      <c r="AB49" s="286"/>
      <c r="AC49" s="287"/>
      <c r="AD49" s="289">
        <v>0</v>
      </c>
      <c r="AE49" s="290">
        <v>0</v>
      </c>
      <c r="AF49" s="289">
        <v>0</v>
      </c>
      <c r="AG49" s="290">
        <v>0</v>
      </c>
      <c r="AH49" s="284">
        <v>0</v>
      </c>
      <c r="AI49" s="147">
        <v>0</v>
      </c>
      <c r="AJ49" s="291">
        <v>0</v>
      </c>
      <c r="AK49" s="292">
        <v>0</v>
      </c>
    </row>
    <row r="50" spans="1:37">
      <c r="A50" s="281">
        <v>0.76884422110552697</v>
      </c>
      <c r="B50" s="281">
        <v>13719.256281407022</v>
      </c>
      <c r="C50" s="282">
        <v>8716.6633165829226</v>
      </c>
      <c r="D50" s="282">
        <v>168.8994974874376</v>
      </c>
      <c r="E50" s="282">
        <v>0</v>
      </c>
      <c r="F50" s="283">
        <v>0</v>
      </c>
      <c r="G50" s="284"/>
      <c r="H50" s="147"/>
      <c r="I50" s="285">
        <v>1</v>
      </c>
      <c r="J50" s="288">
        <v>3.4430039393564885E-2</v>
      </c>
      <c r="K50" s="287">
        <v>0</v>
      </c>
      <c r="L50" s="288">
        <v>0</v>
      </c>
      <c r="M50" s="286">
        <v>100</v>
      </c>
      <c r="N50" s="287">
        <v>0</v>
      </c>
      <c r="O50" s="288">
        <v>0</v>
      </c>
      <c r="P50" s="286">
        <v>0.77610719728646904</v>
      </c>
      <c r="Q50" s="286">
        <v>0</v>
      </c>
      <c r="R50" s="287">
        <v>1.2215391730305842</v>
      </c>
      <c r="S50" s="286">
        <v>0</v>
      </c>
      <c r="T50" s="286">
        <v>15.748529387732855</v>
      </c>
      <c r="U50" s="286">
        <v>0</v>
      </c>
      <c r="V50" s="287">
        <v>22.431132601586928</v>
      </c>
      <c r="W50" s="288">
        <v>0</v>
      </c>
      <c r="X50" s="286">
        <v>1.7631482566200583</v>
      </c>
      <c r="Y50" s="286">
        <v>0</v>
      </c>
      <c r="Z50" s="287">
        <v>0</v>
      </c>
      <c r="AA50" s="288"/>
      <c r="AB50" s="286"/>
      <c r="AC50" s="287"/>
      <c r="AD50" s="289">
        <v>0</v>
      </c>
      <c r="AE50" s="290">
        <v>0</v>
      </c>
      <c r="AF50" s="289">
        <v>0</v>
      </c>
      <c r="AG50" s="290">
        <v>0</v>
      </c>
      <c r="AH50" s="284">
        <v>0</v>
      </c>
      <c r="AI50" s="147">
        <v>0</v>
      </c>
      <c r="AJ50" s="291">
        <v>0</v>
      </c>
      <c r="AK50" s="292">
        <v>0</v>
      </c>
    </row>
    <row r="51" spans="1:37">
      <c r="A51" s="281">
        <v>0.76381909547738625</v>
      </c>
      <c r="B51" s="281">
        <v>13629.58793969848</v>
      </c>
      <c r="C51" s="282">
        <v>8684.2864321608122</v>
      </c>
      <c r="D51" s="282">
        <v>168.59296482412103</v>
      </c>
      <c r="E51" s="282">
        <v>0</v>
      </c>
      <c r="F51" s="283">
        <v>0</v>
      </c>
      <c r="G51" s="284"/>
      <c r="H51" s="147"/>
      <c r="I51" s="285">
        <v>1</v>
      </c>
      <c r="J51" s="288">
        <v>3.4430039393564885E-2</v>
      </c>
      <c r="K51" s="287">
        <v>0</v>
      </c>
      <c r="L51" s="288">
        <v>0</v>
      </c>
      <c r="M51" s="286">
        <v>100</v>
      </c>
      <c r="N51" s="287">
        <v>0</v>
      </c>
      <c r="O51" s="288">
        <v>0</v>
      </c>
      <c r="P51" s="286">
        <v>0.77601862951151779</v>
      </c>
      <c r="Q51" s="286">
        <v>0</v>
      </c>
      <c r="R51" s="287">
        <v>1.2215030368007398</v>
      </c>
      <c r="S51" s="286">
        <v>0</v>
      </c>
      <c r="T51" s="286">
        <v>15.748297767451092</v>
      </c>
      <c r="U51" s="286">
        <v>0</v>
      </c>
      <c r="V51" s="287">
        <v>22.432351584387138</v>
      </c>
      <c r="W51" s="288">
        <v>0</v>
      </c>
      <c r="X51" s="286">
        <v>1.7642072583195016</v>
      </c>
      <c r="Y51" s="286">
        <v>0</v>
      </c>
      <c r="Z51" s="287">
        <v>0</v>
      </c>
      <c r="AA51" s="288"/>
      <c r="AB51" s="286"/>
      <c r="AC51" s="287"/>
      <c r="AD51" s="289">
        <v>0</v>
      </c>
      <c r="AE51" s="290">
        <v>0</v>
      </c>
      <c r="AF51" s="289">
        <v>0</v>
      </c>
      <c r="AG51" s="290">
        <v>0</v>
      </c>
      <c r="AH51" s="284">
        <v>0</v>
      </c>
      <c r="AI51" s="147">
        <v>0</v>
      </c>
      <c r="AJ51" s="291">
        <v>0</v>
      </c>
      <c r="AK51" s="292">
        <v>0</v>
      </c>
    </row>
    <row r="52" spans="1:37">
      <c r="A52" s="281">
        <v>0.75879396984924552</v>
      </c>
      <c r="B52" s="281">
        <v>13539.919597989938</v>
      </c>
      <c r="C52" s="282">
        <v>8651.9095477387018</v>
      </c>
      <c r="D52" s="282">
        <v>168.28643216080445</v>
      </c>
      <c r="E52" s="282">
        <v>0</v>
      </c>
      <c r="F52" s="283">
        <v>0</v>
      </c>
      <c r="G52" s="284"/>
      <c r="H52" s="147"/>
      <c r="I52" s="285">
        <v>1</v>
      </c>
      <c r="J52" s="288">
        <v>3.4430039393564885E-2</v>
      </c>
      <c r="K52" s="287">
        <v>0</v>
      </c>
      <c r="L52" s="288">
        <v>0</v>
      </c>
      <c r="M52" s="286">
        <v>100</v>
      </c>
      <c r="N52" s="287">
        <v>0</v>
      </c>
      <c r="O52" s="288">
        <v>0</v>
      </c>
      <c r="P52" s="286">
        <v>0.77592987195002405</v>
      </c>
      <c r="Q52" s="286">
        <v>0</v>
      </c>
      <c r="R52" s="287">
        <v>1.2214668915994966</v>
      </c>
      <c r="S52" s="286">
        <v>0</v>
      </c>
      <c r="T52" s="286">
        <v>15.748062809922102</v>
      </c>
      <c r="U52" s="286">
        <v>0</v>
      </c>
      <c r="V52" s="287">
        <v>22.433570653021018</v>
      </c>
      <c r="W52" s="288">
        <v>0</v>
      </c>
      <c r="X52" s="286">
        <v>1.7652802206607223</v>
      </c>
      <c r="Y52" s="286">
        <v>0</v>
      </c>
      <c r="Z52" s="287">
        <v>0</v>
      </c>
      <c r="AA52" s="288"/>
      <c r="AB52" s="286"/>
      <c r="AC52" s="287"/>
      <c r="AD52" s="289">
        <v>0</v>
      </c>
      <c r="AE52" s="290">
        <v>0</v>
      </c>
      <c r="AF52" s="289">
        <v>0</v>
      </c>
      <c r="AG52" s="290">
        <v>0</v>
      </c>
      <c r="AH52" s="284">
        <v>0</v>
      </c>
      <c r="AI52" s="147">
        <v>0</v>
      </c>
      <c r="AJ52" s="291">
        <v>0</v>
      </c>
      <c r="AK52" s="292">
        <v>0</v>
      </c>
    </row>
    <row r="53" spans="1:37">
      <c r="A53" s="281">
        <v>0.75376884422110491</v>
      </c>
      <c r="B53" s="281">
        <v>13450.251256281395</v>
      </c>
      <c r="C53" s="282">
        <v>8619.5326633165914</v>
      </c>
      <c r="D53" s="282">
        <v>167.97989949748788</v>
      </c>
      <c r="E53" s="282">
        <v>0</v>
      </c>
      <c r="F53" s="283">
        <v>0</v>
      </c>
      <c r="G53" s="284"/>
      <c r="H53" s="147"/>
      <c r="I53" s="285">
        <v>1</v>
      </c>
      <c r="J53" s="288">
        <v>3.4430039393564885E-2</v>
      </c>
      <c r="K53" s="287">
        <v>0</v>
      </c>
      <c r="L53" s="288">
        <v>0</v>
      </c>
      <c r="M53" s="286">
        <v>100</v>
      </c>
      <c r="N53" s="287">
        <v>0</v>
      </c>
      <c r="O53" s="288">
        <v>0</v>
      </c>
      <c r="P53" s="286">
        <v>0.77584092376269853</v>
      </c>
      <c r="Q53" s="286">
        <v>0</v>
      </c>
      <c r="R53" s="287">
        <v>1.2214307374036313</v>
      </c>
      <c r="S53" s="286">
        <v>0</v>
      </c>
      <c r="T53" s="286">
        <v>15.747824499787372</v>
      </c>
      <c r="U53" s="286">
        <v>0</v>
      </c>
      <c r="V53" s="287">
        <v>22.434789807342707</v>
      </c>
      <c r="W53" s="288">
        <v>0</v>
      </c>
      <c r="X53" s="286">
        <v>1.7663671453675853</v>
      </c>
      <c r="Y53" s="286">
        <v>0</v>
      </c>
      <c r="Z53" s="287">
        <v>0</v>
      </c>
      <c r="AA53" s="288"/>
      <c r="AB53" s="286"/>
      <c r="AC53" s="287"/>
      <c r="AD53" s="289">
        <v>0</v>
      </c>
      <c r="AE53" s="290">
        <v>0</v>
      </c>
      <c r="AF53" s="289">
        <v>0</v>
      </c>
      <c r="AG53" s="290">
        <v>0</v>
      </c>
      <c r="AH53" s="284">
        <v>0</v>
      </c>
      <c r="AI53" s="147">
        <v>0</v>
      </c>
      <c r="AJ53" s="291">
        <v>0</v>
      </c>
      <c r="AK53" s="292">
        <v>0</v>
      </c>
    </row>
    <row r="54" spans="1:37">
      <c r="A54" s="281">
        <v>0.74874371859296418</v>
      </c>
      <c r="B54" s="281">
        <v>13360.582914572853</v>
      </c>
      <c r="C54" s="282">
        <v>8587.155778894481</v>
      </c>
      <c r="D54" s="282">
        <v>167.6733668341713</v>
      </c>
      <c r="E54" s="282">
        <v>0</v>
      </c>
      <c r="F54" s="283">
        <v>0</v>
      </c>
      <c r="G54" s="284"/>
      <c r="H54" s="147"/>
      <c r="I54" s="285">
        <v>1</v>
      </c>
      <c r="J54" s="288">
        <v>3.4430039393564885E-2</v>
      </c>
      <c r="K54" s="287">
        <v>0</v>
      </c>
      <c r="L54" s="288">
        <v>0</v>
      </c>
      <c r="M54" s="286">
        <v>100</v>
      </c>
      <c r="N54" s="287">
        <v>0</v>
      </c>
      <c r="O54" s="288">
        <v>0</v>
      </c>
      <c r="P54" s="286">
        <v>0.77575178410495005</v>
      </c>
      <c r="Q54" s="286">
        <v>0</v>
      </c>
      <c r="R54" s="287">
        <v>1.2213945741898495</v>
      </c>
      <c r="S54" s="286">
        <v>0</v>
      </c>
      <c r="T54" s="286">
        <v>15.747582821590523</v>
      </c>
      <c r="U54" s="286">
        <v>0</v>
      </c>
      <c r="V54" s="287">
        <v>22.436009047205506</v>
      </c>
      <c r="W54" s="288">
        <v>0</v>
      </c>
      <c r="X54" s="286">
        <v>1.7674680345158702</v>
      </c>
      <c r="Y54" s="286">
        <v>0</v>
      </c>
      <c r="Z54" s="287">
        <v>0</v>
      </c>
      <c r="AA54" s="288"/>
      <c r="AB54" s="286"/>
      <c r="AC54" s="287"/>
      <c r="AD54" s="289">
        <v>0</v>
      </c>
      <c r="AE54" s="290">
        <v>0</v>
      </c>
      <c r="AF54" s="289">
        <v>0</v>
      </c>
      <c r="AG54" s="290">
        <v>0</v>
      </c>
      <c r="AH54" s="284">
        <v>0</v>
      </c>
      <c r="AI54" s="147">
        <v>0</v>
      </c>
      <c r="AJ54" s="291">
        <v>0</v>
      </c>
      <c r="AK54" s="292">
        <v>0</v>
      </c>
    </row>
    <row r="55" spans="1:37">
      <c r="A55" s="281">
        <v>0.74371859296482346</v>
      </c>
      <c r="B55" s="281">
        <v>13270.914572864311</v>
      </c>
      <c r="C55" s="282">
        <v>8554.7788944723707</v>
      </c>
      <c r="D55" s="282">
        <v>167.36683417085473</v>
      </c>
      <c r="E55" s="282">
        <v>0</v>
      </c>
      <c r="F55" s="283">
        <v>0</v>
      </c>
      <c r="G55" s="284"/>
      <c r="H55" s="147"/>
      <c r="I55" s="285">
        <v>1</v>
      </c>
      <c r="J55" s="288">
        <v>3.4430039393564885E-2</v>
      </c>
      <c r="K55" s="287">
        <v>0</v>
      </c>
      <c r="L55" s="288">
        <v>0</v>
      </c>
      <c r="M55" s="286">
        <v>100</v>
      </c>
      <c r="N55" s="287">
        <v>0</v>
      </c>
      <c r="O55" s="288">
        <v>0</v>
      </c>
      <c r="P55" s="286">
        <v>0.77566245212683926</v>
      </c>
      <c r="Q55" s="286">
        <v>0</v>
      </c>
      <c r="R55" s="287">
        <v>1.2213584019347929</v>
      </c>
      <c r="S55" s="286">
        <v>0</v>
      </c>
      <c r="T55" s="286">
        <v>15.747337759776517</v>
      </c>
      <c r="U55" s="286">
        <v>0</v>
      </c>
      <c r="V55" s="287">
        <v>22.437228372461909</v>
      </c>
      <c r="W55" s="288">
        <v>0</v>
      </c>
      <c r="X55" s="286">
        <v>1.7685828905315917</v>
      </c>
      <c r="Y55" s="286">
        <v>0</v>
      </c>
      <c r="Z55" s="287">
        <v>0</v>
      </c>
      <c r="AA55" s="288"/>
      <c r="AB55" s="286"/>
      <c r="AC55" s="287"/>
      <c r="AD55" s="289">
        <v>0</v>
      </c>
      <c r="AE55" s="290">
        <v>0</v>
      </c>
      <c r="AF55" s="289">
        <v>0</v>
      </c>
      <c r="AG55" s="290">
        <v>0</v>
      </c>
      <c r="AH55" s="284">
        <v>0</v>
      </c>
      <c r="AI55" s="147">
        <v>0</v>
      </c>
      <c r="AJ55" s="291">
        <v>0</v>
      </c>
      <c r="AK55" s="292">
        <v>0</v>
      </c>
    </row>
    <row r="56" spans="1:37">
      <c r="A56" s="281">
        <v>0.73869346733668284</v>
      </c>
      <c r="B56" s="281">
        <v>13181.246231155768</v>
      </c>
      <c r="C56" s="282">
        <v>8522.4020100502603</v>
      </c>
      <c r="D56" s="282">
        <v>167.06030150753816</v>
      </c>
      <c r="E56" s="282">
        <v>0</v>
      </c>
      <c r="F56" s="283">
        <v>0</v>
      </c>
      <c r="G56" s="284"/>
      <c r="H56" s="147"/>
      <c r="I56" s="285">
        <v>1</v>
      </c>
      <c r="J56" s="288">
        <v>3.4430039393564885E-2</v>
      </c>
      <c r="K56" s="287">
        <v>0</v>
      </c>
      <c r="L56" s="288">
        <v>0</v>
      </c>
      <c r="M56" s="286">
        <v>100</v>
      </c>
      <c r="N56" s="287">
        <v>0</v>
      </c>
      <c r="O56" s="288">
        <v>0</v>
      </c>
      <c r="P56" s="286">
        <v>0.77557292697303737</v>
      </c>
      <c r="Q56" s="286">
        <v>0</v>
      </c>
      <c r="R56" s="287">
        <v>1.2213222206150232</v>
      </c>
      <c r="S56" s="286">
        <v>0</v>
      </c>
      <c r="T56" s="286">
        <v>15.747089298690856</v>
      </c>
      <c r="U56" s="286">
        <v>0</v>
      </c>
      <c r="V56" s="287">
        <v>22.438447782963479</v>
      </c>
      <c r="W56" s="288">
        <v>0</v>
      </c>
      <c r="X56" s="286">
        <v>1.7697117161892719</v>
      </c>
      <c r="Y56" s="286">
        <v>0</v>
      </c>
      <c r="Z56" s="287">
        <v>0</v>
      </c>
      <c r="AA56" s="288"/>
      <c r="AB56" s="286"/>
      <c r="AC56" s="287"/>
      <c r="AD56" s="289">
        <v>0</v>
      </c>
      <c r="AE56" s="290">
        <v>0</v>
      </c>
      <c r="AF56" s="289">
        <v>0</v>
      </c>
      <c r="AG56" s="290">
        <v>0</v>
      </c>
      <c r="AH56" s="284">
        <v>0</v>
      </c>
      <c r="AI56" s="147">
        <v>0</v>
      </c>
      <c r="AJ56" s="291">
        <v>0</v>
      </c>
      <c r="AK56" s="292">
        <v>0</v>
      </c>
    </row>
    <row r="57" spans="1:37">
      <c r="A57" s="281">
        <v>0.73366834170854212</v>
      </c>
      <c r="B57" s="281">
        <v>13091.577889447226</v>
      </c>
      <c r="C57" s="282">
        <v>8490.0251256281499</v>
      </c>
      <c r="D57" s="282">
        <v>166.75376884422158</v>
      </c>
      <c r="E57" s="282">
        <v>0</v>
      </c>
      <c r="F57" s="283">
        <v>0</v>
      </c>
      <c r="G57" s="284"/>
      <c r="H57" s="147"/>
      <c r="I57" s="285">
        <v>1</v>
      </c>
      <c r="J57" s="288">
        <v>3.4430039393564885E-2</v>
      </c>
      <c r="K57" s="287">
        <v>0</v>
      </c>
      <c r="L57" s="288">
        <v>0</v>
      </c>
      <c r="M57" s="286">
        <v>100</v>
      </c>
      <c r="N57" s="287">
        <v>0</v>
      </c>
      <c r="O57" s="288">
        <v>0</v>
      </c>
      <c r="P57" s="286">
        <v>0.77548320778277668</v>
      </c>
      <c r="Q57" s="286">
        <v>0</v>
      </c>
      <c r="R57" s="287">
        <v>1.221286030207031</v>
      </c>
      <c r="S57" s="286">
        <v>0</v>
      </c>
      <c r="T57" s="286">
        <v>15.746837422578672</v>
      </c>
      <c r="U57" s="286">
        <v>0</v>
      </c>
      <c r="V57" s="287">
        <v>22.439667278560947</v>
      </c>
      <c r="W57" s="288">
        <v>0</v>
      </c>
      <c r="X57" s="286">
        <v>1.7708545146102326</v>
      </c>
      <c r="Y57" s="286">
        <v>0</v>
      </c>
      <c r="Z57" s="287">
        <v>0</v>
      </c>
      <c r="AA57" s="288"/>
      <c r="AB57" s="286"/>
      <c r="AC57" s="287"/>
      <c r="AD57" s="289">
        <v>0</v>
      </c>
      <c r="AE57" s="290">
        <v>0</v>
      </c>
      <c r="AF57" s="289">
        <v>0</v>
      </c>
      <c r="AG57" s="290">
        <v>0</v>
      </c>
      <c r="AH57" s="284">
        <v>0</v>
      </c>
      <c r="AI57" s="147">
        <v>0</v>
      </c>
      <c r="AJ57" s="291">
        <v>0</v>
      </c>
      <c r="AK57" s="292">
        <v>0</v>
      </c>
    </row>
    <row r="58" spans="1:37">
      <c r="A58" s="281">
        <v>0.7286432160804015</v>
      </c>
      <c r="B58" s="281">
        <v>13001.909547738684</v>
      </c>
      <c r="C58" s="282">
        <v>8457.6482412060395</v>
      </c>
      <c r="D58" s="282">
        <v>166.44723618090501</v>
      </c>
      <c r="E58" s="282">
        <v>0</v>
      </c>
      <c r="F58" s="283">
        <v>0</v>
      </c>
      <c r="G58" s="284"/>
      <c r="H58" s="147"/>
      <c r="I58" s="285">
        <v>1</v>
      </c>
      <c r="J58" s="288">
        <v>3.4430039393564885E-2</v>
      </c>
      <c r="K58" s="287">
        <v>0</v>
      </c>
      <c r="L58" s="288">
        <v>0</v>
      </c>
      <c r="M58" s="286">
        <v>100</v>
      </c>
      <c r="N58" s="287">
        <v>0</v>
      </c>
      <c r="O58" s="288">
        <v>0</v>
      </c>
      <c r="P58" s="286">
        <v>0.77539329368980825</v>
      </c>
      <c r="Q58" s="286">
        <v>0</v>
      </c>
      <c r="R58" s="287">
        <v>1.221249830687237</v>
      </c>
      <c r="S58" s="286">
        <v>0</v>
      </c>
      <c r="T58" s="286">
        <v>15.74658211558396</v>
      </c>
      <c r="U58" s="286">
        <v>0</v>
      </c>
      <c r="V58" s="287">
        <v>22.440886859104161</v>
      </c>
      <c r="W58" s="288">
        <v>0</v>
      </c>
      <c r="X58" s="286">
        <v>1.7720112892609057</v>
      </c>
      <c r="Y58" s="286">
        <v>0</v>
      </c>
      <c r="Z58" s="287">
        <v>0</v>
      </c>
      <c r="AA58" s="288"/>
      <c r="AB58" s="286"/>
      <c r="AC58" s="287"/>
      <c r="AD58" s="289">
        <v>0</v>
      </c>
      <c r="AE58" s="290">
        <v>0</v>
      </c>
      <c r="AF58" s="289">
        <v>0</v>
      </c>
      <c r="AG58" s="290">
        <v>0</v>
      </c>
      <c r="AH58" s="284">
        <v>0</v>
      </c>
      <c r="AI58" s="147">
        <v>0</v>
      </c>
      <c r="AJ58" s="291">
        <v>0</v>
      </c>
      <c r="AK58" s="292">
        <v>0</v>
      </c>
    </row>
    <row r="59" spans="1:37">
      <c r="A59" s="281">
        <v>0.72361809045226078</v>
      </c>
      <c r="B59" s="281">
        <v>12912.241206030141</v>
      </c>
      <c r="C59" s="282">
        <v>8425.2713567839291</v>
      </c>
      <c r="D59" s="282">
        <v>166.14070351758843</v>
      </c>
      <c r="E59" s="282">
        <v>0</v>
      </c>
      <c r="F59" s="283">
        <v>0</v>
      </c>
      <c r="G59" s="284"/>
      <c r="H59" s="147"/>
      <c r="I59" s="285">
        <v>1</v>
      </c>
      <c r="J59" s="288">
        <v>3.4430039393564885E-2</v>
      </c>
      <c r="K59" s="287">
        <v>0</v>
      </c>
      <c r="L59" s="288">
        <v>0</v>
      </c>
      <c r="M59" s="286">
        <v>100</v>
      </c>
      <c r="N59" s="287">
        <v>0</v>
      </c>
      <c r="O59" s="288">
        <v>0</v>
      </c>
      <c r="P59" s="286">
        <v>0.77530318382235541</v>
      </c>
      <c r="Q59" s="286">
        <v>0</v>
      </c>
      <c r="R59" s="287">
        <v>1.2212136220319942</v>
      </c>
      <c r="S59" s="286">
        <v>0</v>
      </c>
      <c r="T59" s="286">
        <v>15.746323361748706</v>
      </c>
      <c r="U59" s="286">
        <v>0</v>
      </c>
      <c r="V59" s="287">
        <v>22.442106524442163</v>
      </c>
      <c r="W59" s="288">
        <v>0</v>
      </c>
      <c r="X59" s="286">
        <v>1.7731820439511872</v>
      </c>
      <c r="Y59" s="286">
        <v>0</v>
      </c>
      <c r="Z59" s="287">
        <v>0</v>
      </c>
      <c r="AA59" s="288"/>
      <c r="AB59" s="286"/>
      <c r="AC59" s="287"/>
      <c r="AD59" s="289">
        <v>0</v>
      </c>
      <c r="AE59" s="290">
        <v>0</v>
      </c>
      <c r="AF59" s="289">
        <v>0</v>
      </c>
      <c r="AG59" s="290">
        <v>0</v>
      </c>
      <c r="AH59" s="284">
        <v>0</v>
      </c>
      <c r="AI59" s="147">
        <v>0</v>
      </c>
      <c r="AJ59" s="291">
        <v>0</v>
      </c>
      <c r="AK59" s="292">
        <v>0</v>
      </c>
    </row>
    <row r="60" spans="1:37">
      <c r="A60" s="281">
        <v>0.71859296482412005</v>
      </c>
      <c r="B60" s="281">
        <v>12822.572864321599</v>
      </c>
      <c r="C60" s="282">
        <v>8392.8944723618188</v>
      </c>
      <c r="D60" s="282">
        <v>165.83417085427186</v>
      </c>
      <c r="E60" s="282">
        <v>0</v>
      </c>
      <c r="F60" s="283">
        <v>0</v>
      </c>
      <c r="G60" s="284"/>
      <c r="H60" s="147"/>
      <c r="I60" s="285">
        <v>1</v>
      </c>
      <c r="J60" s="288">
        <v>3.4430039393564885E-2</v>
      </c>
      <c r="K60" s="287">
        <v>0</v>
      </c>
      <c r="L60" s="288">
        <v>0</v>
      </c>
      <c r="M60" s="286">
        <v>100</v>
      </c>
      <c r="N60" s="287">
        <v>0</v>
      </c>
      <c r="O60" s="288">
        <v>0</v>
      </c>
      <c r="P60" s="286">
        <v>0.77521287730306454</v>
      </c>
      <c r="Q60" s="286">
        <v>0</v>
      </c>
      <c r="R60" s="287">
        <v>1.2211774042175811</v>
      </c>
      <c r="S60" s="286">
        <v>0</v>
      </c>
      <c r="T60" s="286">
        <v>15.746061145011991</v>
      </c>
      <c r="U60" s="286">
        <v>0</v>
      </c>
      <c r="V60" s="287">
        <v>22.443326274423104</v>
      </c>
      <c r="W60" s="288">
        <v>0</v>
      </c>
      <c r="X60" s="286">
        <v>1.7743667828327245</v>
      </c>
      <c r="Y60" s="286">
        <v>0</v>
      </c>
      <c r="Z60" s="287">
        <v>0</v>
      </c>
      <c r="AA60" s="288"/>
      <c r="AB60" s="286"/>
      <c r="AC60" s="287"/>
      <c r="AD60" s="289">
        <v>0</v>
      </c>
      <c r="AE60" s="290">
        <v>0</v>
      </c>
      <c r="AF60" s="289">
        <v>0</v>
      </c>
      <c r="AG60" s="290">
        <v>0</v>
      </c>
      <c r="AH60" s="284">
        <v>0</v>
      </c>
      <c r="AI60" s="147">
        <v>0</v>
      </c>
      <c r="AJ60" s="291">
        <v>0</v>
      </c>
      <c r="AK60" s="292">
        <v>0</v>
      </c>
    </row>
    <row r="61" spans="1:37">
      <c r="A61" s="281">
        <v>0.71356783919597944</v>
      </c>
      <c r="B61" s="281">
        <v>12732.904522613057</v>
      </c>
      <c r="C61" s="282">
        <v>8360.5175879397084</v>
      </c>
      <c r="D61" s="282">
        <v>165.52763819095529</v>
      </c>
      <c r="E61" s="282">
        <v>0</v>
      </c>
      <c r="F61" s="283">
        <v>0</v>
      </c>
      <c r="G61" s="284"/>
      <c r="H61" s="147"/>
      <c r="I61" s="285">
        <v>1</v>
      </c>
      <c r="J61" s="288">
        <v>3.4430039393564885E-2</v>
      </c>
      <c r="K61" s="287">
        <v>0</v>
      </c>
      <c r="L61" s="288">
        <v>0</v>
      </c>
      <c r="M61" s="286">
        <v>100</v>
      </c>
      <c r="N61" s="287">
        <v>0</v>
      </c>
      <c r="O61" s="288">
        <v>0</v>
      </c>
      <c r="P61" s="286">
        <v>0.77512237324896149</v>
      </c>
      <c r="Q61" s="286">
        <v>0</v>
      </c>
      <c r="R61" s="287">
        <v>1.2211411772202001</v>
      </c>
      <c r="S61" s="286">
        <v>0</v>
      </c>
      <c r="T61" s="286">
        <v>15.745795449209146</v>
      </c>
      <c r="U61" s="286">
        <v>0</v>
      </c>
      <c r="V61" s="287">
        <v>22.444546108894226</v>
      </c>
      <c r="W61" s="288">
        <v>0</v>
      </c>
      <c r="X61" s="286">
        <v>1.7755655103973211</v>
      </c>
      <c r="Y61" s="286">
        <v>0</v>
      </c>
      <c r="Z61" s="287">
        <v>0</v>
      </c>
      <c r="AA61" s="288"/>
      <c r="AB61" s="286"/>
      <c r="AC61" s="287"/>
      <c r="AD61" s="289">
        <v>0</v>
      </c>
      <c r="AE61" s="290">
        <v>0</v>
      </c>
      <c r="AF61" s="289">
        <v>0</v>
      </c>
      <c r="AG61" s="290">
        <v>0</v>
      </c>
      <c r="AH61" s="284">
        <v>0</v>
      </c>
      <c r="AI61" s="147">
        <v>0</v>
      </c>
      <c r="AJ61" s="291">
        <v>0</v>
      </c>
      <c r="AK61" s="292">
        <v>0</v>
      </c>
    </row>
    <row r="62" spans="1:37">
      <c r="A62" s="281">
        <v>0.70854271356783871</v>
      </c>
      <c r="B62" s="281">
        <v>12643.236180904514</v>
      </c>
      <c r="C62" s="282">
        <v>8328.140703517598</v>
      </c>
      <c r="D62" s="282">
        <v>165.22110552763871</v>
      </c>
      <c r="E62" s="282">
        <v>0</v>
      </c>
      <c r="F62" s="283">
        <v>0</v>
      </c>
      <c r="G62" s="284"/>
      <c r="H62" s="147"/>
      <c r="I62" s="285">
        <v>1</v>
      </c>
      <c r="J62" s="288">
        <v>3.4430039393564885E-2</v>
      </c>
      <c r="K62" s="287">
        <v>0</v>
      </c>
      <c r="L62" s="288">
        <v>0</v>
      </c>
      <c r="M62" s="286">
        <v>100</v>
      </c>
      <c r="N62" s="287">
        <v>0</v>
      </c>
      <c r="O62" s="288">
        <v>0</v>
      </c>
      <c r="P62" s="286">
        <v>0.77503167077140089</v>
      </c>
      <c r="Q62" s="286">
        <v>0</v>
      </c>
      <c r="R62" s="287">
        <v>1.2211049410159787</v>
      </c>
      <c r="S62" s="286">
        <v>0</v>
      </c>
      <c r="T62" s="286">
        <v>15.745526258070887</v>
      </c>
      <c r="U62" s="286">
        <v>0</v>
      </c>
      <c r="V62" s="287">
        <v>22.445766027701865</v>
      </c>
      <c r="W62" s="288">
        <v>0</v>
      </c>
      <c r="X62" s="286">
        <v>1.7767782314752885</v>
      </c>
      <c r="Y62" s="286">
        <v>0</v>
      </c>
      <c r="Z62" s="287">
        <v>0</v>
      </c>
      <c r="AA62" s="288"/>
      <c r="AB62" s="286"/>
      <c r="AC62" s="287"/>
      <c r="AD62" s="289">
        <v>0</v>
      </c>
      <c r="AE62" s="290">
        <v>0</v>
      </c>
      <c r="AF62" s="289">
        <v>0</v>
      </c>
      <c r="AG62" s="290">
        <v>0</v>
      </c>
      <c r="AH62" s="284">
        <v>0</v>
      </c>
      <c r="AI62" s="147">
        <v>0</v>
      </c>
      <c r="AJ62" s="291">
        <v>0</v>
      </c>
      <c r="AK62" s="292">
        <v>0</v>
      </c>
    </row>
    <row r="63" spans="1:37">
      <c r="A63" s="281">
        <v>0.70351758793969799</v>
      </c>
      <c r="B63" s="281">
        <v>12553.567839195972</v>
      </c>
      <c r="C63" s="282">
        <v>8295.7638190954876</v>
      </c>
      <c r="D63" s="282">
        <v>164.91457286432214</v>
      </c>
      <c r="E63" s="282">
        <v>0</v>
      </c>
      <c r="F63" s="283">
        <v>0</v>
      </c>
      <c r="G63" s="284"/>
      <c r="H63" s="147"/>
      <c r="I63" s="285">
        <v>1</v>
      </c>
      <c r="J63" s="288">
        <v>3.4430039393564885E-2</v>
      </c>
      <c r="K63" s="287">
        <v>0</v>
      </c>
      <c r="L63" s="288">
        <v>0</v>
      </c>
      <c r="M63" s="286">
        <v>100</v>
      </c>
      <c r="N63" s="287">
        <v>0</v>
      </c>
      <c r="O63" s="288">
        <v>0</v>
      </c>
      <c r="P63" s="286">
        <v>0.77494076897601916</v>
      </c>
      <c r="Q63" s="286">
        <v>0</v>
      </c>
      <c r="R63" s="287">
        <v>1.2210686955809842</v>
      </c>
      <c r="S63" s="286">
        <v>0</v>
      </c>
      <c r="T63" s="286">
        <v>15.745253555222382</v>
      </c>
      <c r="U63" s="286">
        <v>0</v>
      </c>
      <c r="V63" s="287">
        <v>22.446986030691601</v>
      </c>
      <c r="W63" s="288">
        <v>0</v>
      </c>
      <c r="X63" s="286">
        <v>1.7780049512337746</v>
      </c>
      <c r="Y63" s="286">
        <v>0</v>
      </c>
      <c r="Z63" s="287">
        <v>0</v>
      </c>
      <c r="AA63" s="288"/>
      <c r="AB63" s="286"/>
      <c r="AC63" s="287"/>
      <c r="AD63" s="289">
        <v>0</v>
      </c>
      <c r="AE63" s="290">
        <v>0</v>
      </c>
      <c r="AF63" s="289">
        <v>0</v>
      </c>
      <c r="AG63" s="290">
        <v>0</v>
      </c>
      <c r="AH63" s="284">
        <v>0</v>
      </c>
      <c r="AI63" s="147">
        <v>0</v>
      </c>
      <c r="AJ63" s="291">
        <v>0</v>
      </c>
      <c r="AK63" s="292">
        <v>0</v>
      </c>
    </row>
    <row r="64" spans="1:37">
      <c r="A64" s="281">
        <v>0.69849246231155737</v>
      </c>
      <c r="B64" s="281">
        <v>12463.899497487429</v>
      </c>
      <c r="C64" s="282">
        <v>8263.3869346733773</v>
      </c>
      <c r="D64" s="282">
        <v>164.60804020100556</v>
      </c>
      <c r="E64" s="282">
        <v>0</v>
      </c>
      <c r="F64" s="283">
        <v>0</v>
      </c>
      <c r="G64" s="284"/>
      <c r="H64" s="147"/>
      <c r="I64" s="285">
        <v>1</v>
      </c>
      <c r="J64" s="288">
        <v>3.4430039393564885E-2</v>
      </c>
      <c r="K64" s="287">
        <v>0</v>
      </c>
      <c r="L64" s="288">
        <v>0</v>
      </c>
      <c r="M64" s="286">
        <v>100</v>
      </c>
      <c r="N64" s="287">
        <v>0</v>
      </c>
      <c r="O64" s="288">
        <v>0</v>
      </c>
      <c r="P64" s="286">
        <v>0.77484966696268653</v>
      </c>
      <c r="Q64" s="286">
        <v>0</v>
      </c>
      <c r="R64" s="287">
        <v>1.2210324408911952</v>
      </c>
      <c r="S64" s="286">
        <v>0</v>
      </c>
      <c r="T64" s="286">
        <v>15.74497732418239</v>
      </c>
      <c r="U64" s="286">
        <v>0</v>
      </c>
      <c r="V64" s="287">
        <v>22.448206117707997</v>
      </c>
      <c r="W64" s="288">
        <v>0</v>
      </c>
      <c r="X64" s="286">
        <v>1.7792456751752188</v>
      </c>
      <c r="Y64" s="286">
        <v>0</v>
      </c>
      <c r="Z64" s="287">
        <v>0</v>
      </c>
      <c r="AA64" s="288"/>
      <c r="AB64" s="286"/>
      <c r="AC64" s="287"/>
      <c r="AD64" s="289">
        <v>0</v>
      </c>
      <c r="AE64" s="290">
        <v>0</v>
      </c>
      <c r="AF64" s="289">
        <v>0</v>
      </c>
      <c r="AG64" s="290">
        <v>0</v>
      </c>
      <c r="AH64" s="284">
        <v>0</v>
      </c>
      <c r="AI64" s="147">
        <v>0</v>
      </c>
      <c r="AJ64" s="291">
        <v>0</v>
      </c>
      <c r="AK64" s="292">
        <v>0</v>
      </c>
    </row>
    <row r="65" spans="1:37">
      <c r="A65" s="281">
        <v>0.69346733668341665</v>
      </c>
      <c r="B65" s="281">
        <v>12374.231155778887</v>
      </c>
      <c r="C65" s="282">
        <v>8231.0100502512669</v>
      </c>
      <c r="D65" s="282">
        <v>164.30150753768899</v>
      </c>
      <c r="E65" s="282">
        <v>0</v>
      </c>
      <c r="F65" s="283">
        <v>0</v>
      </c>
      <c r="G65" s="284"/>
      <c r="H65" s="147"/>
      <c r="I65" s="285">
        <v>1</v>
      </c>
      <c r="J65" s="288">
        <v>3.4430039393564885E-2</v>
      </c>
      <c r="K65" s="287">
        <v>0</v>
      </c>
      <c r="L65" s="288">
        <v>0</v>
      </c>
      <c r="M65" s="286">
        <v>100</v>
      </c>
      <c r="N65" s="287">
        <v>0</v>
      </c>
      <c r="O65" s="288">
        <v>0</v>
      </c>
      <c r="P65" s="286">
        <v>0.77475836382545937</v>
      </c>
      <c r="Q65" s="286">
        <v>0</v>
      </c>
      <c r="R65" s="287">
        <v>1.2209961769225255</v>
      </c>
      <c r="S65" s="286">
        <v>0</v>
      </c>
      <c r="T65" s="286">
        <v>15.74469754836236</v>
      </c>
      <c r="U65" s="286">
        <v>0</v>
      </c>
      <c r="V65" s="287">
        <v>22.449426288594783</v>
      </c>
      <c r="W65" s="288">
        <v>0</v>
      </c>
      <c r="X65" s="286">
        <v>1.7805004091357024</v>
      </c>
      <c r="Y65" s="286">
        <v>0</v>
      </c>
      <c r="Z65" s="287">
        <v>0</v>
      </c>
      <c r="AA65" s="288"/>
      <c r="AB65" s="286"/>
      <c r="AC65" s="287"/>
      <c r="AD65" s="289">
        <v>0</v>
      </c>
      <c r="AE65" s="290">
        <v>0</v>
      </c>
      <c r="AF65" s="289">
        <v>0</v>
      </c>
      <c r="AG65" s="290">
        <v>0</v>
      </c>
      <c r="AH65" s="284">
        <v>0</v>
      </c>
      <c r="AI65" s="147">
        <v>0</v>
      </c>
      <c r="AJ65" s="291">
        <v>0</v>
      </c>
      <c r="AK65" s="292">
        <v>0</v>
      </c>
    </row>
    <row r="66" spans="1:37">
      <c r="A66" s="281">
        <v>0.68844221105527603</v>
      </c>
      <c r="B66" s="281">
        <v>12284.562814070345</v>
      </c>
      <c r="C66" s="282">
        <v>8198.6331658291565</v>
      </c>
      <c r="D66" s="282">
        <v>163.99497487437242</v>
      </c>
      <c r="E66" s="282">
        <v>0</v>
      </c>
      <c r="F66" s="283">
        <v>0</v>
      </c>
      <c r="G66" s="284"/>
      <c r="H66" s="147"/>
      <c r="I66" s="285">
        <v>1</v>
      </c>
      <c r="J66" s="288">
        <v>3.4430039393564885E-2</v>
      </c>
      <c r="K66" s="287">
        <v>0</v>
      </c>
      <c r="L66" s="288">
        <v>0</v>
      </c>
      <c r="M66" s="286">
        <v>100</v>
      </c>
      <c r="N66" s="287">
        <v>0</v>
      </c>
      <c r="O66" s="288">
        <v>0</v>
      </c>
      <c r="P66" s="286">
        <v>0.77466685865252427</v>
      </c>
      <c r="Q66" s="286">
        <v>0</v>
      </c>
      <c r="R66" s="287">
        <v>1.2209599036508101</v>
      </c>
      <c r="S66" s="286">
        <v>0</v>
      </c>
      <c r="T66" s="286">
        <v>15.74441421106545</v>
      </c>
      <c r="U66" s="286">
        <v>0</v>
      </c>
      <c r="V66" s="287">
        <v>22.450646543194757</v>
      </c>
      <c r="W66" s="288">
        <v>0</v>
      </c>
      <c r="X66" s="286">
        <v>1.7817691592833522</v>
      </c>
      <c r="Y66" s="286">
        <v>0</v>
      </c>
      <c r="Z66" s="287">
        <v>0</v>
      </c>
      <c r="AA66" s="288"/>
      <c r="AB66" s="286"/>
      <c r="AC66" s="287"/>
      <c r="AD66" s="289">
        <v>0</v>
      </c>
      <c r="AE66" s="290">
        <v>0</v>
      </c>
      <c r="AF66" s="289">
        <v>0</v>
      </c>
      <c r="AG66" s="290">
        <v>0</v>
      </c>
      <c r="AH66" s="284">
        <v>0</v>
      </c>
      <c r="AI66" s="147">
        <v>0</v>
      </c>
      <c r="AJ66" s="291">
        <v>0</v>
      </c>
      <c r="AK66" s="292">
        <v>0</v>
      </c>
    </row>
    <row r="67" spans="1:37">
      <c r="A67" s="281">
        <v>0.68341708542713531</v>
      </c>
      <c r="B67" s="281">
        <v>12194.894472361802</v>
      </c>
      <c r="C67" s="282">
        <v>8166.2562814070461</v>
      </c>
      <c r="D67" s="282">
        <v>163.68844221105584</v>
      </c>
      <c r="E67" s="282">
        <v>0</v>
      </c>
      <c r="F67" s="283">
        <v>0</v>
      </c>
      <c r="G67" s="284"/>
      <c r="H67" s="147"/>
      <c r="I67" s="285">
        <v>1</v>
      </c>
      <c r="J67" s="288">
        <v>3.4430039393564885E-2</v>
      </c>
      <c r="K67" s="287">
        <v>0</v>
      </c>
      <c r="L67" s="288">
        <v>0</v>
      </c>
      <c r="M67" s="286">
        <v>100</v>
      </c>
      <c r="N67" s="287">
        <v>0</v>
      </c>
      <c r="O67" s="288">
        <v>0</v>
      </c>
      <c r="P67" s="286">
        <v>0.77457515052615555</v>
      </c>
      <c r="Q67" s="286">
        <v>0</v>
      </c>
      <c r="R67" s="287">
        <v>1.2209236210518142</v>
      </c>
      <c r="S67" s="286">
        <v>0</v>
      </c>
      <c r="T67" s="286">
        <v>15.744127295485679</v>
      </c>
      <c r="U67" s="286">
        <v>0</v>
      </c>
      <c r="V67" s="287">
        <v>22.451866881349886</v>
      </c>
      <c r="W67" s="288">
        <v>0</v>
      </c>
      <c r="X67" s="286">
        <v>1.7830519321168234</v>
      </c>
      <c r="Y67" s="286">
        <v>0</v>
      </c>
      <c r="Z67" s="287">
        <v>0</v>
      </c>
      <c r="AA67" s="288"/>
      <c r="AB67" s="286"/>
      <c r="AC67" s="287"/>
      <c r="AD67" s="289">
        <v>0</v>
      </c>
      <c r="AE67" s="290">
        <v>0</v>
      </c>
      <c r="AF67" s="289">
        <v>0</v>
      </c>
      <c r="AG67" s="290">
        <v>0</v>
      </c>
      <c r="AH67" s="284">
        <v>0</v>
      </c>
      <c r="AI67" s="147">
        <v>0</v>
      </c>
      <c r="AJ67" s="291">
        <v>0</v>
      </c>
      <c r="AK67" s="292">
        <v>0</v>
      </c>
    </row>
    <row r="68" spans="1:37">
      <c r="A68" s="281">
        <v>0.67839195979899458</v>
      </c>
      <c r="B68" s="281">
        <v>12105.22613065326</v>
      </c>
      <c r="C68" s="282">
        <v>8133.8793969849357</v>
      </c>
      <c r="D68" s="282">
        <v>163.38190954773927</v>
      </c>
      <c r="E68" s="282">
        <v>0</v>
      </c>
      <c r="F68" s="283">
        <v>0</v>
      </c>
      <c r="G68" s="284"/>
      <c r="H68" s="147"/>
      <c r="I68" s="285">
        <v>1</v>
      </c>
      <c r="J68" s="288">
        <v>3.4430039393564885E-2</v>
      </c>
      <c r="K68" s="287">
        <v>0</v>
      </c>
      <c r="L68" s="288">
        <v>0</v>
      </c>
      <c r="M68" s="286">
        <v>100</v>
      </c>
      <c r="N68" s="287">
        <v>0</v>
      </c>
      <c r="O68" s="288">
        <v>0</v>
      </c>
      <c r="P68" s="286">
        <v>0.77448323852265943</v>
      </c>
      <c r="Q68" s="286">
        <v>0</v>
      </c>
      <c r="R68" s="287">
        <v>1.2208873291012281</v>
      </c>
      <c r="S68" s="286">
        <v>0</v>
      </c>
      <c r="T68" s="286">
        <v>15.743836784706936</v>
      </c>
      <c r="U68" s="286">
        <v>0</v>
      </c>
      <c r="V68" s="287">
        <v>22.453087302901196</v>
      </c>
      <c r="W68" s="288">
        <v>0</v>
      </c>
      <c r="X68" s="286">
        <v>1.7843487344636215</v>
      </c>
      <c r="Y68" s="286">
        <v>0</v>
      </c>
      <c r="Z68" s="287">
        <v>0</v>
      </c>
      <c r="AA68" s="288"/>
      <c r="AB68" s="286"/>
      <c r="AC68" s="287"/>
      <c r="AD68" s="289">
        <v>0</v>
      </c>
      <c r="AE68" s="290">
        <v>0</v>
      </c>
      <c r="AF68" s="289">
        <v>0</v>
      </c>
      <c r="AG68" s="290">
        <v>0</v>
      </c>
      <c r="AH68" s="284">
        <v>0</v>
      </c>
      <c r="AI68" s="147">
        <v>0</v>
      </c>
      <c r="AJ68" s="291">
        <v>0</v>
      </c>
      <c r="AK68" s="292">
        <v>0</v>
      </c>
    </row>
    <row r="69" spans="1:37">
      <c r="A69" s="281">
        <v>0.67336683417085397</v>
      </c>
      <c r="B69" s="281">
        <v>12015.557788944718</v>
      </c>
      <c r="C69" s="282">
        <v>8101.5025125628254</v>
      </c>
      <c r="D69" s="282">
        <v>163.0753768844227</v>
      </c>
      <c r="E69" s="282">
        <v>0</v>
      </c>
      <c r="F69" s="283">
        <v>0</v>
      </c>
      <c r="G69" s="284"/>
      <c r="H69" s="147"/>
      <c r="I69" s="285">
        <v>1</v>
      </c>
      <c r="J69" s="288">
        <v>3.4430039393564885E-2</v>
      </c>
      <c r="K69" s="287">
        <v>0</v>
      </c>
      <c r="L69" s="288">
        <v>0</v>
      </c>
      <c r="M69" s="286">
        <v>100</v>
      </c>
      <c r="N69" s="287">
        <v>0</v>
      </c>
      <c r="O69" s="288">
        <v>0</v>
      </c>
      <c r="P69" s="286">
        <v>0.77439112171232416</v>
      </c>
      <c r="Q69" s="286">
        <v>0</v>
      </c>
      <c r="R69" s="287">
        <v>1.2208510277746634</v>
      </c>
      <c r="S69" s="286">
        <v>0</v>
      </c>
      <c r="T69" s="286">
        <v>15.743542661702032</v>
      </c>
      <c r="U69" s="286">
        <v>0</v>
      </c>
      <c r="V69" s="287">
        <v>22.454307807688789</v>
      </c>
      <c r="W69" s="288">
        <v>0</v>
      </c>
      <c r="X69" s="286">
        <v>1.7856595734786451</v>
      </c>
      <c r="Y69" s="286">
        <v>0</v>
      </c>
      <c r="Z69" s="287">
        <v>0</v>
      </c>
      <c r="AA69" s="288"/>
      <c r="AB69" s="286"/>
      <c r="AC69" s="287"/>
      <c r="AD69" s="289">
        <v>0</v>
      </c>
      <c r="AE69" s="290">
        <v>0</v>
      </c>
      <c r="AF69" s="289">
        <v>0</v>
      </c>
      <c r="AG69" s="290">
        <v>0</v>
      </c>
      <c r="AH69" s="284">
        <v>0</v>
      </c>
      <c r="AI69" s="147">
        <v>0</v>
      </c>
      <c r="AJ69" s="291">
        <v>0</v>
      </c>
      <c r="AK69" s="292">
        <v>0</v>
      </c>
    </row>
    <row r="70" spans="1:37">
      <c r="A70" s="281">
        <v>0.66834170854271324</v>
      </c>
      <c r="B70" s="281">
        <v>11925.889447236175</v>
      </c>
      <c r="C70" s="282">
        <v>8069.125628140715</v>
      </c>
      <c r="D70" s="282">
        <v>162.76884422110612</v>
      </c>
      <c r="E70" s="282">
        <v>0</v>
      </c>
      <c r="F70" s="283">
        <v>0</v>
      </c>
      <c r="G70" s="284"/>
      <c r="H70" s="147"/>
      <c r="I70" s="285">
        <v>1</v>
      </c>
      <c r="J70" s="288">
        <v>3.4430039393564885E-2</v>
      </c>
      <c r="K70" s="287">
        <v>0</v>
      </c>
      <c r="L70" s="288">
        <v>0</v>
      </c>
      <c r="M70" s="286">
        <v>100</v>
      </c>
      <c r="N70" s="287">
        <v>0</v>
      </c>
      <c r="O70" s="288">
        <v>0</v>
      </c>
      <c r="P70" s="286">
        <v>0.77429879915936872</v>
      </c>
      <c r="Q70" s="286">
        <v>0</v>
      </c>
      <c r="R70" s="287">
        <v>1.22081471704766</v>
      </c>
      <c r="S70" s="286">
        <v>0</v>
      </c>
      <c r="T70" s="286">
        <v>15.74324490933178</v>
      </c>
      <c r="U70" s="286">
        <v>0</v>
      </c>
      <c r="V70" s="287">
        <v>22.455528395551884</v>
      </c>
      <c r="W70" s="288">
        <v>0</v>
      </c>
      <c r="X70" s="286">
        <v>1.7869844566425328</v>
      </c>
      <c r="Y70" s="286">
        <v>0</v>
      </c>
      <c r="Z70" s="287">
        <v>0</v>
      </c>
      <c r="AA70" s="288"/>
      <c r="AB70" s="286"/>
      <c r="AC70" s="287"/>
      <c r="AD70" s="289">
        <v>0</v>
      </c>
      <c r="AE70" s="290">
        <v>0</v>
      </c>
      <c r="AF70" s="289">
        <v>0</v>
      </c>
      <c r="AG70" s="290">
        <v>0</v>
      </c>
      <c r="AH70" s="284">
        <v>0</v>
      </c>
      <c r="AI70" s="147">
        <v>0</v>
      </c>
      <c r="AJ70" s="291">
        <v>0</v>
      </c>
      <c r="AK70" s="292">
        <v>0</v>
      </c>
    </row>
    <row r="71" spans="1:37">
      <c r="A71" s="281">
        <v>0.66331658291457252</v>
      </c>
      <c r="B71" s="281">
        <v>11836.221105527633</v>
      </c>
      <c r="C71" s="282">
        <v>8036.7487437186046</v>
      </c>
      <c r="D71" s="282">
        <v>162.46231155778955</v>
      </c>
      <c r="E71" s="282">
        <v>0</v>
      </c>
      <c r="F71" s="283">
        <v>0</v>
      </c>
      <c r="G71" s="284"/>
      <c r="H71" s="147"/>
      <c r="I71" s="285">
        <v>1</v>
      </c>
      <c r="J71" s="288">
        <v>3.4430039393564885E-2</v>
      </c>
      <c r="K71" s="287">
        <v>0</v>
      </c>
      <c r="L71" s="288">
        <v>0</v>
      </c>
      <c r="M71" s="286">
        <v>100</v>
      </c>
      <c r="N71" s="287">
        <v>0</v>
      </c>
      <c r="O71" s="288">
        <v>0</v>
      </c>
      <c r="P71" s="286">
        <v>0.77420626992189012</v>
      </c>
      <c r="Q71" s="286">
        <v>0</v>
      </c>
      <c r="R71" s="287">
        <v>1.2207783968956767</v>
      </c>
      <c r="S71" s="286">
        <v>0</v>
      </c>
      <c r="T71" s="286">
        <v>15.742943510343995</v>
      </c>
      <c r="U71" s="286">
        <v>0</v>
      </c>
      <c r="V71" s="287">
        <v>22.456749066328737</v>
      </c>
      <c r="W71" s="288">
        <v>0</v>
      </c>
      <c r="X71" s="286">
        <v>1.7883233917602102</v>
      </c>
      <c r="Y71" s="286">
        <v>0</v>
      </c>
      <c r="Z71" s="287">
        <v>0</v>
      </c>
      <c r="AA71" s="288"/>
      <c r="AB71" s="286"/>
      <c r="AC71" s="287"/>
      <c r="AD71" s="289">
        <v>0</v>
      </c>
      <c r="AE71" s="290">
        <v>0</v>
      </c>
      <c r="AF71" s="289">
        <v>0</v>
      </c>
      <c r="AG71" s="290">
        <v>0</v>
      </c>
      <c r="AH71" s="284">
        <v>0</v>
      </c>
      <c r="AI71" s="147">
        <v>0</v>
      </c>
      <c r="AJ71" s="291">
        <v>0</v>
      </c>
      <c r="AK71" s="292">
        <v>0</v>
      </c>
    </row>
    <row r="72" spans="1:37">
      <c r="A72" s="281">
        <v>0.6582914572864319</v>
      </c>
      <c r="B72" s="281">
        <v>11746.552763819091</v>
      </c>
      <c r="C72" s="282">
        <v>8004.3718592964942</v>
      </c>
      <c r="D72" s="282">
        <v>162.15577889447297</v>
      </c>
      <c r="E72" s="282">
        <v>0</v>
      </c>
      <c r="F72" s="283">
        <v>0</v>
      </c>
      <c r="G72" s="284"/>
      <c r="H72" s="147"/>
      <c r="I72" s="285">
        <v>1</v>
      </c>
      <c r="J72" s="288">
        <v>3.4430039393564885E-2</v>
      </c>
      <c r="K72" s="287">
        <v>0</v>
      </c>
      <c r="L72" s="288">
        <v>0</v>
      </c>
      <c r="M72" s="286">
        <v>100</v>
      </c>
      <c r="N72" s="287">
        <v>0</v>
      </c>
      <c r="O72" s="288">
        <v>0</v>
      </c>
      <c r="P72" s="286">
        <v>0.77411353305181008</v>
      </c>
      <c r="Q72" s="286">
        <v>0</v>
      </c>
      <c r="R72" s="287">
        <v>1.2207420672941058</v>
      </c>
      <c r="S72" s="286">
        <v>0</v>
      </c>
      <c r="T72" s="286">
        <v>15.742638447372517</v>
      </c>
      <c r="U72" s="286">
        <v>0</v>
      </c>
      <c r="V72" s="287">
        <v>22.457969819856746</v>
      </c>
      <c r="W72" s="288">
        <v>0</v>
      </c>
      <c r="X72" s="286">
        <v>1.7896763869593031</v>
      </c>
      <c r="Y72" s="286">
        <v>0</v>
      </c>
      <c r="Z72" s="287">
        <v>0</v>
      </c>
      <c r="AA72" s="288"/>
      <c r="AB72" s="286"/>
      <c r="AC72" s="287"/>
      <c r="AD72" s="289">
        <v>0</v>
      </c>
      <c r="AE72" s="290">
        <v>0</v>
      </c>
      <c r="AF72" s="289">
        <v>0</v>
      </c>
      <c r="AG72" s="290">
        <v>0</v>
      </c>
      <c r="AH72" s="284">
        <v>0</v>
      </c>
      <c r="AI72" s="147">
        <v>0</v>
      </c>
      <c r="AJ72" s="291">
        <v>0</v>
      </c>
      <c r="AK72" s="292">
        <v>0</v>
      </c>
    </row>
    <row r="73" spans="1:37">
      <c r="A73" s="281">
        <v>0.65326633165829118</v>
      </c>
      <c r="B73" s="281">
        <v>11656.884422110548</v>
      </c>
      <c r="C73" s="282">
        <v>7971.9949748743838</v>
      </c>
      <c r="D73" s="282">
        <v>161.8492462311564</v>
      </c>
      <c r="E73" s="282">
        <v>0</v>
      </c>
      <c r="F73" s="283">
        <v>0</v>
      </c>
      <c r="G73" s="284"/>
      <c r="H73" s="147"/>
      <c r="I73" s="285">
        <v>1</v>
      </c>
      <c r="J73" s="288">
        <v>3.4430039393564885E-2</v>
      </c>
      <c r="K73" s="287">
        <v>0</v>
      </c>
      <c r="L73" s="288">
        <v>0</v>
      </c>
      <c r="M73" s="286">
        <v>100</v>
      </c>
      <c r="N73" s="287">
        <v>0</v>
      </c>
      <c r="O73" s="288">
        <v>0</v>
      </c>
      <c r="P73" s="286">
        <v>0.77402058759482106</v>
      </c>
      <c r="Q73" s="286">
        <v>0</v>
      </c>
      <c r="R73" s="287">
        <v>1.2207057282182583</v>
      </c>
      <c r="S73" s="286">
        <v>0</v>
      </c>
      <c r="T73" s="286">
        <v>15.742329702936232</v>
      </c>
      <c r="U73" s="286">
        <v>0</v>
      </c>
      <c r="V73" s="287">
        <v>22.459190655972375</v>
      </c>
      <c r="W73" s="288">
        <v>0</v>
      </c>
      <c r="X73" s="286">
        <v>1.7910434506885708</v>
      </c>
      <c r="Y73" s="286">
        <v>0</v>
      </c>
      <c r="Z73" s="287">
        <v>0</v>
      </c>
      <c r="AA73" s="288"/>
      <c r="AB73" s="286"/>
      <c r="AC73" s="287"/>
      <c r="AD73" s="289">
        <v>0</v>
      </c>
      <c r="AE73" s="290">
        <v>0</v>
      </c>
      <c r="AF73" s="289">
        <v>0</v>
      </c>
      <c r="AG73" s="290">
        <v>0</v>
      </c>
      <c r="AH73" s="284">
        <v>0</v>
      </c>
      <c r="AI73" s="147">
        <v>0</v>
      </c>
      <c r="AJ73" s="291">
        <v>0</v>
      </c>
      <c r="AK73" s="292">
        <v>0</v>
      </c>
    </row>
    <row r="74" spans="1:37">
      <c r="A74" s="281">
        <v>0.64824120603015056</v>
      </c>
      <c r="B74" s="281">
        <v>11567.216080402006</v>
      </c>
      <c r="C74" s="282">
        <v>7939.6180904522735</v>
      </c>
      <c r="D74" s="282">
        <v>161.54271356783983</v>
      </c>
      <c r="E74" s="282">
        <v>0</v>
      </c>
      <c r="F74" s="283">
        <v>0</v>
      </c>
      <c r="G74" s="284"/>
      <c r="H74" s="147"/>
      <c r="I74" s="285">
        <v>1</v>
      </c>
      <c r="J74" s="288">
        <v>3.4430039393564885E-2</v>
      </c>
      <c r="K74" s="287">
        <v>0</v>
      </c>
      <c r="L74" s="288">
        <v>0</v>
      </c>
      <c r="M74" s="286">
        <v>100</v>
      </c>
      <c r="N74" s="287">
        <v>0</v>
      </c>
      <c r="O74" s="288">
        <v>0</v>
      </c>
      <c r="P74" s="286">
        <v>0.77392743259033236</v>
      </c>
      <c r="Q74" s="286">
        <v>0</v>
      </c>
      <c r="R74" s="287">
        <v>1.2206693796433639</v>
      </c>
      <c r="S74" s="286">
        <v>0</v>
      </c>
      <c r="T74" s="286">
        <v>15.742017259438057</v>
      </c>
      <c r="U74" s="286">
        <v>0</v>
      </c>
      <c r="V74" s="287">
        <v>22.460411574511085</v>
      </c>
      <c r="W74" s="288">
        <v>0</v>
      </c>
      <c r="X74" s="286">
        <v>1.792424591716492</v>
      </c>
      <c r="Y74" s="286">
        <v>0</v>
      </c>
      <c r="Z74" s="287">
        <v>0</v>
      </c>
      <c r="AA74" s="288"/>
      <c r="AB74" s="286"/>
      <c r="AC74" s="287"/>
      <c r="AD74" s="289">
        <v>0</v>
      </c>
      <c r="AE74" s="290">
        <v>0</v>
      </c>
      <c r="AF74" s="289">
        <v>0</v>
      </c>
      <c r="AG74" s="290">
        <v>0</v>
      </c>
      <c r="AH74" s="284">
        <v>0</v>
      </c>
      <c r="AI74" s="147">
        <v>0</v>
      </c>
      <c r="AJ74" s="291">
        <v>0</v>
      </c>
      <c r="AK74" s="292">
        <v>0</v>
      </c>
    </row>
    <row r="75" spans="1:37">
      <c r="A75" s="281">
        <v>0.64321608040200984</v>
      </c>
      <c r="B75" s="281">
        <v>11477.547738693464</v>
      </c>
      <c r="C75" s="282">
        <v>7907.2412060301631</v>
      </c>
      <c r="D75" s="282">
        <v>161.23618090452325</v>
      </c>
      <c r="E75" s="282">
        <v>0</v>
      </c>
      <c r="F75" s="283">
        <v>0</v>
      </c>
      <c r="G75" s="284"/>
      <c r="H75" s="147"/>
      <c r="I75" s="285">
        <v>1</v>
      </c>
      <c r="J75" s="288">
        <v>3.4430039393564885E-2</v>
      </c>
      <c r="K75" s="287">
        <v>0</v>
      </c>
      <c r="L75" s="288">
        <v>0</v>
      </c>
      <c r="M75" s="286">
        <v>100</v>
      </c>
      <c r="N75" s="287">
        <v>0</v>
      </c>
      <c r="O75" s="288">
        <v>0</v>
      </c>
      <c r="P75" s="286">
        <v>0.77383406707141689</v>
      </c>
      <c r="Q75" s="286">
        <v>0</v>
      </c>
      <c r="R75" s="287">
        <v>1.220633021544586</v>
      </c>
      <c r="S75" s="286">
        <v>0</v>
      </c>
      <c r="T75" s="286">
        <v>15.741701099163937</v>
      </c>
      <c r="U75" s="286">
        <v>0</v>
      </c>
      <c r="V75" s="287">
        <v>22.461632575307515</v>
      </c>
      <c r="W75" s="288">
        <v>0</v>
      </c>
      <c r="X75" s="286">
        <v>1.7938198191296324</v>
      </c>
      <c r="Y75" s="286">
        <v>0</v>
      </c>
      <c r="Z75" s="287">
        <v>0</v>
      </c>
      <c r="AA75" s="288"/>
      <c r="AB75" s="286"/>
      <c r="AC75" s="287"/>
      <c r="AD75" s="289">
        <v>0</v>
      </c>
      <c r="AE75" s="290">
        <v>0</v>
      </c>
      <c r="AF75" s="289">
        <v>0</v>
      </c>
      <c r="AG75" s="290">
        <v>0</v>
      </c>
      <c r="AH75" s="284">
        <v>0</v>
      </c>
      <c r="AI75" s="147">
        <v>0</v>
      </c>
      <c r="AJ75" s="291">
        <v>0</v>
      </c>
      <c r="AK75" s="292">
        <v>0</v>
      </c>
    </row>
    <row r="76" spans="1:37">
      <c r="A76" s="281">
        <v>0.63819095477386911</v>
      </c>
      <c r="B76" s="281">
        <v>11387.879396984921</v>
      </c>
      <c r="C76" s="282">
        <v>7874.8643216080527</v>
      </c>
      <c r="D76" s="282">
        <v>160.92964824120668</v>
      </c>
      <c r="E76" s="282">
        <v>0</v>
      </c>
      <c r="F76" s="283">
        <v>0</v>
      </c>
      <c r="G76" s="284"/>
      <c r="H76" s="147"/>
      <c r="I76" s="285">
        <v>1</v>
      </c>
      <c r="J76" s="288">
        <v>3.4430039393564885E-2</v>
      </c>
      <c r="K76" s="287">
        <v>0</v>
      </c>
      <c r="L76" s="288">
        <v>0</v>
      </c>
      <c r="M76" s="286">
        <v>100</v>
      </c>
      <c r="N76" s="287">
        <v>0</v>
      </c>
      <c r="O76" s="288">
        <v>0</v>
      </c>
      <c r="P76" s="286">
        <v>0.77374049006475487</v>
      </c>
      <c r="Q76" s="286">
        <v>0</v>
      </c>
      <c r="R76" s="287">
        <v>1.220596653897007</v>
      </c>
      <c r="S76" s="286">
        <v>0</v>
      </c>
      <c r="T76" s="286">
        <v>15.741381204281842</v>
      </c>
      <c r="U76" s="286">
        <v>0</v>
      </c>
      <c r="V76" s="287">
        <v>22.462853658195318</v>
      </c>
      <c r="W76" s="288">
        <v>0</v>
      </c>
      <c r="X76" s="286">
        <v>1.7952291423312055</v>
      </c>
      <c r="Y76" s="286">
        <v>0</v>
      </c>
      <c r="Z76" s="287">
        <v>0</v>
      </c>
      <c r="AA76" s="288"/>
      <c r="AB76" s="286"/>
      <c r="AC76" s="287"/>
      <c r="AD76" s="289">
        <v>0</v>
      </c>
      <c r="AE76" s="290">
        <v>0</v>
      </c>
      <c r="AF76" s="289">
        <v>0</v>
      </c>
      <c r="AG76" s="290">
        <v>0</v>
      </c>
      <c r="AH76" s="284">
        <v>0</v>
      </c>
      <c r="AI76" s="147">
        <v>0</v>
      </c>
      <c r="AJ76" s="291">
        <v>0</v>
      </c>
      <c r="AK76" s="292">
        <v>0</v>
      </c>
    </row>
    <row r="77" spans="1:37">
      <c r="A77" s="281">
        <v>0.6331658291457285</v>
      </c>
      <c r="B77" s="281">
        <v>11298.211055276379</v>
      </c>
      <c r="C77" s="282">
        <v>7842.4874371859423</v>
      </c>
      <c r="D77" s="282">
        <v>160.6231155778901</v>
      </c>
      <c r="E77" s="282">
        <v>0</v>
      </c>
      <c r="F77" s="283">
        <v>0</v>
      </c>
      <c r="G77" s="284"/>
      <c r="H77" s="147"/>
      <c r="I77" s="285">
        <v>1</v>
      </c>
      <c r="J77" s="288">
        <v>3.4430039393564885E-2</v>
      </c>
      <c r="K77" s="287">
        <v>0</v>
      </c>
      <c r="L77" s="288">
        <v>0</v>
      </c>
      <c r="M77" s="286">
        <v>100</v>
      </c>
      <c r="N77" s="287">
        <v>0</v>
      </c>
      <c r="O77" s="288">
        <v>0</v>
      </c>
      <c r="P77" s="286">
        <v>0.77364670059057583</v>
      </c>
      <c r="Q77" s="286">
        <v>0</v>
      </c>
      <c r="R77" s="287">
        <v>1.2205602766756223</v>
      </c>
      <c r="S77" s="286">
        <v>0</v>
      </c>
      <c r="T77" s="286">
        <v>15.741057556840683</v>
      </c>
      <c r="U77" s="286">
        <v>0</v>
      </c>
      <c r="V77" s="287">
        <v>22.464074823007127</v>
      </c>
      <c r="W77" s="288">
        <v>0</v>
      </c>
      <c r="X77" s="286">
        <v>1.7966525710395691</v>
      </c>
      <c r="Y77" s="286">
        <v>0</v>
      </c>
      <c r="Z77" s="287">
        <v>0</v>
      </c>
      <c r="AA77" s="288"/>
      <c r="AB77" s="286"/>
      <c r="AC77" s="287"/>
      <c r="AD77" s="289">
        <v>0</v>
      </c>
      <c r="AE77" s="290">
        <v>0</v>
      </c>
      <c r="AF77" s="289">
        <v>0</v>
      </c>
      <c r="AG77" s="290">
        <v>0</v>
      </c>
      <c r="AH77" s="284">
        <v>0</v>
      </c>
      <c r="AI77" s="147">
        <v>0</v>
      </c>
      <c r="AJ77" s="291">
        <v>0</v>
      </c>
      <c r="AK77" s="292">
        <v>0</v>
      </c>
    </row>
    <row r="78" spans="1:37">
      <c r="A78" s="281">
        <v>0.62814070351758777</v>
      </c>
      <c r="B78" s="281">
        <v>11208.542713567836</v>
      </c>
      <c r="C78" s="282">
        <v>7810.1105527638319</v>
      </c>
      <c r="D78" s="282">
        <v>160.31658291457353</v>
      </c>
      <c r="E78" s="282">
        <v>0</v>
      </c>
      <c r="F78" s="283">
        <v>0</v>
      </c>
      <c r="G78" s="284"/>
      <c r="H78" s="147"/>
      <c r="I78" s="285">
        <v>1</v>
      </c>
      <c r="J78" s="288">
        <v>3.4430039393564885E-2</v>
      </c>
      <c r="K78" s="287">
        <v>0</v>
      </c>
      <c r="L78" s="288">
        <v>0</v>
      </c>
      <c r="M78" s="286">
        <v>100</v>
      </c>
      <c r="N78" s="287">
        <v>0</v>
      </c>
      <c r="O78" s="288">
        <v>0</v>
      </c>
      <c r="P78" s="286">
        <v>0.77355269766260515</v>
      </c>
      <c r="Q78" s="286">
        <v>0</v>
      </c>
      <c r="R78" s="287">
        <v>1.2205238898553663</v>
      </c>
      <c r="S78" s="286">
        <v>0</v>
      </c>
      <c r="T78" s="286">
        <v>15.740730138769317</v>
      </c>
      <c r="U78" s="286">
        <v>0</v>
      </c>
      <c r="V78" s="287">
        <v>22.46529606957478</v>
      </c>
      <c r="W78" s="288">
        <v>0</v>
      </c>
      <c r="X78" s="286">
        <v>1.798090115286693</v>
      </c>
      <c r="Y78" s="286">
        <v>0</v>
      </c>
      <c r="Z78" s="287">
        <v>0</v>
      </c>
      <c r="AA78" s="288"/>
      <c r="AB78" s="286"/>
      <c r="AC78" s="287"/>
      <c r="AD78" s="289">
        <v>0</v>
      </c>
      <c r="AE78" s="290">
        <v>0</v>
      </c>
      <c r="AF78" s="289">
        <v>0</v>
      </c>
      <c r="AG78" s="290">
        <v>0</v>
      </c>
      <c r="AH78" s="284">
        <v>0</v>
      </c>
      <c r="AI78" s="147">
        <v>0</v>
      </c>
      <c r="AJ78" s="291">
        <v>0</v>
      </c>
      <c r="AK78" s="292">
        <v>0</v>
      </c>
    </row>
    <row r="79" spans="1:37">
      <c r="A79" s="281">
        <v>0.62311557788944716</v>
      </c>
      <c r="B79" s="281">
        <v>11118.874371859294</v>
      </c>
      <c r="C79" s="282">
        <v>7777.7336683417216</v>
      </c>
      <c r="D79" s="282">
        <v>160.01005025125696</v>
      </c>
      <c r="E79" s="282">
        <v>0</v>
      </c>
      <c r="F79" s="283">
        <v>0</v>
      </c>
      <c r="G79" s="284"/>
      <c r="H79" s="147"/>
      <c r="I79" s="285">
        <v>1</v>
      </c>
      <c r="J79" s="288">
        <v>3.4430039393564885E-2</v>
      </c>
      <c r="K79" s="287">
        <v>0</v>
      </c>
      <c r="L79" s="288">
        <v>0</v>
      </c>
      <c r="M79" s="286">
        <v>100</v>
      </c>
      <c r="N79" s="287">
        <v>0</v>
      </c>
      <c r="O79" s="288">
        <v>0</v>
      </c>
      <c r="P79" s="286">
        <v>0.77345848028800424</v>
      </c>
      <c r="Q79" s="286">
        <v>0</v>
      </c>
      <c r="R79" s="287">
        <v>1.2204874934110863</v>
      </c>
      <c r="S79" s="286">
        <v>0</v>
      </c>
      <c r="T79" s="286">
        <v>15.740398931875449</v>
      </c>
      <c r="U79" s="286">
        <v>0</v>
      </c>
      <c r="V79" s="287">
        <v>22.466517397729078</v>
      </c>
      <c r="W79" s="288">
        <v>0</v>
      </c>
      <c r="X79" s="286">
        <v>1.7995417854167057</v>
      </c>
      <c r="Y79" s="286">
        <v>0</v>
      </c>
      <c r="Z79" s="287">
        <v>0</v>
      </c>
      <c r="AA79" s="288"/>
      <c r="AB79" s="286"/>
      <c r="AC79" s="287"/>
      <c r="AD79" s="289">
        <v>0</v>
      </c>
      <c r="AE79" s="290">
        <v>0</v>
      </c>
      <c r="AF79" s="289">
        <v>0</v>
      </c>
      <c r="AG79" s="290">
        <v>0</v>
      </c>
      <c r="AH79" s="284">
        <v>0</v>
      </c>
      <c r="AI79" s="147">
        <v>0</v>
      </c>
      <c r="AJ79" s="291">
        <v>0</v>
      </c>
      <c r="AK79" s="292">
        <v>0</v>
      </c>
    </row>
    <row r="80" spans="1:37">
      <c r="A80" s="281">
        <v>0.61809045226130643</v>
      </c>
      <c r="B80" s="281">
        <v>11029.206030150752</v>
      </c>
      <c r="C80" s="282">
        <v>7745.3567839196112</v>
      </c>
      <c r="D80" s="282">
        <v>159.70351758794038</v>
      </c>
      <c r="E80" s="282">
        <v>0</v>
      </c>
      <c r="F80" s="283">
        <v>0</v>
      </c>
      <c r="G80" s="284"/>
      <c r="H80" s="147"/>
      <c r="I80" s="285">
        <v>1</v>
      </c>
      <c r="J80" s="288">
        <v>3.4430039393564885E-2</v>
      </c>
      <c r="K80" s="287">
        <v>0</v>
      </c>
      <c r="L80" s="288">
        <v>0</v>
      </c>
      <c r="M80" s="286">
        <v>100</v>
      </c>
      <c r="N80" s="287">
        <v>0</v>
      </c>
      <c r="O80" s="288">
        <v>0</v>
      </c>
      <c r="P80" s="286">
        <v>0.77336404746731602</v>
      </c>
      <c r="Q80" s="286">
        <v>0</v>
      </c>
      <c r="R80" s="287">
        <v>1.2204510873175503</v>
      </c>
      <c r="S80" s="286">
        <v>0</v>
      </c>
      <c r="T80" s="286">
        <v>15.740063917844616</v>
      </c>
      <c r="U80" s="286">
        <v>0</v>
      </c>
      <c r="V80" s="287">
        <v>22.467738807299856</v>
      </c>
      <c r="W80" s="288">
        <v>0</v>
      </c>
      <c r="X80" s="286">
        <v>1.8010075920843782</v>
      </c>
      <c r="Y80" s="286">
        <v>0</v>
      </c>
      <c r="Z80" s="287">
        <v>0</v>
      </c>
      <c r="AA80" s="288"/>
      <c r="AB80" s="286"/>
      <c r="AC80" s="287"/>
      <c r="AD80" s="289">
        <v>0</v>
      </c>
      <c r="AE80" s="290">
        <v>0</v>
      </c>
      <c r="AF80" s="289">
        <v>0</v>
      </c>
      <c r="AG80" s="290">
        <v>0</v>
      </c>
      <c r="AH80" s="284">
        <v>0</v>
      </c>
      <c r="AI80" s="147">
        <v>0</v>
      </c>
      <c r="AJ80" s="291">
        <v>0</v>
      </c>
      <c r="AK80" s="292">
        <v>0</v>
      </c>
    </row>
    <row r="81" spans="1:37">
      <c r="A81" s="281">
        <v>0.61306532663316571</v>
      </c>
      <c r="B81" s="281">
        <v>10939.537688442209</v>
      </c>
      <c r="C81" s="282">
        <v>7712.9798994975008</v>
      </c>
      <c r="D81" s="282">
        <v>159.39698492462381</v>
      </c>
      <c r="E81" s="282">
        <v>0</v>
      </c>
      <c r="F81" s="283">
        <v>0</v>
      </c>
      <c r="G81" s="284"/>
      <c r="H81" s="147"/>
      <c r="I81" s="285">
        <v>1</v>
      </c>
      <c r="J81" s="288">
        <v>3.4430039393564885E-2</v>
      </c>
      <c r="K81" s="287">
        <v>0</v>
      </c>
      <c r="L81" s="288">
        <v>0</v>
      </c>
      <c r="M81" s="286">
        <v>100</v>
      </c>
      <c r="N81" s="287">
        <v>0</v>
      </c>
      <c r="O81" s="288">
        <v>0</v>
      </c>
      <c r="P81" s="286">
        <v>0.77326939819440321</v>
      </c>
      <c r="Q81" s="286">
        <v>0</v>
      </c>
      <c r="R81" s="287">
        <v>1.2204146715494513</v>
      </c>
      <c r="S81" s="286">
        <v>0</v>
      </c>
      <c r="T81" s="286">
        <v>15.739725078239042</v>
      </c>
      <c r="U81" s="286">
        <v>0</v>
      </c>
      <c r="V81" s="287">
        <v>22.468960298116023</v>
      </c>
      <c r="W81" s="288">
        <v>0</v>
      </c>
      <c r="X81" s="286">
        <v>1.8024875462536678</v>
      </c>
      <c r="Y81" s="286">
        <v>0</v>
      </c>
      <c r="Z81" s="287">
        <v>0</v>
      </c>
      <c r="AA81" s="288"/>
      <c r="AB81" s="286"/>
      <c r="AC81" s="287"/>
      <c r="AD81" s="289">
        <v>0</v>
      </c>
      <c r="AE81" s="290">
        <v>0</v>
      </c>
      <c r="AF81" s="289">
        <v>0</v>
      </c>
      <c r="AG81" s="290">
        <v>0</v>
      </c>
      <c r="AH81" s="284">
        <v>0</v>
      </c>
      <c r="AI81" s="147">
        <v>0</v>
      </c>
      <c r="AJ81" s="291">
        <v>0</v>
      </c>
      <c r="AK81" s="292">
        <v>0</v>
      </c>
    </row>
    <row r="82" spans="1:37">
      <c r="A82" s="281">
        <v>0.60804020100502509</v>
      </c>
      <c r="B82" s="281">
        <v>10849.869346733667</v>
      </c>
      <c r="C82" s="282">
        <v>7680.6030150753904</v>
      </c>
      <c r="D82" s="282">
        <v>159.09045226130723</v>
      </c>
      <c r="E82" s="282">
        <v>0</v>
      </c>
      <c r="F82" s="283">
        <v>0</v>
      </c>
      <c r="G82" s="284"/>
      <c r="H82" s="147"/>
      <c r="I82" s="285">
        <v>1</v>
      </c>
      <c r="J82" s="288">
        <v>3.4430039393564885E-2</v>
      </c>
      <c r="K82" s="287">
        <v>0</v>
      </c>
      <c r="L82" s="288">
        <v>0</v>
      </c>
      <c r="M82" s="286">
        <v>100</v>
      </c>
      <c r="N82" s="287">
        <v>0</v>
      </c>
      <c r="O82" s="288">
        <v>0</v>
      </c>
      <c r="P82" s="286">
        <v>0.77317453145639159</v>
      </c>
      <c r="Q82" s="286">
        <v>0</v>
      </c>
      <c r="R82" s="287">
        <v>1.220378246081401</v>
      </c>
      <c r="S82" s="286">
        <v>0</v>
      </c>
      <c r="T82" s="286">
        <v>15.739382394496609</v>
      </c>
      <c r="U82" s="286">
        <v>0</v>
      </c>
      <c r="V82" s="287">
        <v>22.470181870005511</v>
      </c>
      <c r="W82" s="288">
        <v>0</v>
      </c>
      <c r="X82" s="286">
        <v>1.8039816591962359</v>
      </c>
      <c r="Y82" s="286">
        <v>0</v>
      </c>
      <c r="Z82" s="287">
        <v>0</v>
      </c>
      <c r="AA82" s="288"/>
      <c r="AB82" s="286"/>
      <c r="AC82" s="287"/>
      <c r="AD82" s="289">
        <v>0</v>
      </c>
      <c r="AE82" s="290">
        <v>0</v>
      </c>
      <c r="AF82" s="289">
        <v>0</v>
      </c>
      <c r="AG82" s="290">
        <v>0</v>
      </c>
      <c r="AH82" s="284">
        <v>0</v>
      </c>
      <c r="AI82" s="147">
        <v>0</v>
      </c>
      <c r="AJ82" s="291">
        <v>0</v>
      </c>
      <c r="AK82" s="292">
        <v>0</v>
      </c>
    </row>
    <row r="83" spans="1:37">
      <c r="A83" s="281">
        <v>0.60301507537688437</v>
      </c>
      <c r="B83" s="281">
        <v>10760.201005025125</v>
      </c>
      <c r="C83" s="282">
        <v>7648.2261306532801</v>
      </c>
      <c r="D83" s="282">
        <v>158.78391959799066</v>
      </c>
      <c r="E83" s="282">
        <v>0</v>
      </c>
      <c r="F83" s="283">
        <v>0</v>
      </c>
      <c r="G83" s="284"/>
      <c r="H83" s="147"/>
      <c r="I83" s="285">
        <v>1</v>
      </c>
      <c r="J83" s="288">
        <v>3.4430039393564885E-2</v>
      </c>
      <c r="K83" s="287">
        <v>0</v>
      </c>
      <c r="L83" s="288">
        <v>0</v>
      </c>
      <c r="M83" s="286">
        <v>100</v>
      </c>
      <c r="N83" s="287">
        <v>0</v>
      </c>
      <c r="O83" s="288">
        <v>0</v>
      </c>
      <c r="P83" s="286">
        <v>0.77307944623360758</v>
      </c>
      <c r="Q83" s="286">
        <v>0</v>
      </c>
      <c r="R83" s="287">
        <v>1.2203418108879374</v>
      </c>
      <c r="S83" s="286">
        <v>0</v>
      </c>
      <c r="T83" s="286">
        <v>15.739035847929697</v>
      </c>
      <c r="U83" s="286">
        <v>0</v>
      </c>
      <c r="V83" s="287">
        <v>22.471403522795327</v>
      </c>
      <c r="W83" s="288">
        <v>0</v>
      </c>
      <c r="X83" s="286">
        <v>1.8054899424899775</v>
      </c>
      <c r="Y83" s="286">
        <v>0</v>
      </c>
      <c r="Z83" s="287">
        <v>0</v>
      </c>
      <c r="AA83" s="288"/>
      <c r="AB83" s="286"/>
      <c r="AC83" s="287"/>
      <c r="AD83" s="289">
        <v>0</v>
      </c>
      <c r="AE83" s="290">
        <v>0</v>
      </c>
      <c r="AF83" s="289">
        <v>0</v>
      </c>
      <c r="AG83" s="290">
        <v>0</v>
      </c>
      <c r="AH83" s="284">
        <v>0</v>
      </c>
      <c r="AI83" s="147">
        <v>0</v>
      </c>
      <c r="AJ83" s="291">
        <v>0</v>
      </c>
      <c r="AK83" s="292">
        <v>0</v>
      </c>
    </row>
    <row r="84" spans="1:37">
      <c r="A84" s="281">
        <v>0.59798994974874364</v>
      </c>
      <c r="B84" s="281">
        <v>10670.532663316582</v>
      </c>
      <c r="C84" s="282">
        <v>7615.8492462311697</v>
      </c>
      <c r="D84" s="282">
        <v>158.47738693467409</v>
      </c>
      <c r="E84" s="282">
        <v>0</v>
      </c>
      <c r="F84" s="283">
        <v>0</v>
      </c>
      <c r="G84" s="284"/>
      <c r="H84" s="147"/>
      <c r="I84" s="285">
        <v>1</v>
      </c>
      <c r="J84" s="288">
        <v>3.4430039393564885E-2</v>
      </c>
      <c r="K84" s="287">
        <v>0</v>
      </c>
      <c r="L84" s="288">
        <v>0</v>
      </c>
      <c r="M84" s="286">
        <v>100</v>
      </c>
      <c r="N84" s="287">
        <v>0</v>
      </c>
      <c r="O84" s="288">
        <v>0</v>
      </c>
      <c r="P84" s="286">
        <v>0.77298414149952099</v>
      </c>
      <c r="Q84" s="286">
        <v>0</v>
      </c>
      <c r="R84" s="287">
        <v>1.220305365943513</v>
      </c>
      <c r="S84" s="286">
        <v>0</v>
      </c>
      <c r="T84" s="286">
        <v>15.738685419724114</v>
      </c>
      <c r="U84" s="286">
        <v>0</v>
      </c>
      <c r="V84" s="287">
        <v>22.472625256311442</v>
      </c>
      <c r="W84" s="288">
        <v>0</v>
      </c>
      <c r="X84" s="286">
        <v>1.8070124080175287</v>
      </c>
      <c r="Y84" s="286">
        <v>0</v>
      </c>
      <c r="Z84" s="287">
        <v>0</v>
      </c>
      <c r="AA84" s="288"/>
      <c r="AB84" s="286"/>
      <c r="AC84" s="287"/>
      <c r="AD84" s="289">
        <v>0</v>
      </c>
      <c r="AE84" s="290">
        <v>0</v>
      </c>
      <c r="AF84" s="289">
        <v>0</v>
      </c>
      <c r="AG84" s="290">
        <v>0</v>
      </c>
      <c r="AH84" s="284">
        <v>0</v>
      </c>
      <c r="AI84" s="147">
        <v>0</v>
      </c>
      <c r="AJ84" s="291">
        <v>0</v>
      </c>
      <c r="AK84" s="292">
        <v>0</v>
      </c>
    </row>
    <row r="85" spans="1:37">
      <c r="A85" s="281">
        <v>0.59296482412060303</v>
      </c>
      <c r="B85" s="281">
        <v>10580.86432160804</v>
      </c>
      <c r="C85" s="282">
        <v>7583.4723618090593</v>
      </c>
      <c r="D85" s="282">
        <v>158.17085427135751</v>
      </c>
      <c r="E85" s="282">
        <v>0</v>
      </c>
      <c r="F85" s="283">
        <v>0</v>
      </c>
      <c r="G85" s="284"/>
      <c r="H85" s="147"/>
      <c r="I85" s="285">
        <v>1</v>
      </c>
      <c r="J85" s="288">
        <v>3.4430039393564885E-2</v>
      </c>
      <c r="K85" s="287">
        <v>0</v>
      </c>
      <c r="L85" s="288">
        <v>0</v>
      </c>
      <c r="M85" s="286">
        <v>100</v>
      </c>
      <c r="N85" s="287">
        <v>0</v>
      </c>
      <c r="O85" s="288">
        <v>0</v>
      </c>
      <c r="P85" s="286">
        <v>0.77288861622068117</v>
      </c>
      <c r="Q85" s="286">
        <v>0</v>
      </c>
      <c r="R85" s="287">
        <v>1.2202689112224965</v>
      </c>
      <c r="S85" s="286">
        <v>0</v>
      </c>
      <c r="T85" s="286">
        <v>15.738331090937917</v>
      </c>
      <c r="U85" s="286">
        <v>0</v>
      </c>
      <c r="V85" s="287">
        <v>22.473847070378831</v>
      </c>
      <c r="W85" s="288">
        <v>0</v>
      </c>
      <c r="X85" s="286">
        <v>1.8085490679648604</v>
      </c>
      <c r="Y85" s="286">
        <v>0</v>
      </c>
      <c r="Z85" s="287">
        <v>0</v>
      </c>
      <c r="AA85" s="288"/>
      <c r="AB85" s="286"/>
      <c r="AC85" s="287"/>
      <c r="AD85" s="289">
        <v>0</v>
      </c>
      <c r="AE85" s="290">
        <v>0</v>
      </c>
      <c r="AF85" s="289">
        <v>0</v>
      </c>
      <c r="AG85" s="290">
        <v>0</v>
      </c>
      <c r="AH85" s="284">
        <v>0</v>
      </c>
      <c r="AI85" s="147">
        <v>0</v>
      </c>
      <c r="AJ85" s="291">
        <v>0</v>
      </c>
      <c r="AK85" s="292">
        <v>0</v>
      </c>
    </row>
    <row r="86" spans="1:37">
      <c r="A86" s="281">
        <v>0.5879396984924623</v>
      </c>
      <c r="B86" s="281">
        <v>10491.195979899498</v>
      </c>
      <c r="C86" s="282">
        <v>7551.0954773869489</v>
      </c>
      <c r="D86" s="282">
        <v>157.86432160804094</v>
      </c>
      <c r="E86" s="282">
        <v>0</v>
      </c>
      <c r="F86" s="283">
        <v>0</v>
      </c>
      <c r="G86" s="284"/>
      <c r="H86" s="147"/>
      <c r="I86" s="285">
        <v>1</v>
      </c>
      <c r="J86" s="288">
        <v>3.4430039393564885E-2</v>
      </c>
      <c r="K86" s="287">
        <v>0</v>
      </c>
      <c r="L86" s="288">
        <v>0</v>
      </c>
      <c r="M86" s="286">
        <v>100</v>
      </c>
      <c r="N86" s="287">
        <v>0</v>
      </c>
      <c r="O86" s="288">
        <v>0</v>
      </c>
      <c r="P86" s="286">
        <v>0.77279286935665814</v>
      </c>
      <c r="Q86" s="286">
        <v>0</v>
      </c>
      <c r="R86" s="287">
        <v>1.2202324466991894</v>
      </c>
      <c r="S86" s="286">
        <v>0</v>
      </c>
      <c r="T86" s="286">
        <v>15.737972842500334</v>
      </c>
      <c r="U86" s="286">
        <v>0</v>
      </c>
      <c r="V86" s="287">
        <v>22.475068964821595</v>
      </c>
      <c r="W86" s="288">
        <v>0</v>
      </c>
      <c r="X86" s="286">
        <v>1.8100999348197384</v>
      </c>
      <c r="Y86" s="286">
        <v>0</v>
      </c>
      <c r="Z86" s="287">
        <v>0</v>
      </c>
      <c r="AA86" s="288"/>
      <c r="AB86" s="286"/>
      <c r="AC86" s="287"/>
      <c r="AD86" s="289">
        <v>0</v>
      </c>
      <c r="AE86" s="290">
        <v>0</v>
      </c>
      <c r="AF86" s="289">
        <v>0</v>
      </c>
      <c r="AG86" s="290">
        <v>0</v>
      </c>
      <c r="AH86" s="284">
        <v>0</v>
      </c>
      <c r="AI86" s="147">
        <v>0</v>
      </c>
      <c r="AJ86" s="291">
        <v>0</v>
      </c>
      <c r="AK86" s="292">
        <v>0</v>
      </c>
    </row>
    <row r="87" spans="1:37">
      <c r="A87" s="281">
        <v>0.58291457286432169</v>
      </c>
      <c r="B87" s="281">
        <v>10401.527638190955</v>
      </c>
      <c r="C87" s="282">
        <v>7518.7185929648385</v>
      </c>
      <c r="D87" s="282">
        <v>157.55778894472436</v>
      </c>
      <c r="E87" s="282">
        <v>0</v>
      </c>
      <c r="F87" s="283">
        <v>0</v>
      </c>
      <c r="G87" s="284"/>
      <c r="H87" s="147"/>
      <c r="I87" s="285">
        <v>1</v>
      </c>
      <c r="J87" s="288">
        <v>3.4430039393564885E-2</v>
      </c>
      <c r="K87" s="287">
        <v>0</v>
      </c>
      <c r="L87" s="288">
        <v>0</v>
      </c>
      <c r="M87" s="286">
        <v>100</v>
      </c>
      <c r="N87" s="287">
        <v>0</v>
      </c>
      <c r="O87" s="288">
        <v>0</v>
      </c>
      <c r="P87" s="286">
        <v>0.77269689985997647</v>
      </c>
      <c r="Q87" s="286">
        <v>0</v>
      </c>
      <c r="R87" s="287">
        <v>1.2201959723478062</v>
      </c>
      <c r="S87" s="286">
        <v>0</v>
      </c>
      <c r="T87" s="286">
        <v>15.737610655210553</v>
      </c>
      <c r="U87" s="286">
        <v>0</v>
      </c>
      <c r="V87" s="287">
        <v>22.476290939462796</v>
      </c>
      <c r="W87" s="288">
        <v>0</v>
      </c>
      <c r="X87" s="286">
        <v>1.8116650213703285</v>
      </c>
      <c r="Y87" s="286">
        <v>0</v>
      </c>
      <c r="Z87" s="287">
        <v>0</v>
      </c>
      <c r="AA87" s="288"/>
      <c r="AB87" s="286"/>
      <c r="AC87" s="287"/>
      <c r="AD87" s="289">
        <v>0</v>
      </c>
      <c r="AE87" s="290">
        <v>0</v>
      </c>
      <c r="AF87" s="289">
        <v>0</v>
      </c>
      <c r="AG87" s="290">
        <v>0</v>
      </c>
      <c r="AH87" s="284">
        <v>0</v>
      </c>
      <c r="AI87" s="147">
        <v>0</v>
      </c>
      <c r="AJ87" s="291">
        <v>0</v>
      </c>
      <c r="AK87" s="292">
        <v>0</v>
      </c>
    </row>
    <row r="88" spans="1:37">
      <c r="A88" s="281">
        <v>0.57788944723618096</v>
      </c>
      <c r="B88" s="281">
        <v>10311.859296482413</v>
      </c>
      <c r="C88" s="282">
        <v>7486.3417085427282</v>
      </c>
      <c r="D88" s="282">
        <v>157.25125628140779</v>
      </c>
      <c r="E88" s="282">
        <v>0</v>
      </c>
      <c r="F88" s="283">
        <v>0</v>
      </c>
      <c r="G88" s="284"/>
      <c r="H88" s="147"/>
      <c r="I88" s="285">
        <v>1</v>
      </c>
      <c r="J88" s="288">
        <v>3.4430039393564885E-2</v>
      </c>
      <c r="K88" s="287">
        <v>0</v>
      </c>
      <c r="L88" s="288">
        <v>0</v>
      </c>
      <c r="M88" s="286">
        <v>100</v>
      </c>
      <c r="N88" s="287">
        <v>0</v>
      </c>
      <c r="O88" s="288">
        <v>0</v>
      </c>
      <c r="P88" s="286">
        <v>0.77260070667605474</v>
      </c>
      <c r="Q88" s="286">
        <v>0</v>
      </c>
      <c r="R88" s="287">
        <v>1.2201594881424758</v>
      </c>
      <c r="S88" s="286">
        <v>0</v>
      </c>
      <c r="T88" s="286">
        <v>15.737244509736573</v>
      </c>
      <c r="U88" s="286">
        <v>0</v>
      </c>
      <c r="V88" s="287">
        <v>22.477512994124453</v>
      </c>
      <c r="W88" s="288">
        <v>0</v>
      </c>
      <c r="X88" s="286">
        <v>1.8132443407037231</v>
      </c>
      <c r="Y88" s="286">
        <v>0</v>
      </c>
      <c r="Z88" s="287">
        <v>0</v>
      </c>
      <c r="AA88" s="288"/>
      <c r="AB88" s="286"/>
      <c r="AC88" s="287"/>
      <c r="AD88" s="289">
        <v>0</v>
      </c>
      <c r="AE88" s="290">
        <v>0</v>
      </c>
      <c r="AF88" s="289">
        <v>0</v>
      </c>
      <c r="AG88" s="290">
        <v>0</v>
      </c>
      <c r="AH88" s="284">
        <v>0</v>
      </c>
      <c r="AI88" s="147">
        <v>0</v>
      </c>
      <c r="AJ88" s="291">
        <v>0</v>
      </c>
      <c r="AK88" s="292">
        <v>0</v>
      </c>
    </row>
    <row r="89" spans="1:37">
      <c r="A89" s="281">
        <v>0.57286432160804024</v>
      </c>
      <c r="B89" s="281">
        <v>10222.190954773871</v>
      </c>
      <c r="C89" s="282">
        <v>7453.9648241206178</v>
      </c>
      <c r="D89" s="282">
        <v>156.94472361809122</v>
      </c>
      <c r="E89" s="282">
        <v>0</v>
      </c>
      <c r="F89" s="283">
        <v>0</v>
      </c>
      <c r="G89" s="284"/>
      <c r="H89" s="147"/>
      <c r="I89" s="285">
        <v>1</v>
      </c>
      <c r="J89" s="288">
        <v>3.4430039393564885E-2</v>
      </c>
      <c r="K89" s="287">
        <v>0</v>
      </c>
      <c r="L89" s="288">
        <v>0</v>
      </c>
      <c r="M89" s="286">
        <v>100</v>
      </c>
      <c r="N89" s="287">
        <v>0</v>
      </c>
      <c r="O89" s="288">
        <v>0</v>
      </c>
      <c r="P89" s="286">
        <v>0.77250428874314225</v>
      </c>
      <c r="Q89" s="286">
        <v>0</v>
      </c>
      <c r="R89" s="287">
        <v>1.2201229940572516</v>
      </c>
      <c r="S89" s="286">
        <v>0</v>
      </c>
      <c r="T89" s="286">
        <v>15.736874386614048</v>
      </c>
      <c r="U89" s="286">
        <v>0</v>
      </c>
      <c r="V89" s="287">
        <v>22.478735128627655</v>
      </c>
      <c r="W89" s="288">
        <v>0</v>
      </c>
      <c r="X89" s="286">
        <v>1.8148379062044551</v>
      </c>
      <c r="Y89" s="286">
        <v>0</v>
      </c>
      <c r="Z89" s="287">
        <v>0</v>
      </c>
      <c r="AA89" s="288"/>
      <c r="AB89" s="286"/>
      <c r="AC89" s="287"/>
      <c r="AD89" s="289">
        <v>0</v>
      </c>
      <c r="AE89" s="290">
        <v>0</v>
      </c>
      <c r="AF89" s="289">
        <v>0</v>
      </c>
      <c r="AG89" s="290">
        <v>0</v>
      </c>
      <c r="AH89" s="284">
        <v>0</v>
      </c>
      <c r="AI89" s="147">
        <v>0</v>
      </c>
      <c r="AJ89" s="291">
        <v>0</v>
      </c>
      <c r="AK89" s="292">
        <v>0</v>
      </c>
    </row>
    <row r="90" spans="1:37">
      <c r="A90" s="281">
        <v>0.56783919597989962</v>
      </c>
      <c r="B90" s="281">
        <v>10132.522613065328</v>
      </c>
      <c r="C90" s="282">
        <v>7421.5879396985074</v>
      </c>
      <c r="D90" s="282">
        <v>156.63819095477464</v>
      </c>
      <c r="E90" s="282">
        <v>0</v>
      </c>
      <c r="F90" s="283">
        <v>0</v>
      </c>
      <c r="G90" s="284"/>
      <c r="H90" s="147"/>
      <c r="I90" s="285">
        <v>1</v>
      </c>
      <c r="J90" s="288">
        <v>3.4430039393564885E-2</v>
      </c>
      <c r="K90" s="287">
        <v>0</v>
      </c>
      <c r="L90" s="288">
        <v>0</v>
      </c>
      <c r="M90" s="286">
        <v>100</v>
      </c>
      <c r="N90" s="287">
        <v>0</v>
      </c>
      <c r="O90" s="288">
        <v>0</v>
      </c>
      <c r="P90" s="286">
        <v>0.77240764499225145</v>
      </c>
      <c r="Q90" s="286">
        <v>0</v>
      </c>
      <c r="R90" s="287">
        <v>1.220086490066105</v>
      </c>
      <c r="S90" s="286">
        <v>0</v>
      </c>
      <c r="T90" s="286">
        <v>15.736500266245043</v>
      </c>
      <c r="U90" s="286">
        <v>0</v>
      </c>
      <c r="V90" s="287">
        <v>22.479957342792471</v>
      </c>
      <c r="W90" s="288">
        <v>0</v>
      </c>
      <c r="X90" s="286">
        <v>1.816445731553092</v>
      </c>
      <c r="Y90" s="286">
        <v>0</v>
      </c>
      <c r="Z90" s="287">
        <v>0</v>
      </c>
      <c r="AA90" s="288"/>
      <c r="AB90" s="286"/>
      <c r="AC90" s="287"/>
      <c r="AD90" s="289">
        <v>0</v>
      </c>
      <c r="AE90" s="290">
        <v>0</v>
      </c>
      <c r="AF90" s="289">
        <v>0</v>
      </c>
      <c r="AG90" s="290">
        <v>0</v>
      </c>
      <c r="AH90" s="284">
        <v>0</v>
      </c>
      <c r="AI90" s="147">
        <v>0</v>
      </c>
      <c r="AJ90" s="291">
        <v>0</v>
      </c>
      <c r="AK90" s="292">
        <v>0</v>
      </c>
    </row>
    <row r="91" spans="1:37">
      <c r="A91" s="281">
        <v>0.5628140703517589</v>
      </c>
      <c r="B91" s="281">
        <v>10042.854271356786</v>
      </c>
      <c r="C91" s="282">
        <v>7389.211055276397</v>
      </c>
      <c r="D91" s="282">
        <v>156.33165829145807</v>
      </c>
      <c r="E91" s="282">
        <v>0</v>
      </c>
      <c r="F91" s="283">
        <v>0</v>
      </c>
      <c r="G91" s="284"/>
      <c r="H91" s="147"/>
      <c r="I91" s="285">
        <v>1</v>
      </c>
      <c r="J91" s="288">
        <v>3.4430039393564885E-2</v>
      </c>
      <c r="K91" s="287">
        <v>0</v>
      </c>
      <c r="L91" s="288">
        <v>0</v>
      </c>
      <c r="M91" s="286">
        <v>100</v>
      </c>
      <c r="N91" s="287">
        <v>0</v>
      </c>
      <c r="O91" s="288">
        <v>0</v>
      </c>
      <c r="P91" s="286">
        <v>0.77231077434709572</v>
      </c>
      <c r="Q91" s="286">
        <v>0</v>
      </c>
      <c r="R91" s="287">
        <v>1.22004997614293</v>
      </c>
      <c r="S91" s="286">
        <v>0</v>
      </c>
      <c r="T91" s="286">
        <v>15.73612212889689</v>
      </c>
      <c r="U91" s="286">
        <v>0</v>
      </c>
      <c r="V91" s="287">
        <v>22.481179636437997</v>
      </c>
      <c r="W91" s="288">
        <v>0</v>
      </c>
      <c r="X91" s="286">
        <v>1.818067830724728</v>
      </c>
      <c r="Y91" s="286">
        <v>0</v>
      </c>
      <c r="Z91" s="287">
        <v>0</v>
      </c>
      <c r="AA91" s="288"/>
      <c r="AB91" s="286"/>
      <c r="AC91" s="287"/>
      <c r="AD91" s="289">
        <v>0</v>
      </c>
      <c r="AE91" s="290">
        <v>0</v>
      </c>
      <c r="AF91" s="289">
        <v>0</v>
      </c>
      <c r="AG91" s="290">
        <v>0</v>
      </c>
      <c r="AH91" s="284">
        <v>0</v>
      </c>
      <c r="AI91" s="147">
        <v>0</v>
      </c>
      <c r="AJ91" s="291">
        <v>0</v>
      </c>
      <c r="AK91" s="292">
        <v>0</v>
      </c>
    </row>
    <row r="92" spans="1:37">
      <c r="A92" s="281">
        <v>0.55778894472361817</v>
      </c>
      <c r="B92" s="281">
        <v>9953.1859296482435</v>
      </c>
      <c r="C92" s="282">
        <v>7356.8341708542866</v>
      </c>
      <c r="D92" s="282">
        <v>156.0251256281415</v>
      </c>
      <c r="E92" s="282">
        <v>0</v>
      </c>
      <c r="F92" s="283">
        <v>0</v>
      </c>
      <c r="G92" s="284"/>
      <c r="H92" s="147"/>
      <c r="I92" s="285">
        <v>1</v>
      </c>
      <c r="J92" s="288">
        <v>3.4430039393564885E-2</v>
      </c>
      <c r="K92" s="287">
        <v>0</v>
      </c>
      <c r="L92" s="288">
        <v>0</v>
      </c>
      <c r="M92" s="286">
        <v>100</v>
      </c>
      <c r="N92" s="287">
        <v>0</v>
      </c>
      <c r="O92" s="288">
        <v>0</v>
      </c>
      <c r="P92" s="286">
        <v>0.77221367572402155</v>
      </c>
      <c r="Q92" s="286">
        <v>0</v>
      </c>
      <c r="R92" s="287">
        <v>1.2200134522634278</v>
      </c>
      <c r="S92" s="286">
        <v>0</v>
      </c>
      <c r="T92" s="286">
        <v>15.735739954700898</v>
      </c>
      <c r="U92" s="286">
        <v>0</v>
      </c>
      <c r="V92" s="287">
        <v>22.482402009408531</v>
      </c>
      <c r="W92" s="288">
        <v>0</v>
      </c>
      <c r="X92" s="286">
        <v>1.8197042179875895</v>
      </c>
      <c r="Y92" s="286">
        <v>0</v>
      </c>
      <c r="Z92" s="287">
        <v>0</v>
      </c>
      <c r="AA92" s="288"/>
      <c r="AB92" s="286"/>
      <c r="AC92" s="287"/>
      <c r="AD92" s="289">
        <v>0</v>
      </c>
      <c r="AE92" s="290">
        <v>0</v>
      </c>
      <c r="AF92" s="289">
        <v>0</v>
      </c>
      <c r="AG92" s="290">
        <v>0</v>
      </c>
      <c r="AH92" s="284">
        <v>0</v>
      </c>
      <c r="AI92" s="147">
        <v>0</v>
      </c>
      <c r="AJ92" s="291">
        <v>0</v>
      </c>
      <c r="AK92" s="292">
        <v>0</v>
      </c>
    </row>
    <row r="93" spans="1:37">
      <c r="A93" s="281">
        <v>0.55276381909547756</v>
      </c>
      <c r="B93" s="281">
        <v>9863.5175879397011</v>
      </c>
      <c r="C93" s="282">
        <v>7324.4572864321763</v>
      </c>
      <c r="D93" s="282">
        <v>155.71859296482492</v>
      </c>
      <c r="E93" s="282">
        <v>0</v>
      </c>
      <c r="F93" s="283">
        <v>0</v>
      </c>
      <c r="G93" s="284"/>
      <c r="H93" s="147"/>
      <c r="I93" s="285">
        <v>1</v>
      </c>
      <c r="J93" s="288">
        <v>3.4430039393564885E-2</v>
      </c>
      <c r="K93" s="287">
        <v>0</v>
      </c>
      <c r="L93" s="288">
        <v>0</v>
      </c>
      <c r="M93" s="286">
        <v>100</v>
      </c>
      <c r="N93" s="287">
        <v>0</v>
      </c>
      <c r="O93" s="288">
        <v>0</v>
      </c>
      <c r="P93" s="286">
        <v>0.77211634803194107</v>
      </c>
      <c r="Q93" s="286">
        <v>0</v>
      </c>
      <c r="R93" s="287">
        <v>1.2199769183974314</v>
      </c>
      <c r="S93" s="286">
        <v>0</v>
      </c>
      <c r="T93" s="286">
        <v>15.735353723651167</v>
      </c>
      <c r="U93" s="286">
        <v>0</v>
      </c>
      <c r="V93" s="287">
        <v>22.483624461467304</v>
      </c>
      <c r="W93" s="288">
        <v>0</v>
      </c>
      <c r="X93" s="286">
        <v>1.821354907901551</v>
      </c>
      <c r="Y93" s="286">
        <v>0</v>
      </c>
      <c r="Z93" s="287">
        <v>0</v>
      </c>
      <c r="AA93" s="288"/>
      <c r="AB93" s="286"/>
      <c r="AC93" s="287"/>
      <c r="AD93" s="289">
        <v>1.6230601563126274E-10</v>
      </c>
      <c r="AE93" s="290">
        <v>0</v>
      </c>
      <c r="AF93" s="289">
        <v>0</v>
      </c>
      <c r="AG93" s="290">
        <v>0</v>
      </c>
      <c r="AH93" s="284">
        <v>0</v>
      </c>
      <c r="AI93" s="147">
        <v>0</v>
      </c>
      <c r="AJ93" s="291">
        <v>1.4039163406893156E-10</v>
      </c>
      <c r="AK93" s="292">
        <v>0</v>
      </c>
    </row>
    <row r="94" spans="1:37">
      <c r="A94" s="281">
        <v>0.54773869346733683</v>
      </c>
      <c r="B94" s="281">
        <v>9773.8492462311588</v>
      </c>
      <c r="C94" s="282">
        <v>7292.0804020100659</v>
      </c>
      <c r="D94" s="282">
        <v>155.41206030150835</v>
      </c>
      <c r="E94" s="282">
        <v>0</v>
      </c>
      <c r="F94" s="283">
        <v>0</v>
      </c>
      <c r="G94" s="284"/>
      <c r="H94" s="147"/>
      <c r="I94" s="285">
        <v>1</v>
      </c>
      <c r="J94" s="288">
        <v>3.4430039393564885E-2</v>
      </c>
      <c r="K94" s="287">
        <v>0</v>
      </c>
      <c r="L94" s="288">
        <v>0</v>
      </c>
      <c r="M94" s="286">
        <v>100</v>
      </c>
      <c r="N94" s="287">
        <v>0</v>
      </c>
      <c r="O94" s="288">
        <v>0</v>
      </c>
      <c r="P94" s="286">
        <v>0.77201879017226771</v>
      </c>
      <c r="Q94" s="286">
        <v>0</v>
      </c>
      <c r="R94" s="287">
        <v>1.2199403745205861</v>
      </c>
      <c r="S94" s="286">
        <v>0</v>
      </c>
      <c r="T94" s="286">
        <v>15.734963415603337</v>
      </c>
      <c r="U94" s="286">
        <v>0</v>
      </c>
      <c r="V94" s="287">
        <v>22.484846992457992</v>
      </c>
      <c r="W94" s="288">
        <v>0</v>
      </c>
      <c r="X94" s="286">
        <v>1.8230199153166684</v>
      </c>
      <c r="Y94" s="286">
        <v>0</v>
      </c>
      <c r="Z94" s="287">
        <v>0</v>
      </c>
      <c r="AA94" s="288"/>
      <c r="AB94" s="286"/>
      <c r="AC94" s="287"/>
      <c r="AD94" s="289">
        <v>1.8737776261941847E-7</v>
      </c>
      <c r="AE94" s="290">
        <v>0</v>
      </c>
      <c r="AF94" s="289">
        <v>0</v>
      </c>
      <c r="AG94" s="290">
        <v>0</v>
      </c>
      <c r="AH94" s="284">
        <v>0</v>
      </c>
      <c r="AI94" s="147">
        <v>0</v>
      </c>
      <c r="AJ94" s="291">
        <v>1.6211331045355211E-7</v>
      </c>
      <c r="AK94" s="292">
        <v>0</v>
      </c>
    </row>
    <row r="95" spans="1:37">
      <c r="A95" s="281">
        <v>0.54271356783919622</v>
      </c>
      <c r="B95" s="281">
        <v>9684.1809045226164</v>
      </c>
      <c r="C95" s="282">
        <v>7259.7035175879555</v>
      </c>
      <c r="D95" s="282">
        <v>155.10552763819177</v>
      </c>
      <c r="E95" s="282">
        <v>0</v>
      </c>
      <c r="F95" s="283">
        <v>0</v>
      </c>
      <c r="G95" s="284"/>
      <c r="H95" s="147"/>
      <c r="I95" s="285">
        <v>0.99941141989313609</v>
      </c>
      <c r="J95" s="288">
        <v>3.4410651253618293E-2</v>
      </c>
      <c r="K95" s="287">
        <v>0.79540223715216984</v>
      </c>
      <c r="L95" s="288">
        <v>0</v>
      </c>
      <c r="M95" s="286">
        <v>99.997452253046433</v>
      </c>
      <c r="N95" s="287">
        <v>2.547746953562312E-3</v>
      </c>
      <c r="O95" s="288">
        <v>0</v>
      </c>
      <c r="P95" s="286">
        <v>0.77191448225555093</v>
      </c>
      <c r="Q95" s="286">
        <v>1.1142455518859342</v>
      </c>
      <c r="R95" s="287">
        <v>1.219903820606441</v>
      </c>
      <c r="S95" s="286">
        <v>0</v>
      </c>
      <c r="T95" s="286">
        <v>15.73445641968179</v>
      </c>
      <c r="U95" s="286">
        <v>21.196930442621191</v>
      </c>
      <c r="V95" s="287">
        <v>22.48606960219551</v>
      </c>
      <c r="W95" s="288">
        <v>0</v>
      </c>
      <c r="X95" s="286">
        <v>1.8233273742633493</v>
      </c>
      <c r="Y95" s="286">
        <v>187.81268891608272</v>
      </c>
      <c r="Z95" s="287">
        <v>0</v>
      </c>
      <c r="AA95" s="288"/>
      <c r="AB95" s="286"/>
      <c r="AC95" s="287"/>
      <c r="AD95" s="289">
        <v>2.1667441623375545E-4</v>
      </c>
      <c r="AE95" s="290">
        <v>3.7240303705265987E-4</v>
      </c>
      <c r="AF95" s="289">
        <v>6.0614085278472033E-3</v>
      </c>
      <c r="AG95" s="290">
        <v>8.2374526645074449E-3</v>
      </c>
      <c r="AH95" s="284">
        <v>2.5958923862151057E-3</v>
      </c>
      <c r="AI95" s="147">
        <v>3.5278170998312313E-3</v>
      </c>
      <c r="AJ95" s="291">
        <v>1.8730595213465565E-4</v>
      </c>
      <c r="AK95" s="292">
        <v>1.9103957779791179</v>
      </c>
    </row>
    <row r="96" spans="1:37">
      <c r="A96" s="281">
        <v>0.5376884422110555</v>
      </c>
      <c r="B96" s="281">
        <v>9594.512562814074</v>
      </c>
      <c r="C96" s="282">
        <v>7227.3266331658451</v>
      </c>
      <c r="D96" s="282">
        <v>154.7989949748752</v>
      </c>
      <c r="E96" s="282">
        <v>0</v>
      </c>
      <c r="F96" s="283">
        <v>0</v>
      </c>
      <c r="G96" s="284"/>
      <c r="H96" s="147"/>
      <c r="I96" s="285">
        <v>0.99614831606404475</v>
      </c>
      <c r="J96" s="288">
        <v>3.4303143037576686E-2</v>
      </c>
      <c r="K96" s="287">
        <v>0.79567020547941603</v>
      </c>
      <c r="L96" s="288">
        <v>0</v>
      </c>
      <c r="M96" s="286">
        <v>99.983333090929719</v>
      </c>
      <c r="N96" s="287">
        <v>1.6666909070273267E-2</v>
      </c>
      <c r="O96" s="288">
        <v>0</v>
      </c>
      <c r="P96" s="286">
        <v>0.7717803039225003</v>
      </c>
      <c r="Q96" s="286">
        <v>1.1143568666333641</v>
      </c>
      <c r="R96" s="287">
        <v>1.2198672566284776</v>
      </c>
      <c r="S96" s="286">
        <v>0</v>
      </c>
      <c r="T96" s="286">
        <v>15.733433320885609</v>
      </c>
      <c r="U96" s="286">
        <v>21.200128768066822</v>
      </c>
      <c r="V96" s="287">
        <v>22.48729229049389</v>
      </c>
      <c r="W96" s="288">
        <v>0</v>
      </c>
      <c r="X96" s="286">
        <v>1.8174053469080043</v>
      </c>
      <c r="Y96" s="286">
        <v>188.36021387114189</v>
      </c>
      <c r="Z96" s="287">
        <v>0</v>
      </c>
      <c r="AA96" s="288"/>
      <c r="AB96" s="286"/>
      <c r="AC96" s="287"/>
      <c r="AD96" s="289">
        <v>1.5123780361282271E-3</v>
      </c>
      <c r="AE96" s="290">
        <v>2.3358176172725287E-3</v>
      </c>
      <c r="AF96" s="289">
        <v>4.2643093663006663E-2</v>
      </c>
      <c r="AG96" s="290">
        <v>5.7950216576087024E-2</v>
      </c>
      <c r="AH96" s="284">
        <v>1.8262567463634104E-2</v>
      </c>
      <c r="AI96" s="147">
        <v>2.4818080698284332E-2</v>
      </c>
      <c r="AJ96" s="291">
        <v>1.2983167786374983E-3</v>
      </c>
      <c r="AK96" s="292">
        <v>13.334159787752862</v>
      </c>
    </row>
    <row r="97" spans="1:37">
      <c r="A97" s="281">
        <v>0.53266331658291477</v>
      </c>
      <c r="B97" s="281">
        <v>9504.8442211055317</v>
      </c>
      <c r="C97" s="282">
        <v>7194.9497487437347</v>
      </c>
      <c r="D97" s="282">
        <v>154.49246231155863</v>
      </c>
      <c r="E97" s="282">
        <v>0</v>
      </c>
      <c r="F97" s="283">
        <v>0</v>
      </c>
      <c r="G97" s="284"/>
      <c r="H97" s="147"/>
      <c r="I97" s="285">
        <v>0.99289563942629677</v>
      </c>
      <c r="J97" s="288">
        <v>3.4195944897588579E-2</v>
      </c>
      <c r="K97" s="287">
        <v>0.79593774821666319</v>
      </c>
      <c r="L97" s="288">
        <v>0</v>
      </c>
      <c r="M97" s="286">
        <v>99.969268524458499</v>
      </c>
      <c r="N97" s="287">
        <v>3.0731475541490454E-2</v>
      </c>
      <c r="O97" s="288">
        <v>0</v>
      </c>
      <c r="P97" s="286">
        <v>0.77164597961590586</v>
      </c>
      <c r="Q97" s="286">
        <v>1.1144679498424661</v>
      </c>
      <c r="R97" s="287">
        <v>1.2198306825600893</v>
      </c>
      <c r="S97" s="286">
        <v>0</v>
      </c>
      <c r="T97" s="286">
        <v>15.732407451202489</v>
      </c>
      <c r="U97" s="286">
        <v>21.203323353350157</v>
      </c>
      <c r="V97" s="287">
        <v>22.48851505716609</v>
      </c>
      <c r="W97" s="288">
        <v>0</v>
      </c>
      <c r="X97" s="286">
        <v>1.8115050259073529</v>
      </c>
      <c r="Y97" s="286">
        <v>188.91098105175359</v>
      </c>
      <c r="Z97" s="287">
        <v>0</v>
      </c>
      <c r="AA97" s="288"/>
      <c r="AB97" s="286"/>
      <c r="AC97" s="287"/>
      <c r="AD97" s="289">
        <v>3.4177332779880103E-3</v>
      </c>
      <c r="AE97" s="290">
        <v>3.6728550981893759E-3</v>
      </c>
      <c r="AF97" s="289">
        <v>9.6827788255173616E-2</v>
      </c>
      <c r="AG97" s="290">
        <v>0.13158105060427858</v>
      </c>
      <c r="AH97" s="284">
        <v>4.1468004862382349E-2</v>
      </c>
      <c r="AI97" s="147">
        <v>5.63516294710373E-2</v>
      </c>
      <c r="AJ97" s="291">
        <v>2.8959555487109464E-3</v>
      </c>
      <c r="AK97" s="292">
        <v>29.921853990701486</v>
      </c>
    </row>
    <row r="98" spans="1:37">
      <c r="A98" s="281">
        <v>0.52763819095477416</v>
      </c>
      <c r="B98" s="281">
        <v>9415.1758793969893</v>
      </c>
      <c r="C98" s="282">
        <v>7162.5728643216244</v>
      </c>
      <c r="D98" s="282">
        <v>154.18592964824205</v>
      </c>
      <c r="E98" s="282">
        <v>0</v>
      </c>
      <c r="F98" s="283">
        <v>0</v>
      </c>
      <c r="G98" s="284"/>
      <c r="H98" s="147"/>
      <c r="I98" s="285">
        <v>0.98965335783611796</v>
      </c>
      <c r="J98" s="288">
        <v>3.4089056107095311E-2</v>
      </c>
      <c r="K98" s="287">
        <v>0.79620485304490762</v>
      </c>
      <c r="L98" s="288">
        <v>0</v>
      </c>
      <c r="M98" s="286">
        <v>99.9552583363526</v>
      </c>
      <c r="N98" s="287">
        <v>4.4741663647394334E-2</v>
      </c>
      <c r="O98" s="288">
        <v>0</v>
      </c>
      <c r="P98" s="286">
        <v>0.77151150787801648</v>
      </c>
      <c r="Q98" s="286">
        <v>1.1145787945654158</v>
      </c>
      <c r="R98" s="287">
        <v>1.2197940983745814</v>
      </c>
      <c r="S98" s="286">
        <v>0</v>
      </c>
      <c r="T98" s="286">
        <v>15.731378784743281</v>
      </c>
      <c r="U98" s="286">
        <v>21.206514086902541</v>
      </c>
      <c r="V98" s="287">
        <v>22.489737902023993</v>
      </c>
      <c r="W98" s="288">
        <v>0</v>
      </c>
      <c r="X98" s="286">
        <v>1.8056262653229358</v>
      </c>
      <c r="Y98" s="286">
        <v>189.46499824686146</v>
      </c>
      <c r="Z98" s="287">
        <v>0</v>
      </c>
      <c r="AA98" s="288"/>
      <c r="AB98" s="286"/>
      <c r="AC98" s="287"/>
      <c r="AD98" s="289">
        <v>5.6493235308639339E-3</v>
      </c>
      <c r="AE98" s="290">
        <v>4.6657823387511455E-3</v>
      </c>
      <c r="AF98" s="289">
        <v>0.16032667531833025</v>
      </c>
      <c r="AG98" s="290">
        <v>0.21786431421695504</v>
      </c>
      <c r="AH98" s="284">
        <v>6.8662389913826019E-2</v>
      </c>
      <c r="AI98" s="147">
        <v>9.3303777810969143E-2</v>
      </c>
      <c r="AJ98" s="291">
        <v>4.6920030705468385E-3</v>
      </c>
      <c r="AK98" s="292">
        <v>48.85497284959277</v>
      </c>
    </row>
    <row r="99" spans="1:37">
      <c r="A99" s="281">
        <v>0.52261306532663343</v>
      </c>
      <c r="B99" s="281">
        <v>9325.507537688447</v>
      </c>
      <c r="C99" s="282">
        <v>7130.195979899514</v>
      </c>
      <c r="D99" s="282">
        <v>153.87939698492548</v>
      </c>
      <c r="E99" s="282">
        <v>0</v>
      </c>
      <c r="F99" s="283">
        <v>0</v>
      </c>
      <c r="G99" s="284"/>
      <c r="H99" s="147"/>
      <c r="I99" s="285">
        <v>0.98642143957457051</v>
      </c>
      <c r="J99" s="288">
        <v>3.398247595102652E-2</v>
      </c>
      <c r="K99" s="287">
        <v>0.79647151998307997</v>
      </c>
      <c r="L99" s="288">
        <v>0</v>
      </c>
      <c r="M99" s="286">
        <v>99.941302311680218</v>
      </c>
      <c r="N99" s="287">
        <v>5.8697688319774941E-2</v>
      </c>
      <c r="O99" s="288">
        <v>0</v>
      </c>
      <c r="P99" s="286">
        <v>0.7713768872465776</v>
      </c>
      <c r="Q99" s="286">
        <v>1.114689400485297</v>
      </c>
      <c r="R99" s="287">
        <v>1.2197575040451774</v>
      </c>
      <c r="S99" s="286">
        <v>0</v>
      </c>
      <c r="T99" s="286">
        <v>15.730347295529276</v>
      </c>
      <c r="U99" s="286">
        <v>21.209700959355686</v>
      </c>
      <c r="V99" s="287">
        <v>22.490960824878456</v>
      </c>
      <c r="W99" s="288">
        <v>0</v>
      </c>
      <c r="X99" s="286">
        <v>1.7997689211479906</v>
      </c>
      <c r="Y99" s="286">
        <v>190.02228176094604</v>
      </c>
      <c r="Z99" s="287">
        <v>0</v>
      </c>
      <c r="AA99" s="288"/>
      <c r="AB99" s="286"/>
      <c r="AC99" s="287"/>
      <c r="AD99" s="289">
        <v>8.0435394794402832E-3</v>
      </c>
      <c r="AE99" s="290">
        <v>5.4778309205085751E-3</v>
      </c>
      <c r="AF99" s="289">
        <v>0.22789231444097166</v>
      </c>
      <c r="AG99" s="290">
        <v>0.30966845157689321</v>
      </c>
      <c r="AH99" s="284">
        <v>9.7598424725278618E-2</v>
      </c>
      <c r="AI99" s="147">
        <v>0.1326203261183227</v>
      </c>
      <c r="AJ99" s="291">
        <v>6.5007174315844986E-3</v>
      </c>
      <c r="AK99" s="292">
        <v>68.401187016553365</v>
      </c>
    </row>
    <row r="100" spans="1:37">
      <c r="A100" s="281">
        <v>0.5175879396984927</v>
      </c>
      <c r="B100" s="281">
        <v>9235.8391959799046</v>
      </c>
      <c r="C100" s="282">
        <v>7097.8190954774036</v>
      </c>
      <c r="D100" s="282">
        <v>153.5728643216089</v>
      </c>
      <c r="E100" s="282">
        <v>0</v>
      </c>
      <c r="F100" s="283">
        <v>0</v>
      </c>
      <c r="G100" s="284"/>
      <c r="H100" s="147"/>
      <c r="I100" s="285">
        <v>0.98319985298581369</v>
      </c>
      <c r="J100" s="288">
        <v>3.3876203713929007E-2</v>
      </c>
      <c r="K100" s="287">
        <v>0.79673774851515444</v>
      </c>
      <c r="L100" s="288">
        <v>0</v>
      </c>
      <c r="M100" s="286">
        <v>99.927400236201422</v>
      </c>
      <c r="N100" s="287">
        <v>7.2599763798578174E-2</v>
      </c>
      <c r="O100" s="288">
        <v>0</v>
      </c>
      <c r="P100" s="286">
        <v>0.77124211625072259</v>
      </c>
      <c r="Q100" s="286">
        <v>1.1147997669952507</v>
      </c>
      <c r="R100" s="287">
        <v>1.2197208995450188</v>
      </c>
      <c r="S100" s="286">
        <v>0</v>
      </c>
      <c r="T100" s="286">
        <v>15.729312957421335</v>
      </c>
      <c r="U100" s="286">
        <v>21.212883956830876</v>
      </c>
      <c r="V100" s="287">
        <v>22.492183825539335</v>
      </c>
      <c r="W100" s="288">
        <v>0</v>
      </c>
      <c r="X100" s="286">
        <v>1.7939328504681173</v>
      </c>
      <c r="Y100" s="286">
        <v>190.5828476330054</v>
      </c>
      <c r="Z100" s="287">
        <v>0</v>
      </c>
      <c r="AA100" s="288"/>
      <c r="AB100" s="286"/>
      <c r="AC100" s="287"/>
      <c r="AD100" s="289">
        <v>1.0555317691357265E-2</v>
      </c>
      <c r="AE100" s="290">
        <v>6.1620808074719369E-3</v>
      </c>
      <c r="AF100" s="289">
        <v>0.27925226458893648</v>
      </c>
      <c r="AG100" s="290">
        <v>0.3794468518318711</v>
      </c>
      <c r="AH100" s="284">
        <v>0.11959412142398661</v>
      </c>
      <c r="AI100" s="147">
        <v>0.16250401026731054</v>
      </c>
      <c r="AJ100" s="291">
        <v>4.9573173018207213E-3</v>
      </c>
      <c r="AK100" s="292">
        <v>82.845139424281982</v>
      </c>
    </row>
    <row r="101" spans="1:37">
      <c r="A101" s="281">
        <v>0.51256281407035209</v>
      </c>
      <c r="B101" s="281">
        <v>9146.1708542713623</v>
      </c>
      <c r="C101" s="282">
        <v>7065.4422110552932</v>
      </c>
      <c r="D101" s="282">
        <v>153.26633165829233</v>
      </c>
      <c r="E101" s="282">
        <v>0</v>
      </c>
      <c r="F101" s="283">
        <v>0</v>
      </c>
      <c r="G101" s="284"/>
      <c r="H101" s="147"/>
      <c r="I101" s="285">
        <v>0.97998856647895294</v>
      </c>
      <c r="J101" s="288">
        <v>3.3770238680042669E-2</v>
      </c>
      <c r="K101" s="287">
        <v>0.79700353801390966</v>
      </c>
      <c r="L101" s="288">
        <v>0</v>
      </c>
      <c r="M101" s="286">
        <v>99.913551896373221</v>
      </c>
      <c r="N101" s="287">
        <v>8.644810362677878E-2</v>
      </c>
      <c r="O101" s="288">
        <v>0</v>
      </c>
      <c r="P101" s="286">
        <v>0.77110719341092271</v>
      </c>
      <c r="Q101" s="286">
        <v>1.114909893426391</v>
      </c>
      <c r="R101" s="287">
        <v>1.2196842848471579</v>
      </c>
      <c r="S101" s="286">
        <v>0</v>
      </c>
      <c r="T101" s="286">
        <v>15.728275744118957</v>
      </c>
      <c r="U101" s="286">
        <v>21.216063064450935</v>
      </c>
      <c r="V101" s="287">
        <v>22.493406903815369</v>
      </c>
      <c r="W101" s="288">
        <v>0</v>
      </c>
      <c r="X101" s="286">
        <v>1.788117911459971</v>
      </c>
      <c r="Y101" s="286">
        <v>191.14671192542761</v>
      </c>
      <c r="Z101" s="287">
        <v>0</v>
      </c>
      <c r="AA101" s="288"/>
      <c r="AB101" s="286"/>
      <c r="AC101" s="287"/>
      <c r="AD101" s="289">
        <v>1.3153655433874893E-2</v>
      </c>
      <c r="AE101" s="290">
        <v>6.7427247133158286E-3</v>
      </c>
      <c r="AF101" s="289">
        <v>0.31803800226446394</v>
      </c>
      <c r="AG101" s="290">
        <v>0.4321357832553383</v>
      </c>
      <c r="AH101" s="284">
        <v>0.1362047162491134</v>
      </c>
      <c r="AI101" s="147">
        <v>0.18506886384740173</v>
      </c>
      <c r="AJ101" s="291">
        <v>5.4347019816620148E-3</v>
      </c>
      <c r="AK101" s="292">
        <v>93.515352931095705</v>
      </c>
    </row>
    <row r="102" spans="1:37">
      <c r="A102" s="281">
        <v>0.50753768844221137</v>
      </c>
      <c r="B102" s="281">
        <v>9056.5025125628199</v>
      </c>
      <c r="C102" s="282">
        <v>7033.0653266331828</v>
      </c>
      <c r="D102" s="282">
        <v>152.95979899497576</v>
      </c>
      <c r="E102" s="282">
        <v>0</v>
      </c>
      <c r="F102" s="283">
        <v>0</v>
      </c>
      <c r="G102" s="284"/>
      <c r="H102" s="147"/>
      <c r="I102" s="285">
        <v>0.97678754852337213</v>
      </c>
      <c r="J102" s="288">
        <v>3.3664580133161495E-2</v>
      </c>
      <c r="K102" s="287">
        <v>0.79726888780587057</v>
      </c>
      <c r="L102" s="288">
        <v>0</v>
      </c>
      <c r="M102" s="286">
        <v>99.899757079326037</v>
      </c>
      <c r="N102" s="287">
        <v>0.10024292067397381</v>
      </c>
      <c r="O102" s="288">
        <v>0</v>
      </c>
      <c r="P102" s="286">
        <v>0.77097211723885528</v>
      </c>
      <c r="Q102" s="286">
        <v>1.1150197790827288</v>
      </c>
      <c r="R102" s="287">
        <v>1.2196476599245651</v>
      </c>
      <c r="S102" s="286">
        <v>0</v>
      </c>
      <c r="T102" s="286">
        <v>15.727235629157892</v>
      </c>
      <c r="U102" s="286">
        <v>21.219238266877724</v>
      </c>
      <c r="V102" s="287">
        <v>22.494630059514297</v>
      </c>
      <c r="W102" s="288">
        <v>0</v>
      </c>
      <c r="X102" s="286">
        <v>1.782323963374798</v>
      </c>
      <c r="Y102" s="286">
        <v>191.7138907682932</v>
      </c>
      <c r="Z102" s="287">
        <v>0</v>
      </c>
      <c r="AA102" s="288"/>
      <c r="AB102" s="286"/>
      <c r="AC102" s="287"/>
      <c r="AD102" s="289">
        <v>1.5803913306868596E-2</v>
      </c>
      <c r="AE102" s="290">
        <v>7.2533864509868318E-3</v>
      </c>
      <c r="AF102" s="289">
        <v>0.35349783260026618</v>
      </c>
      <c r="AG102" s="290">
        <v>0.48030258837810363</v>
      </c>
      <c r="AH102" s="284">
        <v>0.15139093957695784</v>
      </c>
      <c r="AI102" s="147">
        <v>0.20569704657292767</v>
      </c>
      <c r="AJ102" s="291">
        <v>5.9538637992788343E-3</v>
      </c>
      <c r="AK102" s="292">
        <v>103.09188564931188</v>
      </c>
    </row>
    <row r="103" spans="1:37">
      <c r="A103" s="281">
        <v>0.50251256281407075</v>
      </c>
      <c r="B103" s="281">
        <v>8966.8341708542775</v>
      </c>
      <c r="C103" s="282">
        <v>7000.6884422110725</v>
      </c>
      <c r="D103" s="282">
        <v>152.65326633165918</v>
      </c>
      <c r="E103" s="282">
        <v>0</v>
      </c>
      <c r="F103" s="283">
        <v>0</v>
      </c>
      <c r="G103" s="284"/>
      <c r="H103" s="147"/>
      <c r="I103" s="285">
        <v>0.97359676764980729</v>
      </c>
      <c r="J103" s="288">
        <v>3.355922735668361E-2</v>
      </c>
      <c r="K103" s="287">
        <v>0.79753379719255635</v>
      </c>
      <c r="L103" s="288">
        <v>0</v>
      </c>
      <c r="M103" s="286">
        <v>99.886015572865418</v>
      </c>
      <c r="N103" s="287">
        <v>0.11398442713457836</v>
      </c>
      <c r="O103" s="288">
        <v>0</v>
      </c>
      <c r="P103" s="286">
        <v>0.77083688623733648</v>
      </c>
      <c r="Q103" s="286">
        <v>1.1151294232525499</v>
      </c>
      <c r="R103" s="287">
        <v>1.2196110247501188</v>
      </c>
      <c r="S103" s="286">
        <v>0</v>
      </c>
      <c r="T103" s="286">
        <v>15.726192585908885</v>
      </c>
      <c r="U103" s="286">
        <v>21.222409548487136</v>
      </c>
      <c r="V103" s="287">
        <v>22.495853292442714</v>
      </c>
      <c r="W103" s="288">
        <v>0</v>
      </c>
      <c r="X103" s="286">
        <v>1.7765508665354734</v>
      </c>
      <c r="Y103" s="286">
        <v>192.28440037396206</v>
      </c>
      <c r="Z103" s="287">
        <v>0</v>
      </c>
      <c r="AA103" s="288"/>
      <c r="AB103" s="286"/>
      <c r="AC103" s="287"/>
      <c r="AD103" s="289">
        <v>1.8483457042853257E-2</v>
      </c>
      <c r="AE103" s="290">
        <v>7.7159974017542154E-3</v>
      </c>
      <c r="AF103" s="289">
        <v>0.38626843803789856</v>
      </c>
      <c r="AG103" s="290">
        <v>0.52481271668170726</v>
      </c>
      <c r="AH103" s="284">
        <v>0.16542546055609778</v>
      </c>
      <c r="AI103" s="147">
        <v>0.22475920063199736</v>
      </c>
      <c r="AJ103" s="291">
        <v>6.4394302423128177E-3</v>
      </c>
      <c r="AK103" s="292">
        <v>111.79031781547219</v>
      </c>
    </row>
    <row r="104" spans="1:37">
      <c r="A104" s="281">
        <v>0.49748743718593003</v>
      </c>
      <c r="B104" s="281">
        <v>8877.1658291457352</v>
      </c>
      <c r="C104" s="282">
        <v>6968.3115577889621</v>
      </c>
      <c r="D104" s="282">
        <v>152.34673366834261</v>
      </c>
      <c r="E104" s="282">
        <v>0</v>
      </c>
      <c r="F104" s="283">
        <v>0</v>
      </c>
      <c r="G104" s="284"/>
      <c r="H104" s="147"/>
      <c r="I104" s="285">
        <v>0.97041619294473369</v>
      </c>
      <c r="J104" s="288">
        <v>3.345417964995015E-2</v>
      </c>
      <c r="K104" s="287">
        <v>0.7977982655439666</v>
      </c>
      <c r="L104" s="288">
        <v>0</v>
      </c>
      <c r="M104" s="286">
        <v>99.872327167616746</v>
      </c>
      <c r="N104" s="287">
        <v>0.12767283238324939</v>
      </c>
      <c r="O104" s="288">
        <v>0</v>
      </c>
      <c r="P104" s="286">
        <v>0.77070149890471717</v>
      </c>
      <c r="Q104" s="286">
        <v>1.1152388252571326</v>
      </c>
      <c r="R104" s="287">
        <v>1.2195743792966198</v>
      </c>
      <c r="S104" s="286">
        <v>0</v>
      </c>
      <c r="T104" s="286">
        <v>15.725146587653585</v>
      </c>
      <c r="U104" s="286">
        <v>21.225576894154656</v>
      </c>
      <c r="V104" s="287">
        <v>22.49707660240626</v>
      </c>
      <c r="W104" s="288">
        <v>0</v>
      </c>
      <c r="X104" s="286">
        <v>1.7707984834913151</v>
      </c>
      <c r="Y104" s="286">
        <v>192.8582571043473</v>
      </c>
      <c r="Z104" s="287">
        <v>0</v>
      </c>
      <c r="AA104" s="288"/>
      <c r="AB104" s="286"/>
      <c r="AC104" s="287"/>
      <c r="AD104" s="289">
        <v>2.1175556458800864E-2</v>
      </c>
      <c r="AE104" s="290">
        <v>8.1468074149427805E-3</v>
      </c>
      <c r="AF104" s="289">
        <v>0.41731703771116241</v>
      </c>
      <c r="AG104" s="290">
        <v>0.56698059187721117</v>
      </c>
      <c r="AH104" s="284">
        <v>0.17872250580955348</v>
      </c>
      <c r="AI104" s="147">
        <v>0.24281824840282215</v>
      </c>
      <c r="AJ104" s="291">
        <v>6.8665485703384779E-3</v>
      </c>
      <c r="AK104" s="292">
        <v>119.89713151999983</v>
      </c>
    </row>
    <row r="105" spans="1:37">
      <c r="A105" s="281">
        <v>0.49246231155778936</v>
      </c>
      <c r="B105" s="281">
        <v>8787.4974874371928</v>
      </c>
      <c r="C105" s="282">
        <v>6935.9346733668517</v>
      </c>
      <c r="D105" s="282">
        <v>152.04020100502603</v>
      </c>
      <c r="E105" s="282">
        <v>0</v>
      </c>
      <c r="F105" s="283">
        <v>0</v>
      </c>
      <c r="G105" s="284"/>
      <c r="H105" s="147"/>
      <c r="I105" s="285">
        <v>0.9672457920783224</v>
      </c>
      <c r="J105" s="288">
        <v>3.3349436263149027E-2</v>
      </c>
      <c r="K105" s="287">
        <v>0.79806229195234268</v>
      </c>
      <c r="L105" s="288">
        <v>0</v>
      </c>
      <c r="M105" s="286">
        <v>99.858691648456471</v>
      </c>
      <c r="N105" s="287">
        <v>0.14130835154353136</v>
      </c>
      <c r="O105" s="288">
        <v>0</v>
      </c>
      <c r="P105" s="286">
        <v>0.7705659537169004</v>
      </c>
      <c r="Q105" s="286">
        <v>1.1153479842706389</v>
      </c>
      <c r="R105" s="287">
        <v>1.219537723536781</v>
      </c>
      <c r="S105" s="286">
        <v>0</v>
      </c>
      <c r="T105" s="286">
        <v>15.724097607273617</v>
      </c>
      <c r="U105" s="286">
        <v>21.228740286339352</v>
      </c>
      <c r="V105" s="287">
        <v>22.49829998920946</v>
      </c>
      <c r="W105" s="288">
        <v>0</v>
      </c>
      <c r="X105" s="286">
        <v>1.7650666743862069</v>
      </c>
      <c r="Y105" s="286">
        <v>193.43547722155785</v>
      </c>
      <c r="Z105" s="287">
        <v>0</v>
      </c>
      <c r="AA105" s="288"/>
      <c r="AB105" s="286"/>
      <c r="AC105" s="287"/>
      <c r="AD105" s="289">
        <v>2.3873638437923971E-2</v>
      </c>
      <c r="AE105" s="290">
        <v>8.55180415991319E-3</v>
      </c>
      <c r="AF105" s="289">
        <v>0.44534577552715243</v>
      </c>
      <c r="AG105" s="290">
        <v>0.60504316699522898</v>
      </c>
      <c r="AH105" s="284">
        <v>0.19072624829902227</v>
      </c>
      <c r="AI105" s="147">
        <v>0.25911913762595717</v>
      </c>
      <c r="AJ105" s="291">
        <v>7.2583361519662874E-3</v>
      </c>
      <c r="AK105" s="292">
        <v>127.10280127916141</v>
      </c>
    </row>
    <row r="106" spans="1:37">
      <c r="A106" s="281">
        <v>0.48743718592964863</v>
      </c>
      <c r="B106" s="281">
        <v>8697.8291457286505</v>
      </c>
      <c r="C106" s="282">
        <v>6903.5577889447413</v>
      </c>
      <c r="D106" s="282">
        <v>151.73366834170946</v>
      </c>
      <c r="E106" s="282">
        <v>0</v>
      </c>
      <c r="F106" s="283">
        <v>0</v>
      </c>
      <c r="G106" s="284"/>
      <c r="H106" s="147"/>
      <c r="I106" s="285">
        <v>0.9640855342298329</v>
      </c>
      <c r="J106" s="288">
        <v>3.3244996493910127E-2</v>
      </c>
      <c r="K106" s="287">
        <v>0.79832587575079295</v>
      </c>
      <c r="L106" s="288">
        <v>0</v>
      </c>
      <c r="M106" s="286">
        <v>99.845108807214501</v>
      </c>
      <c r="N106" s="287">
        <v>0.15489119278549807</v>
      </c>
      <c r="O106" s="288">
        <v>0</v>
      </c>
      <c r="P106" s="286">
        <v>0.77043024915382308</v>
      </c>
      <c r="Q106" s="286">
        <v>1.1154568995898895</v>
      </c>
      <c r="R106" s="287">
        <v>1.2195010574432166</v>
      </c>
      <c r="S106" s="286">
        <v>0</v>
      </c>
      <c r="T106" s="286">
        <v>15.723045617708209</v>
      </c>
      <c r="U106" s="286">
        <v>21.231899709448154</v>
      </c>
      <c r="V106" s="287">
        <v>22.499523452655673</v>
      </c>
      <c r="W106" s="288">
        <v>0</v>
      </c>
      <c r="X106" s="286">
        <v>1.7593553038154828</v>
      </c>
      <c r="Y106" s="286">
        <v>194.01607726098524</v>
      </c>
      <c r="Z106" s="287">
        <v>0</v>
      </c>
      <c r="AA106" s="288"/>
      <c r="AB106" s="286"/>
      <c r="AC106" s="287"/>
      <c r="AD106" s="289">
        <v>2.6567745612265513E-2</v>
      </c>
      <c r="AE106" s="290">
        <v>8.9406878630541309E-3</v>
      </c>
      <c r="AF106" s="289">
        <v>0.47242744093982525</v>
      </c>
      <c r="AG106" s="290">
        <v>0.64181680131980756</v>
      </c>
      <c r="AH106" s="284">
        <v>0.20232439231584715</v>
      </c>
      <c r="AI106" s="147">
        <v>0.27486801792631471</v>
      </c>
      <c r="AJ106" s="291">
        <v>7.5857744105353522E-3</v>
      </c>
      <c r="AK106" s="292">
        <v>133.96362361550914</v>
      </c>
    </row>
    <row r="107" spans="1:37">
      <c r="A107" s="281">
        <v>0.48241206030150796</v>
      </c>
      <c r="B107" s="281">
        <v>8608.1608040201081</v>
      </c>
      <c r="C107" s="282">
        <v>6871.180904522631</v>
      </c>
      <c r="D107" s="282">
        <v>151.42713567839289</v>
      </c>
      <c r="E107" s="282">
        <v>0</v>
      </c>
      <c r="F107" s="283">
        <v>0</v>
      </c>
      <c r="G107" s="284"/>
      <c r="H107" s="147"/>
      <c r="I107" s="285">
        <v>0.96093538815380897</v>
      </c>
      <c r="J107" s="288">
        <v>3.314085962347936E-2</v>
      </c>
      <c r="K107" s="287">
        <v>0.79858901617230671</v>
      </c>
      <c r="L107" s="288">
        <v>0</v>
      </c>
      <c r="M107" s="286">
        <v>99.831578434273325</v>
      </c>
      <c r="N107" s="287">
        <v>0.16842156572667849</v>
      </c>
      <c r="O107" s="288">
        <v>0</v>
      </c>
      <c r="P107" s="286">
        <v>0.7702943836817987</v>
      </c>
      <c r="Q107" s="286">
        <v>1.1155655704569678</v>
      </c>
      <c r="R107" s="287">
        <v>1.2194643809884713</v>
      </c>
      <c r="S107" s="286">
        <v>0</v>
      </c>
      <c r="T107" s="286">
        <v>15.721990591648908</v>
      </c>
      <c r="U107" s="286">
        <v>21.235055146964879</v>
      </c>
      <c r="V107" s="287">
        <v>22.50074699254732</v>
      </c>
      <c r="W107" s="288">
        <v>0</v>
      </c>
      <c r="X107" s="286">
        <v>1.7536642362856201</v>
      </c>
      <c r="Y107" s="286">
        <v>194.60007378631306</v>
      </c>
      <c r="Z107" s="287">
        <v>0</v>
      </c>
      <c r="AA107" s="288"/>
      <c r="AB107" s="286"/>
      <c r="AC107" s="287"/>
      <c r="AD107" s="289">
        <v>2.9255891383630016E-2</v>
      </c>
      <c r="AE107" s="290">
        <v>9.3150064631341012E-3</v>
      </c>
      <c r="AF107" s="289">
        <v>0.49715328956060784</v>
      </c>
      <c r="AG107" s="290">
        <v>0.67538781632982825</v>
      </c>
      <c r="AH107" s="284">
        <v>0.21291362118608684</v>
      </c>
      <c r="AI107" s="147">
        <v>0.28924532674185782</v>
      </c>
      <c r="AJ107" s="291">
        <v>7.8796929352328467E-3</v>
      </c>
      <c r="AK107" s="292">
        <v>140.14036540371481</v>
      </c>
    </row>
    <row r="108" spans="1:37">
      <c r="A108" s="281">
        <v>0.47738693467336729</v>
      </c>
      <c r="B108" s="281">
        <v>8518.4924623115658</v>
      </c>
      <c r="C108" s="282">
        <v>6838.8040201005206</v>
      </c>
      <c r="D108" s="282">
        <v>151.12060301507631</v>
      </c>
      <c r="E108" s="282">
        <v>0</v>
      </c>
      <c r="F108" s="283">
        <v>0</v>
      </c>
      <c r="G108" s="284"/>
      <c r="H108" s="147"/>
      <c r="I108" s="285">
        <v>0.95779532265767697</v>
      </c>
      <c r="J108" s="288">
        <v>3.3037024932498646E-2</v>
      </c>
      <c r="K108" s="287">
        <v>0.79885171243470909</v>
      </c>
      <c r="L108" s="288">
        <v>0</v>
      </c>
      <c r="M108" s="286">
        <v>99.818100320638976</v>
      </c>
      <c r="N108" s="287">
        <v>0.18189967936103718</v>
      </c>
      <c r="O108" s="288">
        <v>0</v>
      </c>
      <c r="P108" s="286">
        <v>0.77015835575777092</v>
      </c>
      <c r="Q108" s="286">
        <v>1.1156739961033997</v>
      </c>
      <c r="R108" s="287">
        <v>1.2194276941449915</v>
      </c>
      <c r="S108" s="286">
        <v>0</v>
      </c>
      <c r="T108" s="286">
        <v>15.720932501612976</v>
      </c>
      <c r="U108" s="286">
        <v>21.238206582164345</v>
      </c>
      <c r="V108" s="287">
        <v>22.501970608685664</v>
      </c>
      <c r="W108" s="288">
        <v>0</v>
      </c>
      <c r="X108" s="286">
        <v>1.7479933373292451</v>
      </c>
      <c r="Y108" s="286">
        <v>195.18748345055732</v>
      </c>
      <c r="Z108" s="287">
        <v>0</v>
      </c>
      <c r="AA108" s="288"/>
      <c r="AB108" s="286"/>
      <c r="AC108" s="287"/>
      <c r="AD108" s="289">
        <v>3.193626787207883E-2</v>
      </c>
      <c r="AE108" s="290">
        <v>9.6761673868408504E-3</v>
      </c>
      <c r="AF108" s="289">
        <v>0.51989797525640236</v>
      </c>
      <c r="AG108" s="290">
        <v>0.70626545570640864</v>
      </c>
      <c r="AH108" s="284">
        <v>0.22265438624973755</v>
      </c>
      <c r="AI108" s="147">
        <v>0.3024691555918213</v>
      </c>
      <c r="AJ108" s="291">
        <v>8.1420198380377316E-3</v>
      </c>
      <c r="AK108" s="292">
        <v>145.74857948110696</v>
      </c>
    </row>
    <row r="109" spans="1:37">
      <c r="A109" s="281">
        <v>0.47236180904522662</v>
      </c>
      <c r="B109" s="281">
        <v>8428.8241206030234</v>
      </c>
      <c r="C109" s="282">
        <v>6806.4271356784102</v>
      </c>
      <c r="D109" s="282">
        <v>150.81407035175974</v>
      </c>
      <c r="E109" s="282">
        <v>0</v>
      </c>
      <c r="F109" s="283">
        <v>0</v>
      </c>
      <c r="G109" s="284"/>
      <c r="H109" s="147"/>
      <c r="I109" s="285">
        <v>0.95466530659860438</v>
      </c>
      <c r="J109" s="288">
        <v>3.2933491700915869E-2</v>
      </c>
      <c r="K109" s="287">
        <v>0.79911396374015875</v>
      </c>
      <c r="L109" s="288">
        <v>0</v>
      </c>
      <c r="M109" s="286">
        <v>99.804674257924404</v>
      </c>
      <c r="N109" s="287">
        <v>0.19532574207560482</v>
      </c>
      <c r="O109" s="288">
        <v>0</v>
      </c>
      <c r="P109" s="286">
        <v>0.77002216382919741</v>
      </c>
      <c r="Q109" s="286">
        <v>1.1157821757498227</v>
      </c>
      <c r="R109" s="287">
        <v>1.2193909968851391</v>
      </c>
      <c r="S109" s="286">
        <v>0</v>
      </c>
      <c r="T109" s="286">
        <v>15.7198713199413</v>
      </c>
      <c r="U109" s="286">
        <v>21.241353998106771</v>
      </c>
      <c r="V109" s="287">
        <v>22.50319430087087</v>
      </c>
      <c r="W109" s="288">
        <v>0</v>
      </c>
      <c r="X109" s="286">
        <v>1.7423424734929072</v>
      </c>
      <c r="Y109" s="286">
        <v>195.77832299572594</v>
      </c>
      <c r="Z109" s="287">
        <v>0</v>
      </c>
      <c r="AA109" s="288"/>
      <c r="AB109" s="286"/>
      <c r="AC109" s="287"/>
      <c r="AD109" s="289">
        <v>3.4604560303893847E-2</v>
      </c>
      <c r="AE109" s="290">
        <v>1.0028309428820159E-2</v>
      </c>
      <c r="AF109" s="289">
        <v>0.54173026474335628</v>
      </c>
      <c r="AG109" s="290">
        <v>0.73590180466854926</v>
      </c>
      <c r="AH109" s="284">
        <v>0.23200440345983916</v>
      </c>
      <c r="AI109" s="147">
        <v>0.31516138253422121</v>
      </c>
      <c r="AJ109" s="291">
        <v>8.3583021320329885E-3</v>
      </c>
      <c r="AK109" s="292">
        <v>151.06558122018262</v>
      </c>
    </row>
    <row r="110" spans="1:37">
      <c r="A110" s="281">
        <v>0.4673366834170859</v>
      </c>
      <c r="B110" s="281">
        <v>8339.155778894481</v>
      </c>
      <c r="C110" s="282">
        <v>6774.0502512562998</v>
      </c>
      <c r="D110" s="282">
        <v>150.50753768844316</v>
      </c>
      <c r="E110" s="282">
        <v>0</v>
      </c>
      <c r="F110" s="283">
        <v>0</v>
      </c>
      <c r="G110" s="284"/>
      <c r="H110" s="147"/>
      <c r="I110" s="285">
        <v>0.95154530888333089</v>
      </c>
      <c r="J110" s="288">
        <v>3.2830259207992957E-2</v>
      </c>
      <c r="K110" s="287">
        <v>0.79937576927566689</v>
      </c>
      <c r="L110" s="288">
        <v>0</v>
      </c>
      <c r="M110" s="286">
        <v>99.791300038345966</v>
      </c>
      <c r="N110" s="287">
        <v>0.20869996165403054</v>
      </c>
      <c r="O110" s="288">
        <v>0</v>
      </c>
      <c r="P110" s="286">
        <v>0.76988580633394976</v>
      </c>
      <c r="Q110" s="286">
        <v>1.1158901086062794</v>
      </c>
      <c r="R110" s="287">
        <v>1.2193542891811893</v>
      </c>
      <c r="S110" s="286">
        <v>0</v>
      </c>
      <c r="T110" s="286">
        <v>15.718807018796594</v>
      </c>
      <c r="U110" s="286">
        <v>21.244497377641569</v>
      </c>
      <c r="V110" s="287">
        <v>22.504418068902059</v>
      </c>
      <c r="W110" s="288">
        <v>0</v>
      </c>
      <c r="X110" s="286">
        <v>1.7367115123319836</v>
      </c>
      <c r="Y110" s="286">
        <v>196.37260925324216</v>
      </c>
      <c r="Z110" s="287">
        <v>0</v>
      </c>
      <c r="AA110" s="288"/>
      <c r="AB110" s="286"/>
      <c r="AC110" s="287"/>
      <c r="AD110" s="289">
        <v>3.7257374717472189E-2</v>
      </c>
      <c r="AE110" s="290">
        <v>1.0374738669155836E-2</v>
      </c>
      <c r="AF110" s="289">
        <v>0.56280600660274238</v>
      </c>
      <c r="AG110" s="290">
        <v>0.76450867711315529</v>
      </c>
      <c r="AH110" s="284">
        <v>0.24103041739294828</v>
      </c>
      <c r="AI110" s="147">
        <v>0.3274127201616413</v>
      </c>
      <c r="AJ110" s="291">
        <v>8.5295957836313135E-3</v>
      </c>
      <c r="AK110" s="292">
        <v>156.13678312017421</v>
      </c>
    </row>
    <row r="111" spans="1:37">
      <c r="A111" s="281">
        <v>0.46231155778894523</v>
      </c>
      <c r="B111" s="281">
        <v>8249.4874371859387</v>
      </c>
      <c r="C111" s="282">
        <v>6741.6733668341894</v>
      </c>
      <c r="D111" s="282">
        <v>150.20100502512659</v>
      </c>
      <c r="E111" s="282">
        <v>0</v>
      </c>
      <c r="F111" s="283">
        <v>0</v>
      </c>
      <c r="G111" s="284"/>
      <c r="H111" s="147"/>
      <c r="I111" s="285">
        <v>0.94843529846535002</v>
      </c>
      <c r="J111" s="288">
        <v>3.2727326732226295E-2</v>
      </c>
      <c r="K111" s="287">
        <v>0.79963712821257782</v>
      </c>
      <c r="L111" s="288">
        <v>0</v>
      </c>
      <c r="M111" s="286">
        <v>99.77797745470825</v>
      </c>
      <c r="N111" s="287">
        <v>0.22202254529175147</v>
      </c>
      <c r="O111" s="288">
        <v>0</v>
      </c>
      <c r="P111" s="286">
        <v>0.76974928170021018</v>
      </c>
      <c r="Q111" s="286">
        <v>1.1159977938718617</v>
      </c>
      <c r="R111" s="287">
        <v>1.219317571005319</v>
      </c>
      <c r="S111" s="286">
        <v>0</v>
      </c>
      <c r="T111" s="286">
        <v>15.717739570161434</v>
      </c>
      <c r="U111" s="286">
        <v>21.247636703401511</v>
      </c>
      <c r="V111" s="287">
        <v>22.505641912577136</v>
      </c>
      <c r="W111" s="288">
        <v>0</v>
      </c>
      <c r="X111" s="286">
        <v>1.7311003223993722</v>
      </c>
      <c r="Y111" s="286">
        <v>196.97035914356562</v>
      </c>
      <c r="Z111" s="287">
        <v>0</v>
      </c>
      <c r="AA111" s="288"/>
      <c r="AB111" s="286"/>
      <c r="AC111" s="287"/>
      <c r="AD111" s="289">
        <v>3.9898249882827655E-2</v>
      </c>
      <c r="AE111" s="290">
        <v>1.0711397475079765E-2</v>
      </c>
      <c r="AF111" s="289">
        <v>0.58151429821162248</v>
      </c>
      <c r="AG111" s="290">
        <v>0.7898980009125357</v>
      </c>
      <c r="AH111" s="284">
        <v>0.24904253397005552</v>
      </c>
      <c r="AI111" s="147">
        <v>0.33828609258641168</v>
      </c>
      <c r="AJ111" s="291">
        <v>8.6975161736680285E-3</v>
      </c>
      <c r="AK111" s="292">
        <v>160.58726075394452</v>
      </c>
    </row>
    <row r="112" spans="1:37">
      <c r="A112" s="281">
        <v>0.45728643216080456</v>
      </c>
      <c r="B112" s="281">
        <v>8159.8190954773963</v>
      </c>
      <c r="C112" s="282">
        <v>6709.2964824120791</v>
      </c>
      <c r="D112" s="282">
        <v>149.89447236181002</v>
      </c>
      <c r="E112" s="282">
        <v>0</v>
      </c>
      <c r="F112" s="283">
        <v>0</v>
      </c>
      <c r="G112" s="284"/>
      <c r="H112" s="147"/>
      <c r="I112" s="285">
        <v>0.94533524434360106</v>
      </c>
      <c r="J112" s="288">
        <v>3.2624693551316974E-2</v>
      </c>
      <c r="K112" s="287">
        <v>0.79989803970669116</v>
      </c>
      <c r="L112" s="288">
        <v>0</v>
      </c>
      <c r="M112" s="286">
        <v>99.764706300395531</v>
      </c>
      <c r="N112" s="287">
        <v>0.23529369960445903</v>
      </c>
      <c r="O112" s="288">
        <v>0</v>
      </c>
      <c r="P112" s="286">
        <v>0.76961258834635538</v>
      </c>
      <c r="Q112" s="286">
        <v>1.1161052307347801</v>
      </c>
      <c r="R112" s="287">
        <v>1.2192808423296322</v>
      </c>
      <c r="S112" s="286">
        <v>0</v>
      </c>
      <c r="T112" s="286">
        <v>15.716668945836227</v>
      </c>
      <c r="U112" s="286">
        <v>21.250771957803053</v>
      </c>
      <c r="V112" s="287">
        <v>22.506865831693055</v>
      </c>
      <c r="W112" s="288">
        <v>0</v>
      </c>
      <c r="X112" s="286">
        <v>1.7255087732379406</v>
      </c>
      <c r="Y112" s="286">
        <v>197.57158967631901</v>
      </c>
      <c r="Z112" s="287">
        <v>0</v>
      </c>
      <c r="AA112" s="288"/>
      <c r="AB112" s="286"/>
      <c r="AC112" s="287"/>
      <c r="AD112" s="289">
        <v>4.2523353705376021E-2</v>
      </c>
      <c r="AE112" s="290">
        <v>1.1042103595699571E-2</v>
      </c>
      <c r="AF112" s="289">
        <v>0.59982067154300533</v>
      </c>
      <c r="AG112" s="290">
        <v>0.81473985926900661</v>
      </c>
      <c r="AH112" s="284">
        <v>0.25688252279968582</v>
      </c>
      <c r="AI112" s="147">
        <v>0.34892500442855745</v>
      </c>
      <c r="AJ112" s="291">
        <v>8.8241072160391981E-3</v>
      </c>
      <c r="AK112" s="292">
        <v>164.89599211369384</v>
      </c>
    </row>
    <row r="113" spans="1:37">
      <c r="A113" s="281">
        <v>0.45226130653266389</v>
      </c>
      <c r="B113" s="281">
        <v>8070.150753768854</v>
      </c>
      <c r="C113" s="282">
        <v>6676.9195979899687</v>
      </c>
      <c r="D113" s="282">
        <v>149.58793969849344</v>
      </c>
      <c r="E113" s="282">
        <v>0</v>
      </c>
      <c r="F113" s="283">
        <v>0</v>
      </c>
      <c r="G113" s="284"/>
      <c r="H113" s="147"/>
      <c r="I113" s="285">
        <v>0.94224511556152646</v>
      </c>
      <c r="J113" s="288">
        <v>3.2522358942152801E-2</v>
      </c>
      <c r="K113" s="287">
        <v>0.80015850289801682</v>
      </c>
      <c r="L113" s="288">
        <v>0</v>
      </c>
      <c r="M113" s="286">
        <v>99.751486369364883</v>
      </c>
      <c r="N113" s="287">
        <v>0.24851363063511134</v>
      </c>
      <c r="O113" s="288">
        <v>0</v>
      </c>
      <c r="P113" s="286">
        <v>0.76947572468085712</v>
      </c>
      <c r="Q113" s="286">
        <v>1.116212418372174</v>
      </c>
      <c r="R113" s="287">
        <v>1.2192441031261296</v>
      </c>
      <c r="S113" s="286">
        <v>0</v>
      </c>
      <c r="T113" s="286">
        <v>15.715595117437337</v>
      </c>
      <c r="U113" s="286">
        <v>21.253903123043017</v>
      </c>
      <c r="V113" s="287">
        <v>22.508089826045527</v>
      </c>
      <c r="W113" s="288">
        <v>0</v>
      </c>
      <c r="X113" s="286">
        <v>1.7199367353738744</v>
      </c>
      <c r="Y113" s="286">
        <v>198.17631795008373</v>
      </c>
      <c r="Z113" s="287">
        <v>0</v>
      </c>
      <c r="AA113" s="288"/>
      <c r="AB113" s="286"/>
      <c r="AC113" s="287"/>
      <c r="AD113" s="289">
        <v>4.5132768950436344E-2</v>
      </c>
      <c r="AE113" s="290">
        <v>1.136655369168571E-2</v>
      </c>
      <c r="AF113" s="289">
        <v>0.61696490674772919</v>
      </c>
      <c r="AG113" s="290">
        <v>0.83800172098831394</v>
      </c>
      <c r="AH113" s="284">
        <v>0.26422480791888897</v>
      </c>
      <c r="AI113" s="147">
        <v>0.35888725816032907</v>
      </c>
      <c r="AJ113" s="291">
        <v>8.931027799009535E-3</v>
      </c>
      <c r="AK113" s="292">
        <v>168.88958425382222</v>
      </c>
    </row>
    <row r="114" spans="1:37">
      <c r="A114" s="281">
        <v>0.44723618090452316</v>
      </c>
      <c r="B114" s="281">
        <v>7980.4824120603116</v>
      </c>
      <c r="C114" s="282">
        <v>6644.5427135678583</v>
      </c>
      <c r="D114" s="282">
        <v>149.28140703517687</v>
      </c>
      <c r="E114" s="282">
        <v>0</v>
      </c>
      <c r="F114" s="283">
        <v>0</v>
      </c>
      <c r="G114" s="284"/>
      <c r="H114" s="147"/>
      <c r="I114" s="285">
        <v>0.93916488120459241</v>
      </c>
      <c r="J114" s="288">
        <v>3.2420322180739376E-2</v>
      </c>
      <c r="K114" s="287">
        <v>0.80041851691078614</v>
      </c>
      <c r="L114" s="288">
        <v>0</v>
      </c>
      <c r="M114" s="286">
        <v>99.738317456132577</v>
      </c>
      <c r="N114" s="287">
        <v>0.26168254386742823</v>
      </c>
      <c r="O114" s="288">
        <v>0</v>
      </c>
      <c r="P114" s="286">
        <v>0.76933868910216519</v>
      </c>
      <c r="Q114" s="286">
        <v>1.1163193559501041</v>
      </c>
      <c r="R114" s="287">
        <v>1.2192073533667318</v>
      </c>
      <c r="S114" s="286">
        <v>0</v>
      </c>
      <c r="T114" s="286">
        <v>15.714518056394956</v>
      </c>
      <c r="U114" s="286">
        <v>21.257030181097747</v>
      </c>
      <c r="V114" s="287">
        <v>22.509313895429237</v>
      </c>
      <c r="W114" s="288">
        <v>0</v>
      </c>
      <c r="X114" s="286">
        <v>1.714384080306476</v>
      </c>
      <c r="Y114" s="286">
        <v>198.78456115243227</v>
      </c>
      <c r="Z114" s="287">
        <v>0</v>
      </c>
      <c r="AA114" s="288"/>
      <c r="AB114" s="286"/>
      <c r="AC114" s="287"/>
      <c r="AD114" s="289">
        <v>4.7726726440432327E-2</v>
      </c>
      <c r="AE114" s="290">
        <v>1.1684282215594366E-2</v>
      </c>
      <c r="AF114" s="289">
        <v>0.6329914144854546</v>
      </c>
      <c r="AG114" s="290">
        <v>0.85974404775836599</v>
      </c>
      <c r="AH114" s="284">
        <v>0.27108840888273211</v>
      </c>
      <c r="AI114" s="147">
        <v>0.36819874743904712</v>
      </c>
      <c r="AJ114" s="291">
        <v>9.0222304417687735E-3</v>
      </c>
      <c r="AK114" s="292">
        <v>172.58634948004581</v>
      </c>
    </row>
    <row r="115" spans="1:37">
      <c r="A115" s="281">
        <v>0.44221105527638249</v>
      </c>
      <c r="B115" s="281">
        <v>7890.8140703517693</v>
      </c>
      <c r="C115" s="282">
        <v>6612.1658291457479</v>
      </c>
      <c r="D115" s="282">
        <v>148.9748743718603</v>
      </c>
      <c r="E115" s="282">
        <v>0</v>
      </c>
      <c r="F115" s="283">
        <v>0</v>
      </c>
      <c r="G115" s="284"/>
      <c r="H115" s="147"/>
      <c r="I115" s="285">
        <v>0.9360945103986944</v>
      </c>
      <c r="J115" s="288">
        <v>3.2318582542160593E-2</v>
      </c>
      <c r="K115" s="287">
        <v>0.80067808085304493</v>
      </c>
      <c r="L115" s="288">
        <v>0</v>
      </c>
      <c r="M115" s="286">
        <v>99.725199355764332</v>
      </c>
      <c r="N115" s="287">
        <v>0.27480064423567274</v>
      </c>
      <c r="O115" s="288">
        <v>0</v>
      </c>
      <c r="P115" s="286">
        <v>0.76920147999859656</v>
      </c>
      <c r="Q115" s="286">
        <v>1.1164260426232904</v>
      </c>
      <c r="R115" s="287">
        <v>1.2191705930232626</v>
      </c>
      <c r="S115" s="286">
        <v>0</v>
      </c>
      <c r="T115" s="286">
        <v>15.71343773395113</v>
      </c>
      <c r="U115" s="286">
        <v>21.260153113718552</v>
      </c>
      <c r="V115" s="287">
        <v>22.51053803963768</v>
      </c>
      <c r="W115" s="288">
        <v>0</v>
      </c>
      <c r="X115" s="286">
        <v>1.7088506805002748</v>
      </c>
      <c r="Y115" s="286">
        <v>199.39633655958903</v>
      </c>
      <c r="Z115" s="287">
        <v>0</v>
      </c>
      <c r="AA115" s="288"/>
      <c r="AB115" s="286"/>
      <c r="AC115" s="287"/>
      <c r="AD115" s="289">
        <v>5.0305264205514989E-2</v>
      </c>
      <c r="AE115" s="290">
        <v>1.1995027146831205E-2</v>
      </c>
      <c r="AF115" s="289">
        <v>0.64801764859650313</v>
      </c>
      <c r="AG115" s="290">
        <v>0.88012650007229454</v>
      </c>
      <c r="AH115" s="284">
        <v>0.27752362712336931</v>
      </c>
      <c r="AI115" s="147">
        <v>0.37692784935175244</v>
      </c>
      <c r="AJ115" s="291">
        <v>9.09930225314118E-3</v>
      </c>
      <c r="AK115" s="292">
        <v>176.02033773799604</v>
      </c>
    </row>
    <row r="116" spans="1:37">
      <c r="A116" s="281">
        <v>0.43718592964824182</v>
      </c>
      <c r="B116" s="281">
        <v>7801.1457286432269</v>
      </c>
      <c r="C116" s="282">
        <v>6579.7889447236375</v>
      </c>
      <c r="D116" s="282">
        <v>148.66834170854372</v>
      </c>
      <c r="E116" s="282">
        <v>0</v>
      </c>
      <c r="F116" s="283">
        <v>0</v>
      </c>
      <c r="G116" s="284"/>
      <c r="H116" s="147"/>
      <c r="I116" s="285">
        <v>0.93303397230904883</v>
      </c>
      <c r="J116" s="288">
        <v>3.2217139300554518E-2</v>
      </c>
      <c r="K116" s="287">
        <v>0.80093719381675799</v>
      </c>
      <c r="L116" s="288">
        <v>0</v>
      </c>
      <c r="M116" s="286">
        <v>99.712131863867782</v>
      </c>
      <c r="N116" s="287">
        <v>0.2878681361322184</v>
      </c>
      <c r="O116" s="288">
        <v>0</v>
      </c>
      <c r="P116" s="286">
        <v>0.76906409574822965</v>
      </c>
      <c r="Q116" s="286">
        <v>1.1165324775351388</v>
      </c>
      <c r="R116" s="287">
        <v>1.2191338220674592</v>
      </c>
      <c r="S116" s="286">
        <v>0</v>
      </c>
      <c r="T116" s="286">
        <v>15.712354121157745</v>
      </c>
      <c r="U116" s="286">
        <v>21.263271902431526</v>
      </c>
      <c r="V116" s="287">
        <v>22.511762258463268</v>
      </c>
      <c r="W116" s="288">
        <v>0</v>
      </c>
      <c r="X116" s="286">
        <v>1.7033364093781311</v>
      </c>
      <c r="Y116" s="286">
        <v>200.01166153647418</v>
      </c>
      <c r="Z116" s="287">
        <v>0</v>
      </c>
      <c r="AA116" s="288"/>
      <c r="AB116" s="286"/>
      <c r="AC116" s="287"/>
      <c r="AD116" s="289">
        <v>5.2867165501118321E-2</v>
      </c>
      <c r="AE116" s="290">
        <v>1.2299920201486736E-2</v>
      </c>
      <c r="AF116" s="289">
        <v>0.66243672018183586</v>
      </c>
      <c r="AG116" s="290">
        <v>0.89968310094529391</v>
      </c>
      <c r="AH116" s="284">
        <v>0.28369881857807733</v>
      </c>
      <c r="AI116" s="147">
        <v>0.38530326755252786</v>
      </c>
      <c r="AJ116" s="291">
        <v>9.1554940226383583E-3</v>
      </c>
      <c r="AK116" s="292">
        <v>179.28648117859819</v>
      </c>
    </row>
    <row r="117" spans="1:37">
      <c r="A117" s="281">
        <v>0.43216080402010115</v>
      </c>
      <c r="B117" s="281">
        <v>7711.4773869346845</v>
      </c>
      <c r="C117" s="282">
        <v>6547.4120603015272</v>
      </c>
      <c r="D117" s="282">
        <v>148.36180904522715</v>
      </c>
      <c r="E117" s="282">
        <v>0</v>
      </c>
      <c r="F117" s="283">
        <v>0</v>
      </c>
      <c r="G117" s="284"/>
      <c r="H117" s="147"/>
      <c r="I117" s="285">
        <v>0.92998323613780542</v>
      </c>
      <c r="J117" s="288">
        <v>3.2115991729047312E-2</v>
      </c>
      <c r="K117" s="287">
        <v>0.80119585487753575</v>
      </c>
      <c r="L117" s="288">
        <v>0</v>
      </c>
      <c r="M117" s="286">
        <v>99.699114776579336</v>
      </c>
      <c r="N117" s="287">
        <v>0.30088522342065316</v>
      </c>
      <c r="O117" s="288">
        <v>0</v>
      </c>
      <c r="P117" s="286">
        <v>0.76892653471877614</v>
      </c>
      <c r="Q117" s="286">
        <v>1.1166386598175571</v>
      </c>
      <c r="R117" s="287">
        <v>1.2190970404709671</v>
      </c>
      <c r="S117" s="286">
        <v>0</v>
      </c>
      <c r="T117" s="286">
        <v>15.71126718887426</v>
      </c>
      <c r="U117" s="286">
        <v>21.266386528534081</v>
      </c>
      <c r="V117" s="287">
        <v>22.512986551697249</v>
      </c>
      <c r="W117" s="288">
        <v>0</v>
      </c>
      <c r="X117" s="286">
        <v>1.6978411413117247</v>
      </c>
      <c r="Y117" s="286">
        <v>200.63055353648085</v>
      </c>
      <c r="Z117" s="287">
        <v>0</v>
      </c>
      <c r="AA117" s="288"/>
      <c r="AB117" s="286"/>
      <c r="AC117" s="287"/>
      <c r="AD117" s="289">
        <v>5.5411328959646011E-2</v>
      </c>
      <c r="AE117" s="290">
        <v>1.2600024836552537E-2</v>
      </c>
      <c r="AF117" s="289">
        <v>0.67633504283806722</v>
      </c>
      <c r="AG117" s="290">
        <v>0.9185312828494252</v>
      </c>
      <c r="AH117" s="284">
        <v>0.28965099121232901</v>
      </c>
      <c r="AI117" s="147">
        <v>0.39337529432223795</v>
      </c>
      <c r="AJ117" s="291">
        <v>9.1911403527176333E-3</v>
      </c>
      <c r="AK117" s="292">
        <v>182.40770161539942</v>
      </c>
    </row>
    <row r="118" spans="1:37">
      <c r="A118" s="281">
        <v>0.42713567839196043</v>
      </c>
      <c r="B118" s="281">
        <v>7621.8090452261422</v>
      </c>
      <c r="C118" s="282">
        <v>6515.0351758794168</v>
      </c>
      <c r="D118" s="282">
        <v>148.05527638191057</v>
      </c>
      <c r="E118" s="282">
        <v>0</v>
      </c>
      <c r="F118" s="283">
        <v>0</v>
      </c>
      <c r="G118" s="284"/>
      <c r="H118" s="147"/>
      <c r="I118" s="285">
        <v>0.92694227112240368</v>
      </c>
      <c r="J118" s="288">
        <v>3.2015139099711293E-2</v>
      </c>
      <c r="K118" s="287">
        <v>0.80145406309422207</v>
      </c>
      <c r="L118" s="288">
        <v>0</v>
      </c>
      <c r="M118" s="286">
        <v>99.686147890554224</v>
      </c>
      <c r="N118" s="287">
        <v>0.31385210944576802</v>
      </c>
      <c r="O118" s="288">
        <v>0</v>
      </c>
      <c r="P118" s="286">
        <v>0.7687887952674749</v>
      </c>
      <c r="Q118" s="286">
        <v>1.1167445885907104</v>
      </c>
      <c r="R118" s="287">
        <v>1.2190602482053405</v>
      </c>
      <c r="S118" s="286">
        <v>0</v>
      </c>
      <c r="T118" s="286">
        <v>15.710176907765748</v>
      </c>
      <c r="U118" s="286">
        <v>21.269496973090547</v>
      </c>
      <c r="V118" s="287">
        <v>22.514210919129766</v>
      </c>
      <c r="W118" s="288">
        <v>0</v>
      </c>
      <c r="X118" s="286">
        <v>1.6923647516136626</v>
      </c>
      <c r="Y118" s="286">
        <v>201.25303010110113</v>
      </c>
      <c r="Z118" s="287">
        <v>0</v>
      </c>
      <c r="AA118" s="288"/>
      <c r="AB118" s="286"/>
      <c r="AC118" s="287"/>
      <c r="AD118" s="289">
        <v>5.7941019645755536E-2</v>
      </c>
      <c r="AE118" s="290">
        <v>1.2891536901232015E-2</v>
      </c>
      <c r="AF118" s="289">
        <v>0.68870043570164652</v>
      </c>
      <c r="AG118" s="290">
        <v>0.93529650694882305</v>
      </c>
      <c r="AH118" s="284">
        <v>0.2949466628437088</v>
      </c>
      <c r="AI118" s="147">
        <v>0.4005552620463857</v>
      </c>
      <c r="AJ118" s="291">
        <v>9.2384930571466906E-3</v>
      </c>
      <c r="AK118" s="292">
        <v>185.16195623316605</v>
      </c>
    </row>
    <row r="119" spans="1:37">
      <c r="A119" s="281">
        <v>0.42211055276381976</v>
      </c>
      <c r="B119" s="281">
        <v>7532.1407035175998</v>
      </c>
      <c r="C119" s="282">
        <v>6482.6582914573064</v>
      </c>
      <c r="D119" s="282">
        <v>147.748743718594</v>
      </c>
      <c r="E119" s="282">
        <v>0</v>
      </c>
      <c r="F119" s="283">
        <v>0</v>
      </c>
      <c r="G119" s="284"/>
      <c r="H119" s="147"/>
      <c r="I119" s="285">
        <v>0.92391104653450762</v>
      </c>
      <c r="J119" s="288">
        <v>3.1914580683542249E-2</v>
      </c>
      <c r="K119" s="287">
        <v>0.80171181750909559</v>
      </c>
      <c r="L119" s="288">
        <v>0</v>
      </c>
      <c r="M119" s="286">
        <v>99.673231002959199</v>
      </c>
      <c r="N119" s="287">
        <v>0.32676899704079904</v>
      </c>
      <c r="O119" s="288">
        <v>0</v>
      </c>
      <c r="P119" s="286">
        <v>0.76865087574097413</v>
      </c>
      <c r="Q119" s="286">
        <v>1.116850262963079</v>
      </c>
      <c r="R119" s="287">
        <v>1.2190234452420423</v>
      </c>
      <c r="S119" s="286">
        <v>0</v>
      </c>
      <c r="T119" s="286">
        <v>15.709083248300708</v>
      </c>
      <c r="U119" s="286">
        <v>21.272603216932517</v>
      </c>
      <c r="V119" s="287">
        <v>22.515435360549784</v>
      </c>
      <c r="W119" s="288">
        <v>0</v>
      </c>
      <c r="X119" s="286">
        <v>1.686907116531126</v>
      </c>
      <c r="Y119" s="286">
        <v>201.87910886000472</v>
      </c>
      <c r="Z119" s="287">
        <v>0</v>
      </c>
      <c r="AA119" s="288"/>
      <c r="AB119" s="286"/>
      <c r="AC119" s="287"/>
      <c r="AD119" s="289">
        <v>6.0451489292464029E-2</v>
      </c>
      <c r="AE119" s="290">
        <v>1.3179573973800984E-2</v>
      </c>
      <c r="AF119" s="289">
        <v>0.70145852867106506</v>
      </c>
      <c r="AG119" s="290">
        <v>0.95259400324427379</v>
      </c>
      <c r="AH119" s="284">
        <v>0.30041051439731803</v>
      </c>
      <c r="AI119" s="147">
        <v>0.40796318360911399</v>
      </c>
      <c r="AJ119" s="291">
        <v>9.2446932879405794E-3</v>
      </c>
      <c r="AK119" s="292">
        <v>187.98203983327588</v>
      </c>
    </row>
    <row r="120" spans="1:37">
      <c r="A120" s="281">
        <v>0.41708542713567909</v>
      </c>
      <c r="B120" s="281">
        <v>7442.4723618090575</v>
      </c>
      <c r="C120" s="282">
        <v>6450.281407035196</v>
      </c>
      <c r="D120" s="282">
        <v>147.44221105527743</v>
      </c>
      <c r="E120" s="282">
        <v>0</v>
      </c>
      <c r="F120" s="283">
        <v>0</v>
      </c>
      <c r="G120" s="284"/>
      <c r="H120" s="147"/>
      <c r="I120" s="285">
        <v>0.92088953167772147</v>
      </c>
      <c r="J120" s="288">
        <v>3.1814315750395908E-2</v>
      </c>
      <c r="K120" s="287">
        <v>0.80196911714761632</v>
      </c>
      <c r="L120" s="288">
        <v>0</v>
      </c>
      <c r="M120" s="286">
        <v>99.660363911459939</v>
      </c>
      <c r="N120" s="287">
        <v>0.339636088540059</v>
      </c>
      <c r="O120" s="288">
        <v>0</v>
      </c>
      <c r="P120" s="286">
        <v>0.76851277447520838</v>
      </c>
      <c r="Q120" s="286">
        <v>1.1169556820313027</v>
      </c>
      <c r="R120" s="287">
        <v>1.2189866315524449</v>
      </c>
      <c r="S120" s="286">
        <v>0</v>
      </c>
      <c r="T120" s="286">
        <v>15.707986180748904</v>
      </c>
      <c r="U120" s="286">
        <v>21.275705240655753</v>
      </c>
      <c r="V120" s="287">
        <v>22.516659875745166</v>
      </c>
      <c r="W120" s="288">
        <v>0</v>
      </c>
      <c r="X120" s="286">
        <v>1.6814681132367428</v>
      </c>
      <c r="Y120" s="286">
        <v>202.50880753079363</v>
      </c>
      <c r="Z120" s="287">
        <v>0</v>
      </c>
      <c r="AA120" s="288"/>
      <c r="AB120" s="286"/>
      <c r="AC120" s="287"/>
      <c r="AD120" s="289">
        <v>6.2948087939182912E-2</v>
      </c>
      <c r="AE120" s="290">
        <v>1.3457972235882965E-2</v>
      </c>
      <c r="AF120" s="289">
        <v>0.71232956017433979</v>
      </c>
      <c r="AG120" s="290">
        <v>0.96732785694203838</v>
      </c>
      <c r="AH120" s="284">
        <v>0.30506620255626776</v>
      </c>
      <c r="AI120" s="147">
        <v>0.41427318539465918</v>
      </c>
      <c r="AJ120" s="291">
        <v>9.2799439535354699E-3</v>
      </c>
      <c r="AK120" s="292">
        <v>190.36667016233272</v>
      </c>
    </row>
    <row r="121" spans="1:37">
      <c r="A121" s="281">
        <v>0.41206030150753842</v>
      </c>
      <c r="B121" s="281">
        <v>7352.8040201005151</v>
      </c>
      <c r="C121" s="282">
        <v>6417.9045226130856</v>
      </c>
      <c r="D121" s="282">
        <v>147.13567839196085</v>
      </c>
      <c r="E121" s="282">
        <v>0</v>
      </c>
      <c r="F121" s="283">
        <v>0</v>
      </c>
      <c r="G121" s="284"/>
      <c r="H121" s="147"/>
      <c r="I121" s="285">
        <v>0.9178776958858289</v>
      </c>
      <c r="J121" s="288">
        <v>3.1714343568941983E-2</v>
      </c>
      <c r="K121" s="287">
        <v>0.8022259610179675</v>
      </c>
      <c r="L121" s="288">
        <v>0</v>
      </c>
      <c r="M121" s="286">
        <v>99.647546414210609</v>
      </c>
      <c r="N121" s="287">
        <v>0.3524535857893889</v>
      </c>
      <c r="O121" s="288">
        <v>0</v>
      </c>
      <c r="P121" s="286">
        <v>0.76837448979528411</v>
      </c>
      <c r="Q121" s="286">
        <v>1.1170608448798893</v>
      </c>
      <c r="R121" s="287">
        <v>1.218949807107824</v>
      </c>
      <c r="S121" s="286">
        <v>0</v>
      </c>
      <c r="T121" s="286">
        <v>15.706885675179151</v>
      </c>
      <c r="U121" s="286">
        <v>21.278803024615069</v>
      </c>
      <c r="V121" s="287">
        <v>22.517884464502551</v>
      </c>
      <c r="W121" s="288">
        <v>0</v>
      </c>
      <c r="X121" s="286">
        <v>1.6760476198207794</v>
      </c>
      <c r="Y121" s="286">
        <v>203.14214391853517</v>
      </c>
      <c r="Z121" s="287">
        <v>0</v>
      </c>
      <c r="AA121" s="288"/>
      <c r="AB121" s="286"/>
      <c r="AC121" s="287"/>
      <c r="AD121" s="289">
        <v>6.5425641350473671E-2</v>
      </c>
      <c r="AE121" s="290">
        <v>1.3732366551763353E-2</v>
      </c>
      <c r="AF121" s="289">
        <v>0.72373519175402168</v>
      </c>
      <c r="AG121" s="290">
        <v>0.98278676350608885</v>
      </c>
      <c r="AH121" s="284">
        <v>0.30995084150473118</v>
      </c>
      <c r="AI121" s="147">
        <v>0.42089370233630174</v>
      </c>
      <c r="AJ121" s="291">
        <v>9.2733799734981779E-3</v>
      </c>
      <c r="AK121" s="292">
        <v>192.85154156309389</v>
      </c>
    </row>
    <row r="122" spans="1:37">
      <c r="A122" s="281">
        <v>0.40703517587939769</v>
      </c>
      <c r="B122" s="281">
        <v>7263.1356783919728</v>
      </c>
      <c r="C122" s="282">
        <v>6385.5276381909753</v>
      </c>
      <c r="D122" s="282">
        <v>146.82914572864428</v>
      </c>
      <c r="E122" s="282">
        <v>0</v>
      </c>
      <c r="F122" s="283">
        <v>0</v>
      </c>
      <c r="G122" s="284"/>
      <c r="H122" s="147"/>
      <c r="I122" s="285">
        <v>0.91487550852136301</v>
      </c>
      <c r="J122" s="288">
        <v>3.1614663406628732E-2</v>
      </c>
      <c r="K122" s="287">
        <v>0.80248234811122809</v>
      </c>
      <c r="L122" s="288">
        <v>0</v>
      </c>
      <c r="M122" s="286">
        <v>99.634778309845089</v>
      </c>
      <c r="N122" s="287">
        <v>0.36522169015491013</v>
      </c>
      <c r="O122" s="288">
        <v>0</v>
      </c>
      <c r="P122" s="286">
        <v>0.76823602001534974</v>
      </c>
      <c r="Q122" s="286">
        <v>1.1171657505812771</v>
      </c>
      <c r="R122" s="287">
        <v>1.2189129718793668</v>
      </c>
      <c r="S122" s="286">
        <v>0</v>
      </c>
      <c r="T122" s="286">
        <v>15.705781701457084</v>
      </c>
      <c r="U122" s="286">
        <v>21.281896548924681</v>
      </c>
      <c r="V122" s="287">
        <v>22.519109126607468</v>
      </c>
      <c r="W122" s="288">
        <v>0</v>
      </c>
      <c r="X122" s="286">
        <v>1.670645515284225</v>
      </c>
      <c r="Y122" s="286">
        <v>203.77913591582669</v>
      </c>
      <c r="Z122" s="287">
        <v>0</v>
      </c>
      <c r="AA122" s="288"/>
      <c r="AB122" s="286"/>
      <c r="AC122" s="287"/>
      <c r="AD122" s="289">
        <v>6.7888894666858615E-2</v>
      </c>
      <c r="AE122" s="290">
        <v>1.3997200028137313E-2</v>
      </c>
      <c r="AF122" s="289">
        <v>0.73348033795969603</v>
      </c>
      <c r="AG122" s="290">
        <v>0.99598995913015276</v>
      </c>
      <c r="AH122" s="284">
        <v>0.3141243517906066</v>
      </c>
      <c r="AI122" s="147">
        <v>0.42654817601791467</v>
      </c>
      <c r="AJ122" s="291">
        <v>9.2953690529472711E-3</v>
      </c>
      <c r="AK122" s="292">
        <v>194.95975781899674</v>
      </c>
    </row>
    <row r="123" spans="1:37">
      <c r="A123" s="281">
        <v>0.40201005025125702</v>
      </c>
      <c r="B123" s="281">
        <v>7173.4673366834304</v>
      </c>
      <c r="C123" s="282">
        <v>6353.1507537688649</v>
      </c>
      <c r="D123" s="282">
        <v>146.5226130653277</v>
      </c>
      <c r="E123" s="282">
        <v>0</v>
      </c>
      <c r="F123" s="283">
        <v>0</v>
      </c>
      <c r="G123" s="284"/>
      <c r="H123" s="147"/>
      <c r="I123" s="285">
        <v>0.91188293897345807</v>
      </c>
      <c r="J123" s="288">
        <v>3.1515274529623757E-2</v>
      </c>
      <c r="K123" s="287">
        <v>0.80273827740083115</v>
      </c>
      <c r="L123" s="288">
        <v>0</v>
      </c>
      <c r="M123" s="286">
        <v>99.622059397464852</v>
      </c>
      <c r="N123" s="287">
        <v>0.37794060253515183</v>
      </c>
      <c r="O123" s="288">
        <v>0</v>
      </c>
      <c r="P123" s="286">
        <v>0.76809736343847956</v>
      </c>
      <c r="Q123" s="286">
        <v>1.1172703981955059</v>
      </c>
      <c r="R123" s="287">
        <v>1.2188761258381693</v>
      </c>
      <c r="S123" s="286">
        <v>0</v>
      </c>
      <c r="T123" s="286">
        <v>15.704674229242908</v>
      </c>
      <c r="U123" s="286">
        <v>21.284985793452453</v>
      </c>
      <c r="V123" s="287">
        <v>22.520333861844296</v>
      </c>
      <c r="W123" s="288">
        <v>0</v>
      </c>
      <c r="X123" s="286">
        <v>1.6652616795301896</v>
      </c>
      <c r="Y123" s="286">
        <v>204.41980150222145</v>
      </c>
      <c r="Z123" s="287">
        <v>0</v>
      </c>
      <c r="AA123" s="288"/>
      <c r="AB123" s="286"/>
      <c r="AC123" s="287"/>
      <c r="AD123" s="289">
        <v>7.0333684261966081E-2</v>
      </c>
      <c r="AE123" s="290">
        <v>1.4257008031924423E-2</v>
      </c>
      <c r="AF123" s="289">
        <v>0.7435797015012785</v>
      </c>
      <c r="AG123" s="290">
        <v>1.0096733217483984</v>
      </c>
      <c r="AH123" s="284">
        <v>0.31844956115453038</v>
      </c>
      <c r="AI123" s="147">
        <v>0.43240828867577902</v>
      </c>
      <c r="AJ123" s="291">
        <v>9.2840544454922628E-3</v>
      </c>
      <c r="AK123" s="292">
        <v>197.13115156429564</v>
      </c>
    </row>
    <row r="124" spans="1:37">
      <c r="A124" s="281">
        <v>0.39698492462311635</v>
      </c>
      <c r="B124" s="281">
        <v>7083.798994974888</v>
      </c>
      <c r="C124" s="282">
        <v>6320.7738693467545</v>
      </c>
      <c r="D124" s="282">
        <v>146.21608040201113</v>
      </c>
      <c r="E124" s="282">
        <v>0</v>
      </c>
      <c r="F124" s="283">
        <v>0</v>
      </c>
      <c r="G124" s="284"/>
      <c r="H124" s="147"/>
      <c r="I124" s="285">
        <v>0.90889995665649304</v>
      </c>
      <c r="J124" s="288">
        <v>3.1416176202780831E-2</v>
      </c>
      <c r="K124" s="287">
        <v>0.80299374784272759</v>
      </c>
      <c r="L124" s="288">
        <v>0</v>
      </c>
      <c r="M124" s="286">
        <v>99.609389476630554</v>
      </c>
      <c r="N124" s="287">
        <v>0.39061052336944702</v>
      </c>
      <c r="O124" s="288">
        <v>0</v>
      </c>
      <c r="P124" s="286">
        <v>0.76795851835654538</v>
      </c>
      <c r="Q124" s="286">
        <v>1.1173747867702717</v>
      </c>
      <c r="R124" s="287">
        <v>1.2188392689552277</v>
      </c>
      <c r="S124" s="286">
        <v>0</v>
      </c>
      <c r="T124" s="286">
        <v>15.703563227989148</v>
      </c>
      <c r="U124" s="286">
        <v>21.288070737820068</v>
      </c>
      <c r="V124" s="287">
        <v>22.521558669996196</v>
      </c>
      <c r="W124" s="288">
        <v>0</v>
      </c>
      <c r="X124" s="286">
        <v>1.659895993357394</v>
      </c>
      <c r="Y124" s="286">
        <v>205.0641587442588</v>
      </c>
      <c r="Z124" s="287">
        <v>0</v>
      </c>
      <c r="AA124" s="288"/>
      <c r="AB124" s="286"/>
      <c r="AC124" s="287"/>
      <c r="AD124" s="289">
        <v>7.2759496963225395E-2</v>
      </c>
      <c r="AE124" s="290">
        <v>1.4512291079026407E-2</v>
      </c>
      <c r="AF124" s="289">
        <v>0.75334668279408634</v>
      </c>
      <c r="AG124" s="290">
        <v>1.0229045329514421</v>
      </c>
      <c r="AH124" s="284">
        <v>0.32263242265575148</v>
      </c>
      <c r="AI124" s="147">
        <v>0.43807476046440535</v>
      </c>
      <c r="AJ124" s="291">
        <v>9.2622557941341773E-3</v>
      </c>
      <c r="AK124" s="292">
        <v>199.21765616926879</v>
      </c>
    </row>
    <row r="125" spans="1:37">
      <c r="A125" s="281">
        <v>0.39195979899497568</v>
      </c>
      <c r="B125" s="281">
        <v>6994.1306532663457</v>
      </c>
      <c r="C125" s="282">
        <v>6288.3969849246441</v>
      </c>
      <c r="D125" s="282">
        <v>145.90954773869456</v>
      </c>
      <c r="E125" s="282">
        <v>0</v>
      </c>
      <c r="F125" s="283">
        <v>0</v>
      </c>
      <c r="G125" s="284"/>
      <c r="H125" s="147"/>
      <c r="I125" s="285">
        <v>0.90592653100793452</v>
      </c>
      <c r="J125" s="288">
        <v>3.1317367689579961E-2</v>
      </c>
      <c r="K125" s="287">
        <v>0.80324875837485388</v>
      </c>
      <c r="L125" s="288">
        <v>0</v>
      </c>
      <c r="M125" s="286">
        <v>99.596768347349922</v>
      </c>
      <c r="N125" s="287">
        <v>0.40323165265007321</v>
      </c>
      <c r="O125" s="288">
        <v>0</v>
      </c>
      <c r="P125" s="286">
        <v>0.76781948305009262</v>
      </c>
      <c r="Q125" s="286">
        <v>1.1174789153406004</v>
      </c>
      <c r="R125" s="287">
        <v>1.2188024012014496</v>
      </c>
      <c r="S125" s="286">
        <v>0</v>
      </c>
      <c r="T125" s="286">
        <v>15.702448666938325</v>
      </c>
      <c r="U125" s="286">
        <v>21.291151361397368</v>
      </c>
      <c r="V125" s="287">
        <v>22.522783550845183</v>
      </c>
      <c r="W125" s="288">
        <v>0</v>
      </c>
      <c r="X125" s="286">
        <v>1.6545483384517623</v>
      </c>
      <c r="Y125" s="286">
        <v>205.71222579488912</v>
      </c>
      <c r="Z125" s="287">
        <v>0</v>
      </c>
      <c r="AA125" s="288"/>
      <c r="AB125" s="286"/>
      <c r="AC125" s="287"/>
      <c r="AD125" s="289">
        <v>7.5171357713203366E-2</v>
      </c>
      <c r="AE125" s="290">
        <v>1.4757033558617683E-2</v>
      </c>
      <c r="AF125" s="289">
        <v>0.76147395557870567</v>
      </c>
      <c r="AG125" s="290">
        <v>1.0339085813417346</v>
      </c>
      <c r="AH125" s="284">
        <v>0.3261130535100093</v>
      </c>
      <c r="AI125" s="147">
        <v>0.44278741517208076</v>
      </c>
      <c r="AJ125" s="291">
        <v>9.2765260073574499E-3</v>
      </c>
      <c r="AK125" s="292">
        <v>200.94293510185634</v>
      </c>
    </row>
    <row r="126" spans="1:37">
      <c r="A126" s="281">
        <v>0.38693467336683496</v>
      </c>
      <c r="B126" s="281">
        <v>6904.4623115578033</v>
      </c>
      <c r="C126" s="282">
        <v>6256.0201005025338</v>
      </c>
      <c r="D126" s="282">
        <v>145.60301507537798</v>
      </c>
      <c r="E126" s="282">
        <v>0</v>
      </c>
      <c r="F126" s="283">
        <v>0</v>
      </c>
      <c r="G126" s="284"/>
      <c r="H126" s="147"/>
      <c r="I126" s="285">
        <v>0.9029626314866589</v>
      </c>
      <c r="J126" s="288">
        <v>3.1218848252083362E-2</v>
      </c>
      <c r="K126" s="287">
        <v>0.80350330791717361</v>
      </c>
      <c r="L126" s="288">
        <v>0</v>
      </c>
      <c r="M126" s="286">
        <v>99.584195810067953</v>
      </c>
      <c r="N126" s="287">
        <v>0.41580418993204776</v>
      </c>
      <c r="O126" s="288">
        <v>0</v>
      </c>
      <c r="P126" s="286">
        <v>0.7676802557882072</v>
      </c>
      <c r="Q126" s="286">
        <v>1.1175827829288365</v>
      </c>
      <c r="R126" s="287">
        <v>1.2187655225476492</v>
      </c>
      <c r="S126" s="286">
        <v>0</v>
      </c>
      <c r="T126" s="286">
        <v>15.701330515120572</v>
      </c>
      <c r="U126" s="286">
        <v>21.294227643301451</v>
      </c>
      <c r="V126" s="287">
        <v>22.524008504172105</v>
      </c>
      <c r="W126" s="288">
        <v>0</v>
      </c>
      <c r="X126" s="286">
        <v>1.6492185973792821</v>
      </c>
      <c r="Y126" s="286">
        <v>206.36402089335269</v>
      </c>
      <c r="Z126" s="287">
        <v>0</v>
      </c>
      <c r="AA126" s="288"/>
      <c r="AB126" s="286"/>
      <c r="AC126" s="287"/>
      <c r="AD126" s="289">
        <v>7.7564696042197206E-2</v>
      </c>
      <c r="AE126" s="290">
        <v>1.4996301812713275E-2</v>
      </c>
      <c r="AF126" s="289">
        <v>0.77009808263081947</v>
      </c>
      <c r="AG126" s="290">
        <v>1.0455865475574881</v>
      </c>
      <c r="AH126" s="284">
        <v>0.3298064699246071</v>
      </c>
      <c r="AI126" s="147">
        <v>0.44778868566006719</v>
      </c>
      <c r="AJ126" s="291">
        <v>9.2560862057914032E-3</v>
      </c>
      <c r="AK126" s="292">
        <v>202.76419276849629</v>
      </c>
    </row>
    <row r="127" spans="1:37">
      <c r="A127" s="281">
        <v>0.38190954773869429</v>
      </c>
      <c r="B127" s="281">
        <v>6814.793969849261</v>
      </c>
      <c r="C127" s="282">
        <v>6223.6432160804234</v>
      </c>
      <c r="D127" s="282">
        <v>145.29648241206141</v>
      </c>
      <c r="E127" s="282">
        <v>0</v>
      </c>
      <c r="F127" s="283">
        <v>0</v>
      </c>
      <c r="G127" s="284"/>
      <c r="H127" s="147"/>
      <c r="I127" s="285">
        <v>0.9000082275713317</v>
      </c>
      <c r="J127" s="288">
        <v>3.11206171508931E-2</v>
      </c>
      <c r="K127" s="287">
        <v>0.80375739537135793</v>
      </c>
      <c r="L127" s="288">
        <v>0</v>
      </c>
      <c r="M127" s="286">
        <v>99.571671665657178</v>
      </c>
      <c r="N127" s="287">
        <v>0.4283283343428248</v>
      </c>
      <c r="O127" s="288">
        <v>0</v>
      </c>
      <c r="P127" s="286">
        <v>0.76754083482839142</v>
      </c>
      <c r="Q127" s="286">
        <v>1.1176863885444317</v>
      </c>
      <c r="R127" s="287">
        <v>1.2187286329645366</v>
      </c>
      <c r="S127" s="286">
        <v>0</v>
      </c>
      <c r="T127" s="286">
        <v>15.700208741351336</v>
      </c>
      <c r="U127" s="286">
        <v>21.297299562392766</v>
      </c>
      <c r="V127" s="287">
        <v>22.525233529756523</v>
      </c>
      <c r="W127" s="288">
        <v>0</v>
      </c>
      <c r="X127" s="286">
        <v>1.6439066535790525</v>
      </c>
      <c r="Y127" s="286">
        <v>207.0195623647528</v>
      </c>
      <c r="Z127" s="287">
        <v>0</v>
      </c>
      <c r="AA127" s="288"/>
      <c r="AB127" s="286"/>
      <c r="AC127" s="287"/>
      <c r="AD127" s="289">
        <v>7.9939068137766162E-2</v>
      </c>
      <c r="AE127" s="290">
        <v>1.5230506206709848E-2</v>
      </c>
      <c r="AF127" s="289">
        <v>0.778433421919415</v>
      </c>
      <c r="AG127" s="290">
        <v>1.0568717112495853</v>
      </c>
      <c r="AH127" s="284">
        <v>0.33337620849219873</v>
      </c>
      <c r="AI127" s="147">
        <v>0.45262173236380271</v>
      </c>
      <c r="AJ127" s="291">
        <v>9.2282705754628703E-3</v>
      </c>
      <c r="AK127" s="292">
        <v>204.51460594338178</v>
      </c>
    </row>
    <row r="128" spans="1:37">
      <c r="A128" s="281">
        <v>0.37688442211055362</v>
      </c>
      <c r="B128" s="281">
        <v>6725.1256281407186</v>
      </c>
      <c r="C128" s="282">
        <v>6191.266331658313</v>
      </c>
      <c r="D128" s="282">
        <v>144.98994974874483</v>
      </c>
      <c r="E128" s="282">
        <v>0</v>
      </c>
      <c r="F128" s="283">
        <v>0</v>
      </c>
      <c r="G128" s="284"/>
      <c r="H128" s="147"/>
      <c r="I128" s="285">
        <v>0.89706328875803576</v>
      </c>
      <c r="J128" s="288">
        <v>3.1022673645083564E-2</v>
      </c>
      <c r="K128" s="287">
        <v>0.80401101962055099</v>
      </c>
      <c r="L128" s="288">
        <v>0</v>
      </c>
      <c r="M128" s="286">
        <v>99.559195715404812</v>
      </c>
      <c r="N128" s="287">
        <v>0.44080428459518661</v>
      </c>
      <c r="O128" s="288">
        <v>0</v>
      </c>
      <c r="P128" s="286">
        <v>0.76740121841642872</v>
      </c>
      <c r="Q128" s="286">
        <v>1.1177897311837799</v>
      </c>
      <c r="R128" s="287">
        <v>1.2186917324227426</v>
      </c>
      <c r="S128" s="286">
        <v>0</v>
      </c>
      <c r="T128" s="286">
        <v>15.699083314228886</v>
      </c>
      <c r="U128" s="286">
        <v>21.300367097271824</v>
      </c>
      <c r="V128" s="287">
        <v>22.526458627376972</v>
      </c>
      <c r="W128" s="288">
        <v>0</v>
      </c>
      <c r="X128" s="286">
        <v>1.6386123913546937</v>
      </c>
      <c r="Y128" s="286">
        <v>207.67886861967338</v>
      </c>
      <c r="Z128" s="287">
        <v>0</v>
      </c>
      <c r="AA128" s="288"/>
      <c r="AB128" s="286"/>
      <c r="AC128" s="287"/>
      <c r="AD128" s="289">
        <v>8.2294470180220708E-2</v>
      </c>
      <c r="AE128" s="290">
        <v>1.5459556288133003E-2</v>
      </c>
      <c r="AF128" s="289">
        <v>0.78640936099250658</v>
      </c>
      <c r="AG128" s="290">
        <v>1.0676682407347442</v>
      </c>
      <c r="AH128" s="284">
        <v>0.33679202833302169</v>
      </c>
      <c r="AI128" s="147">
        <v>0.45724551387585749</v>
      </c>
      <c r="AJ128" s="291">
        <v>9.1967605513870523E-3</v>
      </c>
      <c r="AK128" s="292">
        <v>206.18039205521484</v>
      </c>
    </row>
    <row r="129" spans="1:37">
      <c r="A129" s="281">
        <v>0.37185929648241295</v>
      </c>
      <c r="B129" s="281">
        <v>6635.4572864321763</v>
      </c>
      <c r="C129" s="282">
        <v>6158.8894472362026</v>
      </c>
      <c r="D129" s="282">
        <v>144.68341708542826</v>
      </c>
      <c r="E129" s="282">
        <v>0</v>
      </c>
      <c r="F129" s="283">
        <v>0</v>
      </c>
      <c r="G129" s="284"/>
      <c r="H129" s="147"/>
      <c r="I129" s="285">
        <v>0.89412778455893638</v>
      </c>
      <c r="J129" s="288">
        <v>3.0925016992168469E-2</v>
      </c>
      <c r="K129" s="287">
        <v>0.8042641795292198</v>
      </c>
      <c r="L129" s="288">
        <v>0</v>
      </c>
      <c r="M129" s="286">
        <v>99.546767761004418</v>
      </c>
      <c r="N129" s="287">
        <v>0.45323223899559018</v>
      </c>
      <c r="O129" s="288">
        <v>0</v>
      </c>
      <c r="P129" s="286">
        <v>0.7672614047862506</v>
      </c>
      <c r="Q129" s="286">
        <v>1.1178928098301051</v>
      </c>
      <c r="R129" s="287">
        <v>1.2186548208927863</v>
      </c>
      <c r="S129" s="286">
        <v>0</v>
      </c>
      <c r="T129" s="286">
        <v>15.697954202131953</v>
      </c>
      <c r="U129" s="286">
        <v>21.303430226276802</v>
      </c>
      <c r="V129" s="287">
        <v>22.527683796810624</v>
      </c>
      <c r="W129" s="288">
        <v>0</v>
      </c>
      <c r="X129" s="286">
        <v>1.6333356958682803</v>
      </c>
      <c r="Y129" s="286">
        <v>208.34195815387028</v>
      </c>
      <c r="Z129" s="287">
        <v>0</v>
      </c>
      <c r="AA129" s="288"/>
      <c r="AB129" s="286"/>
      <c r="AC129" s="287"/>
      <c r="AD129" s="289">
        <v>8.4635878327720335E-2</v>
      </c>
      <c r="AE129" s="290">
        <v>1.5677289522560978E-2</v>
      </c>
      <c r="AF129" s="289">
        <v>0.79283628651471472</v>
      </c>
      <c r="AG129" s="290">
        <v>1.0763611510376623</v>
      </c>
      <c r="AH129" s="284">
        <v>0.33954445905159542</v>
      </c>
      <c r="AI129" s="147">
        <v>0.46096838778638904</v>
      </c>
      <c r="AJ129" s="291">
        <v>9.2069485260041651E-3</v>
      </c>
      <c r="AK129" s="292">
        <v>207.51511969862278</v>
      </c>
    </row>
    <row r="130" spans="1:37">
      <c r="A130" s="281">
        <v>0.36683417085427222</v>
      </c>
      <c r="B130" s="281">
        <v>6545.7889447236339</v>
      </c>
      <c r="C130" s="282">
        <v>6126.5125628140922</v>
      </c>
      <c r="D130" s="282">
        <v>144.37688442211169</v>
      </c>
      <c r="E130" s="282">
        <v>0</v>
      </c>
      <c r="F130" s="283">
        <v>0</v>
      </c>
      <c r="G130" s="284"/>
      <c r="H130" s="147"/>
      <c r="I130" s="285">
        <v>0.89120168450079618</v>
      </c>
      <c r="J130" s="288">
        <v>3.0827646448062455E-2</v>
      </c>
      <c r="K130" s="287">
        <v>0.80451687394301941</v>
      </c>
      <c r="L130" s="288">
        <v>0</v>
      </c>
      <c r="M130" s="286">
        <v>99.534387604546836</v>
      </c>
      <c r="N130" s="287">
        <v>0.46561239545317412</v>
      </c>
      <c r="O130" s="288">
        <v>0</v>
      </c>
      <c r="P130" s="286">
        <v>0.76712139215981212</v>
      </c>
      <c r="Q130" s="286">
        <v>1.117995623453345</v>
      </c>
      <c r="R130" s="287">
        <v>1.2186178983451061</v>
      </c>
      <c r="S130" s="286">
        <v>0</v>
      </c>
      <c r="T130" s="286">
        <v>15.696821373217382</v>
      </c>
      <c r="U130" s="286">
        <v>21.306488927481023</v>
      </c>
      <c r="V130" s="287">
        <v>22.528909037833589</v>
      </c>
      <c r="W130" s="288">
        <v>0</v>
      </c>
      <c r="X130" s="286">
        <v>1.6280764531340031</v>
      </c>
      <c r="Y130" s="286">
        <v>209.00884954791849</v>
      </c>
      <c r="Z130" s="287">
        <v>0</v>
      </c>
      <c r="AA130" s="288"/>
      <c r="AB130" s="286"/>
      <c r="AC130" s="287"/>
      <c r="AD130" s="289">
        <v>8.6958433318419029E-2</v>
      </c>
      <c r="AE130" s="290">
        <v>1.5889226443182247E-2</v>
      </c>
      <c r="AF130" s="289">
        <v>0.79988418062133415</v>
      </c>
      <c r="AG130" s="290">
        <v>1.0858965295608574</v>
      </c>
      <c r="AH130" s="284">
        <v>0.34256282921525799</v>
      </c>
      <c r="AI130" s="147">
        <v>0.46505206180280328</v>
      </c>
      <c r="AJ130" s="291">
        <v>9.180707422694806E-3</v>
      </c>
      <c r="AK130" s="292">
        <v>208.97291391507108</v>
      </c>
    </row>
    <row r="131" spans="1:37">
      <c r="A131" s="281">
        <v>0.36180904522613155</v>
      </c>
      <c r="B131" s="281">
        <v>6456.1206030150915</v>
      </c>
      <c r="C131" s="282">
        <v>6094.1356783919819</v>
      </c>
      <c r="D131" s="282">
        <v>144.07035175879511</v>
      </c>
      <c r="E131" s="282">
        <v>0</v>
      </c>
      <c r="F131" s="283">
        <v>0</v>
      </c>
      <c r="G131" s="284"/>
      <c r="H131" s="147"/>
      <c r="I131" s="285">
        <v>0.88828495812153552</v>
      </c>
      <c r="J131" s="288">
        <v>3.0730561266977884E-2</v>
      </c>
      <c r="K131" s="287">
        <v>0.80476910168836446</v>
      </c>
      <c r="L131" s="288">
        <v>0</v>
      </c>
      <c r="M131" s="286">
        <v>99.52205504850275</v>
      </c>
      <c r="N131" s="287">
        <v>0.47794495149724781</v>
      </c>
      <c r="O131" s="288">
        <v>0</v>
      </c>
      <c r="P131" s="286">
        <v>0.76698117874693328</v>
      </c>
      <c r="Q131" s="286">
        <v>1.1180981710098723</v>
      </c>
      <c r="R131" s="287">
        <v>1.2185809647500356</v>
      </c>
      <c r="S131" s="286">
        <v>0</v>
      </c>
      <c r="T131" s="286">
        <v>15.695684795417268</v>
      </c>
      <c r="U131" s="286">
        <v>21.309543178687928</v>
      </c>
      <c r="V131" s="287">
        <v>22.530134350220681</v>
      </c>
      <c r="W131" s="288">
        <v>0</v>
      </c>
      <c r="X131" s="286">
        <v>1.6228345500072756</v>
      </c>
      <c r="Y131" s="286">
        <v>209.6795614666523</v>
      </c>
      <c r="Z131" s="287">
        <v>0</v>
      </c>
      <c r="AA131" s="288"/>
      <c r="AB131" s="286"/>
      <c r="AC131" s="287"/>
      <c r="AD131" s="289">
        <v>8.9261742086949841E-2</v>
      </c>
      <c r="AE131" s="290">
        <v>1.6095712169870824E-2</v>
      </c>
      <c r="AF131" s="289">
        <v>0.80669554390918796</v>
      </c>
      <c r="AG131" s="290">
        <v>1.0951102216076927</v>
      </c>
      <c r="AH131" s="284">
        <v>0.34547990138049028</v>
      </c>
      <c r="AI131" s="147">
        <v>0.46899796858724585</v>
      </c>
      <c r="AJ131" s="291">
        <v>9.1497825915940537E-3</v>
      </c>
      <c r="AK131" s="292">
        <v>210.37511134147664</v>
      </c>
    </row>
    <row r="132" spans="1:37">
      <c r="A132" s="281">
        <v>0.35678391959799088</v>
      </c>
      <c r="B132" s="281">
        <v>6366.4522613065492</v>
      </c>
      <c r="C132" s="282">
        <v>6061.7587939698715</v>
      </c>
      <c r="D132" s="282">
        <v>143.76381909547854</v>
      </c>
      <c r="E132" s="282">
        <v>0</v>
      </c>
      <c r="F132" s="283">
        <v>0</v>
      </c>
      <c r="G132" s="284"/>
      <c r="H132" s="147"/>
      <c r="I132" s="285">
        <v>0.88537757497048086</v>
      </c>
      <c r="J132" s="288">
        <v>3.0633760701443809E-2</v>
      </c>
      <c r="K132" s="287">
        <v>0.80502086157238195</v>
      </c>
      <c r="L132" s="288">
        <v>0</v>
      </c>
      <c r="M132" s="286">
        <v>99.509769895721206</v>
      </c>
      <c r="N132" s="287">
        <v>0.49023010427878816</v>
      </c>
      <c r="O132" s="288">
        <v>0</v>
      </c>
      <c r="P132" s="286">
        <v>0.76684076274518931</v>
      </c>
      <c r="Q132" s="286">
        <v>1.1182004514424562</v>
      </c>
      <c r="R132" s="287">
        <v>1.2185440200778086</v>
      </c>
      <c r="S132" s="286">
        <v>0</v>
      </c>
      <c r="T132" s="286">
        <v>15.694544436436942</v>
      </c>
      <c r="U132" s="286">
        <v>21.312592957429715</v>
      </c>
      <c r="V132" s="287">
        <v>22.531359733745468</v>
      </c>
      <c r="W132" s="288">
        <v>0</v>
      </c>
      <c r="X132" s="286">
        <v>1.6176098741827463</v>
      </c>
      <c r="Y132" s="286">
        <v>210.35411265885188</v>
      </c>
      <c r="Z132" s="287">
        <v>0</v>
      </c>
      <c r="AA132" s="288"/>
      <c r="AB132" s="286"/>
      <c r="AC132" s="287"/>
      <c r="AD132" s="289">
        <v>9.1545721559355489E-2</v>
      </c>
      <c r="AE132" s="290">
        <v>1.6296729252148645E-2</v>
      </c>
      <c r="AF132" s="289">
        <v>0.8132224291843807</v>
      </c>
      <c r="AG132" s="290">
        <v>1.1039371685040382</v>
      </c>
      <c r="AH132" s="284">
        <v>0.3482751414164873</v>
      </c>
      <c r="AI132" s="147">
        <v>0.47277824575161748</v>
      </c>
      <c r="AJ132" s="291">
        <v>9.1168569599467501E-3</v>
      </c>
      <c r="AK132" s="292">
        <v>211.71251917394784</v>
      </c>
    </row>
    <row r="133" spans="1:37">
      <c r="A133" s="281">
        <v>0.35175879396985021</v>
      </c>
      <c r="B133" s="281">
        <v>6276.7839195980068</v>
      </c>
      <c r="C133" s="282">
        <v>6029.3819095477611</v>
      </c>
      <c r="D133" s="282">
        <v>143.45728643216196</v>
      </c>
      <c r="E133" s="282">
        <v>0</v>
      </c>
      <c r="F133" s="283">
        <v>0</v>
      </c>
      <c r="G133" s="284"/>
      <c r="H133" s="147"/>
      <c r="I133" s="285">
        <v>0.88247950460429658</v>
      </c>
      <c r="J133" s="288">
        <v>3.0537244002181392E-2</v>
      </c>
      <c r="K133" s="287">
        <v>0.80527215238256888</v>
      </c>
      <c r="L133" s="288">
        <v>0</v>
      </c>
      <c r="M133" s="286">
        <v>99.497531949409435</v>
      </c>
      <c r="N133" s="287">
        <v>0.50246805059056021</v>
      </c>
      <c r="O133" s="288">
        <v>0</v>
      </c>
      <c r="P133" s="286">
        <v>0.76670014233973716</v>
      </c>
      <c r="Q133" s="286">
        <v>1.1183024636800158</v>
      </c>
      <c r="R133" s="287">
        <v>1.2185070642985689</v>
      </c>
      <c r="S133" s="286">
        <v>0</v>
      </c>
      <c r="T133" s="286">
        <v>15.693400263751821</v>
      </c>
      <c r="U133" s="286">
        <v>21.315638240962791</v>
      </c>
      <c r="V133" s="287">
        <v>22.532585188180374</v>
      </c>
      <c r="W133" s="288">
        <v>0</v>
      </c>
      <c r="X133" s="286">
        <v>1.6124023141820261</v>
      </c>
      <c r="Y133" s="286">
        <v>211.03252195670044</v>
      </c>
      <c r="Z133" s="287">
        <v>0</v>
      </c>
      <c r="AA133" s="288"/>
      <c r="AB133" s="286"/>
      <c r="AC133" s="287"/>
      <c r="AD133" s="289">
        <v>9.3810341970148897E-2</v>
      </c>
      <c r="AE133" s="290">
        <v>1.6492193369316621E-2</v>
      </c>
      <c r="AF133" s="289">
        <v>0.81946436818343427</v>
      </c>
      <c r="AG133" s="290">
        <v>1.1123767694646272</v>
      </c>
      <c r="AH133" s="284">
        <v>0.35094834878213854</v>
      </c>
      <c r="AI133" s="147">
        <v>0.47639263600029258</v>
      </c>
      <c r="AJ133" s="291">
        <v>9.0828381220744384E-3</v>
      </c>
      <c r="AK133" s="292">
        <v>212.98579942963588</v>
      </c>
    </row>
    <row r="134" spans="1:37">
      <c r="A134" s="281">
        <v>0.34673366834170949</v>
      </c>
      <c r="B134" s="281">
        <v>6187.1155778894645</v>
      </c>
      <c r="C134" s="282">
        <v>5997.0050251256507</v>
      </c>
      <c r="D134" s="282">
        <v>143.15075376884539</v>
      </c>
      <c r="E134" s="282">
        <v>0</v>
      </c>
      <c r="F134" s="283">
        <v>0</v>
      </c>
      <c r="G134" s="284"/>
      <c r="H134" s="147"/>
      <c r="I134" s="285">
        <v>0.87959071658696797</v>
      </c>
      <c r="J134" s="288">
        <v>3.0441010418114055E-2</v>
      </c>
      <c r="K134" s="287">
        <v>0.80552297288668862</v>
      </c>
      <c r="L134" s="288">
        <v>0</v>
      </c>
      <c r="M134" s="286">
        <v>99.485341013130267</v>
      </c>
      <c r="N134" s="287">
        <v>0.51465898686973577</v>
      </c>
      <c r="O134" s="288">
        <v>0</v>
      </c>
      <c r="P134" s="286">
        <v>0.76655931570321023</v>
      </c>
      <c r="Q134" s="286">
        <v>1.1184042066375228</v>
      </c>
      <c r="R134" s="287">
        <v>1.2184700973823646</v>
      </c>
      <c r="S134" s="286">
        <v>0</v>
      </c>
      <c r="T134" s="286">
        <v>15.69225224460544</v>
      </c>
      <c r="U134" s="286">
        <v>21.318679006265636</v>
      </c>
      <c r="V134" s="287">
        <v>22.533810713296592</v>
      </c>
      <c r="W134" s="288">
        <v>0</v>
      </c>
      <c r="X134" s="286">
        <v>1.6072117593512885</v>
      </c>
      <c r="Y134" s="286">
        <v>211.71480827540441</v>
      </c>
      <c r="Z134" s="287">
        <v>0</v>
      </c>
      <c r="AA134" s="288"/>
      <c r="AB134" s="286"/>
      <c r="AC134" s="287"/>
      <c r="AD134" s="289">
        <v>9.6055578298979802E-2</v>
      </c>
      <c r="AE134" s="290">
        <v>1.6682011975729605E-2</v>
      </c>
      <c r="AF134" s="289">
        <v>0.82542977258471828</v>
      </c>
      <c r="AG134" s="290">
        <v>1.1204404774572057</v>
      </c>
      <c r="AH134" s="284">
        <v>0.35350312590940919</v>
      </c>
      <c r="AI134" s="147">
        <v>0.47984604424466815</v>
      </c>
      <c r="AJ134" s="291">
        <v>9.0482454714328458E-3</v>
      </c>
      <c r="AK134" s="292">
        <v>214.19739237457418</v>
      </c>
    </row>
    <row r="135" spans="1:37">
      <c r="A135" s="281">
        <v>0.34170854271356882</v>
      </c>
      <c r="B135" s="281">
        <v>6097.4472361809221</v>
      </c>
      <c r="C135" s="282">
        <v>5964.6281407035403</v>
      </c>
      <c r="D135" s="282">
        <v>142.84422110552882</v>
      </c>
      <c r="E135" s="282">
        <v>0</v>
      </c>
      <c r="F135" s="283">
        <v>0</v>
      </c>
      <c r="G135" s="284"/>
      <c r="H135" s="147"/>
      <c r="I135" s="285">
        <v>0.87671118048670327</v>
      </c>
      <c r="J135" s="288">
        <v>3.0345059196274719E-2</v>
      </c>
      <c r="K135" s="287">
        <v>0.80577332183245565</v>
      </c>
      <c r="L135" s="288">
        <v>0</v>
      </c>
      <c r="M135" s="286">
        <v>99.47319689078617</v>
      </c>
      <c r="N135" s="287">
        <v>0.52680310921382822</v>
      </c>
      <c r="O135" s="288">
        <v>0</v>
      </c>
      <c r="P135" s="286">
        <v>0.76641828099554554</v>
      </c>
      <c r="Q135" s="286">
        <v>1.1185056792158092</v>
      </c>
      <c r="R135" s="287">
        <v>1.2184331192991378</v>
      </c>
      <c r="S135" s="286">
        <v>0</v>
      </c>
      <c r="T135" s="286">
        <v>15.691100346006348</v>
      </c>
      <c r="U135" s="286">
        <v>21.321715230034886</v>
      </c>
      <c r="V135" s="287">
        <v>22.535036308864015</v>
      </c>
      <c r="W135" s="288">
        <v>0</v>
      </c>
      <c r="X135" s="286">
        <v>1.60203809985149</v>
      </c>
      <c r="Y135" s="286">
        <v>212.40099061262498</v>
      </c>
      <c r="Z135" s="287">
        <v>0</v>
      </c>
      <c r="AA135" s="288"/>
      <c r="AB135" s="286"/>
      <c r="AC135" s="287"/>
      <c r="AD135" s="289">
        <v>9.8286195446084107E-2</v>
      </c>
      <c r="AE135" s="290">
        <v>1.6859949101356686E-2</v>
      </c>
      <c r="AF135" s="289">
        <v>0.82996431579300167</v>
      </c>
      <c r="AG135" s="290">
        <v>1.1265614880854828</v>
      </c>
      <c r="AH135" s="284">
        <v>0.3554451144975842</v>
      </c>
      <c r="AI135" s="147">
        <v>0.48246746215650954</v>
      </c>
      <c r="AJ135" s="291">
        <v>9.0607665260159179E-3</v>
      </c>
      <c r="AK135" s="292">
        <v>215.11354228510771</v>
      </c>
    </row>
    <row r="136" spans="1:37">
      <c r="A136" s="281">
        <v>0.33668341708542815</v>
      </c>
      <c r="B136" s="281">
        <v>6007.7788944723798</v>
      </c>
      <c r="C136" s="282">
        <v>5932.25125628143</v>
      </c>
      <c r="D136" s="282">
        <v>142.53768844221224</v>
      </c>
      <c r="E136" s="282">
        <v>0</v>
      </c>
      <c r="F136" s="283">
        <v>0</v>
      </c>
      <c r="G136" s="284"/>
      <c r="H136" s="147"/>
      <c r="I136" s="285">
        <v>0.87384086587357956</v>
      </c>
      <c r="J136" s="288">
        <v>3.0249389581737975E-2</v>
      </c>
      <c r="K136" s="287">
        <v>0.80602319794711763</v>
      </c>
      <c r="L136" s="288">
        <v>0</v>
      </c>
      <c r="M136" s="286">
        <v>99.461099386606534</v>
      </c>
      <c r="N136" s="287">
        <v>0.53890061339347017</v>
      </c>
      <c r="O136" s="288">
        <v>0</v>
      </c>
      <c r="P136" s="286">
        <v>0.76627703636384459</v>
      </c>
      <c r="Q136" s="286">
        <v>1.1186068803012912</v>
      </c>
      <c r="R136" s="287">
        <v>1.2183961300187383</v>
      </c>
      <c r="S136" s="286">
        <v>0</v>
      </c>
      <c r="T136" s="286">
        <v>15.689944534725523</v>
      </c>
      <c r="U136" s="286">
        <v>21.324746888680341</v>
      </c>
      <c r="V136" s="287">
        <v>22.53626197465136</v>
      </c>
      <c r="W136" s="288">
        <v>0</v>
      </c>
      <c r="X136" s="286">
        <v>1.596881226650539</v>
      </c>
      <c r="Y136" s="286">
        <v>213.09108804779441</v>
      </c>
      <c r="Z136" s="287">
        <v>0</v>
      </c>
      <c r="AA136" s="288"/>
      <c r="AB136" s="286"/>
      <c r="AC136" s="287"/>
      <c r="AD136" s="289">
        <v>0.10049702529862449</v>
      </c>
      <c r="AE136" s="290">
        <v>1.7032136246837637E-2</v>
      </c>
      <c r="AF136" s="289">
        <v>0.83526812343361501</v>
      </c>
      <c r="AG136" s="290">
        <v>1.1337262528217871</v>
      </c>
      <c r="AH136" s="284">
        <v>0.35771655253198903</v>
      </c>
      <c r="AI136" s="147">
        <v>0.48553588398330888</v>
      </c>
      <c r="AJ136" s="291">
        <v>9.0328497264775855E-3</v>
      </c>
      <c r="AK136" s="292">
        <v>216.18263101037644</v>
      </c>
    </row>
    <row r="137" spans="1:37">
      <c r="A137" s="281">
        <v>0.33165829145728748</v>
      </c>
      <c r="B137" s="281">
        <v>5918.1105527638374</v>
      </c>
      <c r="C137" s="282">
        <v>5899.8743718593196</v>
      </c>
      <c r="D137" s="282">
        <v>142.23115577889567</v>
      </c>
      <c r="E137" s="282">
        <v>0</v>
      </c>
      <c r="F137" s="283">
        <v>0</v>
      </c>
      <c r="G137" s="284"/>
      <c r="H137" s="147"/>
      <c r="I137" s="285">
        <v>0.87097974231979269</v>
      </c>
      <c r="J137" s="288">
        <v>3.0154000817638409E-2</v>
      </c>
      <c r="K137" s="287">
        <v>0.80627259993781863</v>
      </c>
      <c r="L137" s="288">
        <v>0</v>
      </c>
      <c r="M137" s="286">
        <v>99.44904830514642</v>
      </c>
      <c r="N137" s="287">
        <v>0.55095169485357887</v>
      </c>
      <c r="O137" s="288">
        <v>0</v>
      </c>
      <c r="P137" s="286">
        <v>0.76613557994224657</v>
      </c>
      <c r="Q137" s="286">
        <v>1.1187078087661184</v>
      </c>
      <c r="R137" s="287">
        <v>1.2183591295109195</v>
      </c>
      <c r="S137" s="286">
        <v>0</v>
      </c>
      <c r="T137" s="286">
        <v>15.688784777294055</v>
      </c>
      <c r="U137" s="286">
        <v>21.327773958326663</v>
      </c>
      <c r="V137" s="287">
        <v>22.53748771042611</v>
      </c>
      <c r="W137" s="288">
        <v>0</v>
      </c>
      <c r="X137" s="286">
        <v>1.5917410315217089</v>
      </c>
      <c r="Y137" s="286">
        <v>213.78511974208649</v>
      </c>
      <c r="Z137" s="287">
        <v>0</v>
      </c>
      <c r="AA137" s="288"/>
      <c r="AB137" s="286"/>
      <c r="AC137" s="287"/>
      <c r="AD137" s="289">
        <v>0.10268778528487477</v>
      </c>
      <c r="AE137" s="290">
        <v>1.7198789310707951E-2</v>
      </c>
      <c r="AF137" s="289">
        <v>0.84038472917695817</v>
      </c>
      <c r="AG137" s="290">
        <v>1.1406364847473565</v>
      </c>
      <c r="AH137" s="284">
        <v>0.35990781844508307</v>
      </c>
      <c r="AI137" s="147">
        <v>0.48849529817889648</v>
      </c>
      <c r="AJ137" s="291">
        <v>9.0030112546445155E-3</v>
      </c>
      <c r="AK137" s="292">
        <v>217.21009035178437</v>
      </c>
    </row>
    <row r="138" spans="1:37">
      <c r="A138" s="281">
        <v>0.32663316582914675</v>
      </c>
      <c r="B138" s="281">
        <v>5828.442211055295</v>
      </c>
      <c r="C138" s="282">
        <v>5867.4974874372092</v>
      </c>
      <c r="D138" s="282">
        <v>141.9246231155791</v>
      </c>
      <c r="E138" s="282">
        <v>0</v>
      </c>
      <c r="F138" s="283">
        <v>0</v>
      </c>
      <c r="G138" s="284"/>
      <c r="H138" s="147"/>
      <c r="I138" s="285">
        <v>0.86812777939454588</v>
      </c>
      <c r="J138" s="288">
        <v>3.005889214501075E-2</v>
      </c>
      <c r="K138" s="287">
        <v>0.80652152649049325</v>
      </c>
      <c r="L138" s="288">
        <v>0</v>
      </c>
      <c r="M138" s="286">
        <v>99.437043451261658</v>
      </c>
      <c r="N138" s="287">
        <v>0.56295654873834167</v>
      </c>
      <c r="O138" s="288">
        <v>0</v>
      </c>
      <c r="P138" s="286">
        <v>0.76599390985174576</v>
      </c>
      <c r="Q138" s="286">
        <v>1.1188084634675461</v>
      </c>
      <c r="R138" s="287">
        <v>1.2183221177453269</v>
      </c>
      <c r="S138" s="286">
        <v>0</v>
      </c>
      <c r="T138" s="286">
        <v>15.687621039999831</v>
      </c>
      <c r="U138" s="286">
        <v>21.330796414802609</v>
      </c>
      <c r="V138" s="287">
        <v>22.538713515954409</v>
      </c>
      <c r="W138" s="288">
        <v>0</v>
      </c>
      <c r="X138" s="286">
        <v>1.5866174070294257</v>
      </c>
      <c r="Y138" s="286">
        <v>214.4831049370988</v>
      </c>
      <c r="Z138" s="287">
        <v>0</v>
      </c>
      <c r="AA138" s="288"/>
      <c r="AB138" s="286"/>
      <c r="AC138" s="287"/>
      <c r="AD138" s="289">
        <v>0.10485834441588693</v>
      </c>
      <c r="AE138" s="290">
        <v>1.7359940899173032E-2</v>
      </c>
      <c r="AF138" s="289">
        <v>0.8452934575192621</v>
      </c>
      <c r="AG138" s="290">
        <v>1.1472641452175436</v>
      </c>
      <c r="AH138" s="284">
        <v>0.36201005763111443</v>
      </c>
      <c r="AI138" s="147">
        <v>0.49133369675802807</v>
      </c>
      <c r="AJ138" s="291">
        <v>8.9726801826821093E-3</v>
      </c>
      <c r="AK138" s="292">
        <v>218.19215456681212</v>
      </c>
    </row>
    <row r="139" spans="1:37">
      <c r="A139" s="281">
        <v>0.32160804020100608</v>
      </c>
      <c r="B139" s="281">
        <v>5738.7738693467527</v>
      </c>
      <c r="C139" s="282">
        <v>5835.1206030150988</v>
      </c>
      <c r="D139" s="282">
        <v>141.61809045226252</v>
      </c>
      <c r="E139" s="282">
        <v>0</v>
      </c>
      <c r="F139" s="283">
        <v>0</v>
      </c>
      <c r="G139" s="284"/>
      <c r="H139" s="147"/>
      <c r="I139" s="285">
        <v>0.86528494666448863</v>
      </c>
      <c r="J139" s="288">
        <v>2.9964062802814353E-2</v>
      </c>
      <c r="K139" s="287">
        <v>0.80676997627029923</v>
      </c>
      <c r="L139" s="288">
        <v>0</v>
      </c>
      <c r="M139" s="286">
        <v>99.425084630108515</v>
      </c>
      <c r="N139" s="287">
        <v>0.57491536989148651</v>
      </c>
      <c r="O139" s="288">
        <v>0</v>
      </c>
      <c r="P139" s="286">
        <v>0.76585202420006449</v>
      </c>
      <c r="Q139" s="286">
        <v>1.1189088432481185</v>
      </c>
      <c r="R139" s="287">
        <v>1.218285094691512</v>
      </c>
      <c r="S139" s="286">
        <v>0</v>
      </c>
      <c r="T139" s="286">
        <v>15.686453288885204</v>
      </c>
      <c r="U139" s="286">
        <v>21.333814233643249</v>
      </c>
      <c r="V139" s="287">
        <v>22.539939391001198</v>
      </c>
      <c r="W139" s="288">
        <v>0</v>
      </c>
      <c r="X139" s="286">
        <v>1.5815102465282638</v>
      </c>
      <c r="Y139" s="286">
        <v>215.18506295483732</v>
      </c>
      <c r="Z139" s="287">
        <v>0</v>
      </c>
      <c r="AA139" s="288"/>
      <c r="AB139" s="286"/>
      <c r="AC139" s="287"/>
      <c r="AD139" s="289">
        <v>0.10700860467699889</v>
      </c>
      <c r="AE139" s="290">
        <v>1.7515581906401678E-2</v>
      </c>
      <c r="AF139" s="289">
        <v>0.84999521083307061</v>
      </c>
      <c r="AG139" s="290">
        <v>1.1536104844291986</v>
      </c>
      <c r="AH139" s="284">
        <v>0.36402365654514635</v>
      </c>
      <c r="AI139" s="147">
        <v>0.49405161513693069</v>
      </c>
      <c r="AJ139" s="291">
        <v>8.9423945909140896E-3</v>
      </c>
      <c r="AK139" s="292">
        <v>219.12942181103531</v>
      </c>
    </row>
    <row r="140" spans="1:37">
      <c r="A140" s="281">
        <v>0.31658291457286541</v>
      </c>
      <c r="B140" s="281">
        <v>5649.1055276382103</v>
      </c>
      <c r="C140" s="282">
        <v>5802.7437185929884</v>
      </c>
      <c r="D140" s="282">
        <v>141.31155778894595</v>
      </c>
      <c r="E140" s="282">
        <v>0</v>
      </c>
      <c r="F140" s="283">
        <v>0</v>
      </c>
      <c r="G140" s="284"/>
      <c r="H140" s="147"/>
      <c r="I140" s="285">
        <v>0.86245121369067868</v>
      </c>
      <c r="J140" s="288">
        <v>2.9869512027841799E-2</v>
      </c>
      <c r="K140" s="287">
        <v>0.80701794792114712</v>
      </c>
      <c r="L140" s="288">
        <v>0</v>
      </c>
      <c r="M140" s="286">
        <v>99.41317164712801</v>
      </c>
      <c r="N140" s="287">
        <v>0.58682835287198631</v>
      </c>
      <c r="O140" s="288">
        <v>0</v>
      </c>
      <c r="P140" s="286">
        <v>0.76570992108148916</v>
      </c>
      <c r="Q140" s="286">
        <v>1.1190089469353783</v>
      </c>
      <c r="R140" s="287">
        <v>1.2182480603189336</v>
      </c>
      <c r="S140" s="286">
        <v>0</v>
      </c>
      <c r="T140" s="286">
        <v>15.685281489743991</v>
      </c>
      <c r="U140" s="286">
        <v>21.336827390084622</v>
      </c>
      <c r="V140" s="287">
        <v>22.54116533533022</v>
      </c>
      <c r="W140" s="288">
        <v>0</v>
      </c>
      <c r="X140" s="286">
        <v>1.5764194441538617</v>
      </c>
      <c r="Y140" s="286">
        <v>215.8910131969146</v>
      </c>
      <c r="Z140" s="287">
        <v>0</v>
      </c>
      <c r="AA140" s="288"/>
      <c r="AB140" s="286"/>
      <c r="AC140" s="287"/>
      <c r="AD140" s="289">
        <v>0.10913847184756174</v>
      </c>
      <c r="AE140" s="290">
        <v>1.7665696645798978E-2</v>
      </c>
      <c r="AF140" s="289">
        <v>0.85449593099406707</v>
      </c>
      <c r="AG140" s="290">
        <v>1.1596835918330681</v>
      </c>
      <c r="AH140" s="284">
        <v>0.36595115988776711</v>
      </c>
      <c r="AI140" s="147">
        <v>0.49665251774858338</v>
      </c>
      <c r="AJ140" s="291">
        <v>8.9124525974094843E-3</v>
      </c>
      <c r="AK140" s="292">
        <v>220.02347749650366</v>
      </c>
    </row>
    <row r="141" spans="1:37">
      <c r="A141" s="281">
        <v>0.31155778894472475</v>
      </c>
      <c r="B141" s="281">
        <v>5559.437185929668</v>
      </c>
      <c r="C141" s="282">
        <v>5770.3668341708781</v>
      </c>
      <c r="D141" s="282">
        <v>141.00502512562937</v>
      </c>
      <c r="E141" s="282">
        <v>0</v>
      </c>
      <c r="F141" s="283">
        <v>0</v>
      </c>
      <c r="G141" s="284"/>
      <c r="H141" s="147"/>
      <c r="I141" s="285">
        <v>0.8596265500263286</v>
      </c>
      <c r="J141" s="288">
        <v>2.9775239054653686E-2</v>
      </c>
      <c r="K141" s="287">
        <v>0.80726544006525169</v>
      </c>
      <c r="L141" s="288">
        <v>0</v>
      </c>
      <c r="M141" s="286">
        <v>99.401304308033616</v>
      </c>
      <c r="N141" s="287">
        <v>0.59869569196638062</v>
      </c>
      <c r="O141" s="288">
        <v>0</v>
      </c>
      <c r="P141" s="286">
        <v>0.76556759857671619</v>
      </c>
      <c r="Q141" s="286">
        <v>1.119108773341581</v>
      </c>
      <c r="R141" s="287">
        <v>1.2182110145969343</v>
      </c>
      <c r="S141" s="286">
        <v>0</v>
      </c>
      <c r="T141" s="286">
        <v>15.684105608118667</v>
      </c>
      <c r="U141" s="286">
        <v>21.339835859058368</v>
      </c>
      <c r="V141" s="287">
        <v>22.542391348703809</v>
      </c>
      <c r="W141" s="288">
        <v>0</v>
      </c>
      <c r="X141" s="286">
        <v>1.5713448948157225</v>
      </c>
      <c r="Y141" s="286">
        <v>216.60097514371427</v>
      </c>
      <c r="Z141" s="287">
        <v>0</v>
      </c>
      <c r="AA141" s="288"/>
      <c r="AB141" s="286"/>
      <c r="AC141" s="287"/>
      <c r="AD141" s="289">
        <v>0.11124784602750627</v>
      </c>
      <c r="AE141" s="290">
        <v>1.7810274744644583E-2</v>
      </c>
      <c r="AF141" s="289">
        <v>0.85880311647678365</v>
      </c>
      <c r="AG141" s="290">
        <v>1.1654936683959094</v>
      </c>
      <c r="AH141" s="284">
        <v>0.36779577899720894</v>
      </c>
      <c r="AI141" s="147">
        <v>0.49914077331550577</v>
      </c>
      <c r="AJ141" s="291">
        <v>8.8830513599144102E-3</v>
      </c>
      <c r="AK141" s="292">
        <v>220.87618584796229</v>
      </c>
    </row>
    <row r="142" spans="1:37">
      <c r="A142" s="281">
        <v>0.30653266331658402</v>
      </c>
      <c r="B142" s="281">
        <v>5469.7688442211256</v>
      </c>
      <c r="C142" s="282">
        <v>5737.9899497487677</v>
      </c>
      <c r="D142" s="282">
        <v>140.6984924623128</v>
      </c>
      <c r="E142" s="282">
        <v>0</v>
      </c>
      <c r="F142" s="283">
        <v>0</v>
      </c>
      <c r="G142" s="284"/>
      <c r="H142" s="147"/>
      <c r="I142" s="285">
        <v>0.85681092521593083</v>
      </c>
      <c r="J142" s="288">
        <v>2.9681243115558927E-2</v>
      </c>
      <c r="K142" s="287">
        <v>0.80751245130333871</v>
      </c>
      <c r="L142" s="288">
        <v>0</v>
      </c>
      <c r="M142" s="286">
        <v>99.389482418805258</v>
      </c>
      <c r="N142" s="287">
        <v>0.61051758119475363</v>
      </c>
      <c r="O142" s="288">
        <v>0</v>
      </c>
      <c r="P142" s="286">
        <v>0.76542505475270373</v>
      </c>
      <c r="Q142" s="286">
        <v>1.1192083212637607</v>
      </c>
      <c r="R142" s="287">
        <v>1.2181739574947723</v>
      </c>
      <c r="S142" s="286">
        <v>0</v>
      </c>
      <c r="T142" s="286">
        <v>15.682925609297612</v>
      </c>
      <c r="U142" s="286">
        <v>21.342839615192162</v>
      </c>
      <c r="V142" s="287">
        <v>22.543617430883177</v>
      </c>
      <c r="W142" s="288">
        <v>0</v>
      </c>
      <c r="X142" s="286">
        <v>1.5662864941934318</v>
      </c>
      <c r="Y142" s="286">
        <v>217.31496835413344</v>
      </c>
      <c r="Z142" s="287">
        <v>0</v>
      </c>
      <c r="AA142" s="288"/>
      <c r="AB142" s="286"/>
      <c r="AC142" s="287"/>
      <c r="AD142" s="289">
        <v>0.11333661866531318</v>
      </c>
      <c r="AE142" s="290">
        <v>1.7949315386311393E-2</v>
      </c>
      <c r="AF142" s="289">
        <v>0.86292469885897571</v>
      </c>
      <c r="AG142" s="290">
        <v>1.1710515016133689</v>
      </c>
      <c r="AH142" s="284">
        <v>0.36956091069488889</v>
      </c>
      <c r="AI142" s="147">
        <v>0.5015210017503281</v>
      </c>
      <c r="AJ142" s="291">
        <v>8.8543339801930316E-3</v>
      </c>
      <c r="AK142" s="292">
        <v>221.68946391223676</v>
      </c>
    </row>
    <row r="143" spans="1:37">
      <c r="A143" s="281">
        <v>0.30150753768844335</v>
      </c>
      <c r="B143" s="281">
        <v>5380.1005025125833</v>
      </c>
      <c r="C143" s="282">
        <v>5705.6130653266573</v>
      </c>
      <c r="D143" s="282">
        <v>140.39195979899623</v>
      </c>
      <c r="E143" s="282">
        <v>0</v>
      </c>
      <c r="F143" s="283">
        <v>0</v>
      </c>
      <c r="G143" s="284"/>
      <c r="H143" s="147"/>
      <c r="I143" s="285">
        <v>0.85400430879126144</v>
      </c>
      <c r="J143" s="288">
        <v>2.9587523440491231E-2</v>
      </c>
      <c r="K143" s="287">
        <v>0.80775898021376913</v>
      </c>
      <c r="L143" s="288">
        <v>0</v>
      </c>
      <c r="M143" s="286">
        <v>99.377705785669221</v>
      </c>
      <c r="N143" s="287">
        <v>0.62229421433078003</v>
      </c>
      <c r="O143" s="288">
        <v>0</v>
      </c>
      <c r="P143" s="286">
        <v>0.76528228766249251</v>
      </c>
      <c r="Q143" s="286">
        <v>1.1193075894832061</v>
      </c>
      <c r="R143" s="287">
        <v>1.2181368889815929</v>
      </c>
      <c r="S143" s="286">
        <v>0</v>
      </c>
      <c r="T143" s="286">
        <v>15.681741458311894</v>
      </c>
      <c r="U143" s="286">
        <v>21.345838632800543</v>
      </c>
      <c r="V143" s="287">
        <v>22.544843581628129</v>
      </c>
      <c r="W143" s="288">
        <v>0</v>
      </c>
      <c r="X143" s="286">
        <v>1.561244138725427</v>
      </c>
      <c r="Y143" s="286">
        <v>218.03301246433514</v>
      </c>
      <c r="Z143" s="287">
        <v>0</v>
      </c>
      <c r="AA143" s="288"/>
      <c r="AB143" s="286"/>
      <c r="AC143" s="287"/>
      <c r="AD143" s="289">
        <v>0.11540467214524076</v>
      </c>
      <c r="AE143" s="290">
        <v>1.8082828518672489E-2</v>
      </c>
      <c r="AF143" s="289">
        <v>0.86686859868169563</v>
      </c>
      <c r="AG143" s="290">
        <v>1.17636786270783</v>
      </c>
      <c r="AH143" s="284">
        <v>0.37124994707558467</v>
      </c>
      <c r="AI143" s="147">
        <v>0.50379781599640294</v>
      </c>
      <c r="AJ143" s="291">
        <v>8.8264098288985023E-3</v>
      </c>
      <c r="AK143" s="292">
        <v>222.46519431819192</v>
      </c>
    </row>
    <row r="144" spans="1:37">
      <c r="A144" s="281">
        <v>0.29648241206030268</v>
      </c>
      <c r="B144" s="281">
        <v>5290.4321608040409</v>
      </c>
      <c r="C144" s="282">
        <v>5673.2361809045469</v>
      </c>
      <c r="D144" s="282">
        <v>140.08542713567965</v>
      </c>
      <c r="E144" s="282">
        <v>0</v>
      </c>
      <c r="F144" s="283">
        <v>0</v>
      </c>
      <c r="G144" s="284"/>
      <c r="H144" s="147"/>
      <c r="I144" s="285">
        <v>0.85120667027077523</v>
      </c>
      <c r="J144" s="288">
        <v>2.9494079256998117E-2</v>
      </c>
      <c r="K144" s="287">
        <v>0.80800502535276053</v>
      </c>
      <c r="L144" s="288">
        <v>0</v>
      </c>
      <c r="M144" s="286">
        <v>99.365974215093487</v>
      </c>
      <c r="N144" s="287">
        <v>0.63402578490651174</v>
      </c>
      <c r="O144" s="288">
        <v>0</v>
      </c>
      <c r="P144" s="286">
        <v>0.76513929534505754</v>
      </c>
      <c r="Q144" s="286">
        <v>1.1194065767655601</v>
      </c>
      <c r="R144" s="287">
        <v>1.2180998090264439</v>
      </c>
      <c r="S144" s="286">
        <v>0</v>
      </c>
      <c r="T144" s="286">
        <v>15.680553119932538</v>
      </c>
      <c r="U144" s="286">
        <v>21.348832885885617</v>
      </c>
      <c r="V144" s="287">
        <v>22.546069800697232</v>
      </c>
      <c r="W144" s="288">
        <v>0</v>
      </c>
      <c r="X144" s="286">
        <v>1.5562177256061163</v>
      </c>
      <c r="Y144" s="286">
        <v>218.7551271874454</v>
      </c>
      <c r="Z144" s="287">
        <v>0</v>
      </c>
      <c r="AA144" s="288"/>
      <c r="AB144" s="286"/>
      <c r="AC144" s="287"/>
      <c r="AD144" s="289">
        <v>0.11745188187873892</v>
      </c>
      <c r="AE144" s="290">
        <v>1.8210834776633877E-2</v>
      </c>
      <c r="AF144" s="289">
        <v>0.87064253647732159</v>
      </c>
      <c r="AG144" s="290">
        <v>1.181453250196687</v>
      </c>
      <c r="AH144" s="284">
        <v>0.37286619457725151</v>
      </c>
      <c r="AI144" s="147">
        <v>0.50597571220693371</v>
      </c>
      <c r="AJ144" s="291">
        <v>8.7993648238690915E-3</v>
      </c>
      <c r="AK144" s="292">
        <v>223.20518990943413</v>
      </c>
    </row>
    <row r="145" spans="1:37">
      <c r="A145" s="281">
        <v>0.29145728643216201</v>
      </c>
      <c r="B145" s="281">
        <v>5200.7638190954985</v>
      </c>
      <c r="C145" s="282">
        <v>5640.8592964824365</v>
      </c>
      <c r="D145" s="282">
        <v>139.77889447236308</v>
      </c>
      <c r="E145" s="282">
        <v>0</v>
      </c>
      <c r="F145" s="283">
        <v>0</v>
      </c>
      <c r="G145" s="284"/>
      <c r="H145" s="147"/>
      <c r="I145" s="285">
        <v>0.84841797915703976</v>
      </c>
      <c r="J145" s="288">
        <v>2.9400909790164749E-2</v>
      </c>
      <c r="K145" s="287">
        <v>0.80825058525388394</v>
      </c>
      <c r="L145" s="288">
        <v>0</v>
      </c>
      <c r="M145" s="286">
        <v>99.354287513773968</v>
      </c>
      <c r="N145" s="287">
        <v>0.64571248622603006</v>
      </c>
      <c r="O145" s="288">
        <v>0</v>
      </c>
      <c r="P145" s="286">
        <v>0.76499607582514662</v>
      </c>
      <c r="Q145" s="286">
        <v>1.1195052818604754</v>
      </c>
      <c r="R145" s="287">
        <v>1.2180627175982814</v>
      </c>
      <c r="S145" s="286">
        <v>0</v>
      </c>
      <c r="T145" s="286">
        <v>15.679360558667531</v>
      </c>
      <c r="U145" s="286">
        <v>21.351822348130955</v>
      </c>
      <c r="V145" s="287">
        <v>22.547296087847844</v>
      </c>
      <c r="W145" s="288">
        <v>0</v>
      </c>
      <c r="X145" s="286">
        <v>1.551207152778227</v>
      </c>
      <c r="Y145" s="286">
        <v>219.48133231257918</v>
      </c>
      <c r="Z145" s="287">
        <v>0</v>
      </c>
      <c r="AA145" s="288"/>
      <c r="AB145" s="286"/>
      <c r="AC145" s="287"/>
      <c r="AD145" s="289">
        <v>0.11948152039684666</v>
      </c>
      <c r="AE145" s="290">
        <v>1.8328552959590683E-2</v>
      </c>
      <c r="AF145" s="289">
        <v>0.87338899644355328</v>
      </c>
      <c r="AG145" s="290">
        <v>1.1851440799981658</v>
      </c>
      <c r="AH145" s="284">
        <v>0.37404240873319083</v>
      </c>
      <c r="AI145" s="147">
        <v>0.50755636741874766</v>
      </c>
      <c r="AJ145" s="291">
        <v>8.8126978572611401E-3</v>
      </c>
      <c r="AK145" s="292">
        <v>223.74062374966425</v>
      </c>
    </row>
    <row r="146" spans="1:37">
      <c r="A146" s="281">
        <v>0.28643216080402129</v>
      </c>
      <c r="B146" s="281">
        <v>5111.0954773869562</v>
      </c>
      <c r="C146" s="282">
        <v>5608.4824120603262</v>
      </c>
      <c r="D146" s="282">
        <v>139.4723618090465</v>
      </c>
      <c r="E146" s="282">
        <v>0</v>
      </c>
      <c r="F146" s="283">
        <v>0</v>
      </c>
      <c r="G146" s="284"/>
      <c r="H146" s="147"/>
      <c r="I146" s="285">
        <v>0.8456382049344312</v>
      </c>
      <c r="J146" s="288">
        <v>2.9308014262546048E-2</v>
      </c>
      <c r="K146" s="287">
        <v>0.80849565842784965</v>
      </c>
      <c r="L146" s="288">
        <v>0</v>
      </c>
      <c r="M146" s="286">
        <v>99.342645488622225</v>
      </c>
      <c r="N146" s="287">
        <v>0.65735451137777723</v>
      </c>
      <c r="O146" s="288">
        <v>0</v>
      </c>
      <c r="P146" s="286">
        <v>0.76485262711310209</v>
      </c>
      <c r="Q146" s="286">
        <v>1.1196037035014741</v>
      </c>
      <c r="R146" s="287">
        <v>1.2180256146659356</v>
      </c>
      <c r="S146" s="286">
        <v>0</v>
      </c>
      <c r="T146" s="286">
        <v>15.67816373875864</v>
      </c>
      <c r="U146" s="286">
        <v>21.354806992898475</v>
      </c>
      <c r="V146" s="287">
        <v>22.548522442835822</v>
      </c>
      <c r="W146" s="288">
        <v>0</v>
      </c>
      <c r="X146" s="286">
        <v>1.5462123189259742</v>
      </c>
      <c r="Y146" s="286">
        <v>220.21164770411761</v>
      </c>
      <c r="Z146" s="287">
        <v>0</v>
      </c>
      <c r="AA146" s="288"/>
      <c r="AB146" s="286"/>
      <c r="AC146" s="287"/>
      <c r="AD146" s="289">
        <v>0.12148997879748247</v>
      </c>
      <c r="AE146" s="290">
        <v>1.8440567940182784E-2</v>
      </c>
      <c r="AF146" s="289">
        <v>0.87669173231957387</v>
      </c>
      <c r="AG146" s="290">
        <v>1.1895894864904746</v>
      </c>
      <c r="AH146" s="284">
        <v>0.3754568566910958</v>
      </c>
      <c r="AI146" s="147">
        <v>0.5094601818232708</v>
      </c>
      <c r="AJ146" s="291">
        <v>8.795246522565971E-3</v>
      </c>
      <c r="AK146" s="292">
        <v>224.38449599897817</v>
      </c>
    </row>
    <row r="147" spans="1:37">
      <c r="A147" s="281">
        <v>0.28140703517588062</v>
      </c>
      <c r="B147" s="281">
        <v>5021.4271356784138</v>
      </c>
      <c r="C147" s="282">
        <v>5576.1055276382158</v>
      </c>
      <c r="D147" s="282">
        <v>139.16582914572993</v>
      </c>
      <c r="E147" s="282">
        <v>0</v>
      </c>
      <c r="F147" s="283">
        <v>0</v>
      </c>
      <c r="G147" s="284"/>
      <c r="H147" s="147"/>
      <c r="I147" s="285">
        <v>0.84286731706711382</v>
      </c>
      <c r="J147" s="288">
        <v>2.9215391894108489E-2</v>
      </c>
      <c r="K147" s="287">
        <v>0.80874024336223083</v>
      </c>
      <c r="L147" s="288">
        <v>0</v>
      </c>
      <c r="M147" s="286">
        <v>99.33104794675431</v>
      </c>
      <c r="N147" s="287">
        <v>0.66895205324568785</v>
      </c>
      <c r="O147" s="288">
        <v>0</v>
      </c>
      <c r="P147" s="286">
        <v>0.76470894720470306</v>
      </c>
      <c r="Q147" s="286">
        <v>1.1197018404057382</v>
      </c>
      <c r="R147" s="287">
        <v>1.2179885001981559</v>
      </c>
      <c r="S147" s="286">
        <v>0</v>
      </c>
      <c r="T147" s="286">
        <v>15.676962624178438</v>
      </c>
      <c r="U147" s="286">
        <v>21.357786793224331</v>
      </c>
      <c r="V147" s="287">
        <v>22.549748865415914</v>
      </c>
      <c r="W147" s="288">
        <v>0</v>
      </c>
      <c r="X147" s="286">
        <v>1.541233123468976</v>
      </c>
      <c r="Y147" s="286">
        <v>220.94609330087451</v>
      </c>
      <c r="Z147" s="287">
        <v>0</v>
      </c>
      <c r="AA147" s="288"/>
      <c r="AB147" s="286"/>
      <c r="AC147" s="287"/>
      <c r="AD147" s="289">
        <v>0.12347677561894883</v>
      </c>
      <c r="AE147" s="290">
        <v>1.8547383360605574E-2</v>
      </c>
      <c r="AF147" s="289">
        <v>0.87992339581159396</v>
      </c>
      <c r="AG147" s="290">
        <v>1.1939381729428695</v>
      </c>
      <c r="AH147" s="284">
        <v>0.37684086679620643</v>
      </c>
      <c r="AI147" s="147">
        <v>0.51132257436783302</v>
      </c>
      <c r="AJ147" s="291">
        <v>8.7753461911409519E-3</v>
      </c>
      <c r="AK147" s="292">
        <v>225.0128998219561</v>
      </c>
    </row>
    <row r="148" spans="1:37">
      <c r="A148" s="281">
        <v>0.27638190954773995</v>
      </c>
      <c r="B148" s="281">
        <v>4931.7587939698715</v>
      </c>
      <c r="C148" s="282">
        <v>5543.7286432161054</v>
      </c>
      <c r="D148" s="282">
        <v>138.85929648241336</v>
      </c>
      <c r="E148" s="282">
        <v>0</v>
      </c>
      <c r="F148" s="283">
        <v>0</v>
      </c>
      <c r="G148" s="284"/>
      <c r="H148" s="147"/>
      <c r="I148" s="285">
        <v>0.84010528499676873</v>
      </c>
      <c r="J148" s="288">
        <v>2.9123041902163048E-2</v>
      </c>
      <c r="K148" s="287">
        <v>0.80898433852112306</v>
      </c>
      <c r="L148" s="288">
        <v>0</v>
      </c>
      <c r="M148" s="286">
        <v>99.319494695478539</v>
      </c>
      <c r="N148" s="287">
        <v>0.6805053045214573</v>
      </c>
      <c r="O148" s="288">
        <v>0</v>
      </c>
      <c r="P148" s="286">
        <v>0.76456503408098841</v>
      </c>
      <c r="Q148" s="286">
        <v>1.1197996912738917</v>
      </c>
      <c r="R148" s="287">
        <v>1.2179513741635786</v>
      </c>
      <c r="S148" s="286">
        <v>0</v>
      </c>
      <c r="T148" s="286">
        <v>15.675757178627153</v>
      </c>
      <c r="U148" s="286">
        <v>21.360761721814601</v>
      </c>
      <c r="V148" s="287">
        <v>22.55097535534145</v>
      </c>
      <c r="W148" s="288">
        <v>0</v>
      </c>
      <c r="X148" s="286">
        <v>1.5362694665556116</v>
      </c>
      <c r="Y148" s="286">
        <v>221.6846891152002</v>
      </c>
      <c r="Z148" s="287">
        <v>0</v>
      </c>
      <c r="AA148" s="288"/>
      <c r="AB148" s="286"/>
      <c r="AC148" s="287"/>
      <c r="AD148" s="289">
        <v>0.12544169612407643</v>
      </c>
      <c r="AE148" s="290">
        <v>1.8649160553559474E-2</v>
      </c>
      <c r="AF148" s="289">
        <v>0.88303753305073518</v>
      </c>
      <c r="AG148" s="290">
        <v>1.1981271182598778</v>
      </c>
      <c r="AH148" s="284">
        <v>0.37817454445736004</v>
      </c>
      <c r="AI148" s="147">
        <v>0.51311655528905553</v>
      </c>
      <c r="AJ148" s="291">
        <v>8.7553909055872667E-3</v>
      </c>
      <c r="AK148" s="292">
        <v>225.61682832018963</v>
      </c>
    </row>
    <row r="149" spans="1:37">
      <c r="A149" s="281">
        <v>0.27135678391959928</v>
      </c>
      <c r="B149" s="281">
        <v>4842.0904522613291</v>
      </c>
      <c r="C149" s="282">
        <v>5511.351758793995</v>
      </c>
      <c r="D149" s="282">
        <v>138.55276381909678</v>
      </c>
      <c r="E149" s="282">
        <v>0</v>
      </c>
      <c r="F149" s="283">
        <v>0</v>
      </c>
      <c r="G149" s="284"/>
      <c r="H149" s="147"/>
      <c r="I149" s="285">
        <v>0.83735207814071566</v>
      </c>
      <c r="J149" s="288">
        <v>2.9030963501311298E-2</v>
      </c>
      <c r="K149" s="287">
        <v>0.8092279423449602</v>
      </c>
      <c r="L149" s="288">
        <v>0</v>
      </c>
      <c r="M149" s="286">
        <v>99.30798554228501</v>
      </c>
      <c r="N149" s="287">
        <v>0.69201445771498704</v>
      </c>
      <c r="O149" s="288">
        <v>0</v>
      </c>
      <c r="P149" s="286">
        <v>0.76442088570809008</v>
      </c>
      <c r="Q149" s="286">
        <v>1.1198972547898469</v>
      </c>
      <c r="R149" s="287">
        <v>1.2179142365307405</v>
      </c>
      <c r="S149" s="286">
        <v>0</v>
      </c>
      <c r="T149" s="286">
        <v>15.674547365529538</v>
      </c>
      <c r="U149" s="286">
        <v>21.363731751042039</v>
      </c>
      <c r="V149" s="287">
        <v>22.552201912364499</v>
      </c>
      <c r="W149" s="288">
        <v>0</v>
      </c>
      <c r="X149" s="286">
        <v>1.5313212490574923</v>
      </c>
      <c r="Y149" s="286">
        <v>222.42745523218815</v>
      </c>
      <c r="Z149" s="287">
        <v>0</v>
      </c>
      <c r="AA149" s="288"/>
      <c r="AB149" s="286"/>
      <c r="AC149" s="287"/>
      <c r="AD149" s="289">
        <v>0.12738458517283258</v>
      </c>
      <c r="AE149" s="290">
        <v>1.8745987094924477E-2</v>
      </c>
      <c r="AF149" s="289">
        <v>0.88602794925004646</v>
      </c>
      <c r="AG149" s="290">
        <v>1.2021479318889097</v>
      </c>
      <c r="AH149" s="284">
        <v>0.37945523666078806</v>
      </c>
      <c r="AI149" s="147">
        <v>0.51483853120241652</v>
      </c>
      <c r="AJ149" s="291">
        <v>8.7359552037922974E-3</v>
      </c>
      <c r="AK149" s="292">
        <v>226.19522069281669</v>
      </c>
    </row>
    <row r="150" spans="1:37">
      <c r="A150" s="281">
        <v>0.26633165829145855</v>
      </c>
      <c r="B150" s="281">
        <v>4752.4221105527868</v>
      </c>
      <c r="C150" s="282">
        <v>5478.9748743718847</v>
      </c>
      <c r="D150" s="282">
        <v>138.24623115578021</v>
      </c>
      <c r="E150" s="282">
        <v>0</v>
      </c>
      <c r="F150" s="283">
        <v>0</v>
      </c>
      <c r="G150" s="284"/>
      <c r="H150" s="147"/>
      <c r="I150" s="285">
        <v>0.8346076658885917</v>
      </c>
      <c r="J150" s="288">
        <v>2.8939155903343339E-2</v>
      </c>
      <c r="K150" s="287">
        <v>0.80947105325002167</v>
      </c>
      <c r="L150" s="288">
        <v>0</v>
      </c>
      <c r="M150" s="286">
        <v>99.296520294828809</v>
      </c>
      <c r="N150" s="287">
        <v>0.70347970517119585</v>
      </c>
      <c r="O150" s="288">
        <v>0</v>
      </c>
      <c r="P150" s="286">
        <v>0.76427650003704406</v>
      </c>
      <c r="Q150" s="286">
        <v>1.1199945296204965</v>
      </c>
      <c r="R150" s="287">
        <v>1.2178770872680666</v>
      </c>
      <c r="S150" s="286">
        <v>0</v>
      </c>
      <c r="T150" s="286">
        <v>15.673333148031483</v>
      </c>
      <c r="U150" s="286">
        <v>21.366696852940294</v>
      </c>
      <c r="V150" s="287">
        <v>22.553428536235735</v>
      </c>
      <c r="W150" s="288">
        <v>0</v>
      </c>
      <c r="X150" s="286">
        <v>1.5263883725604561</v>
      </c>
      <c r="Y150" s="286">
        <v>223.17441180856997</v>
      </c>
      <c r="Z150" s="287">
        <v>0</v>
      </c>
      <c r="AA150" s="288"/>
      <c r="AB150" s="286"/>
      <c r="AC150" s="287"/>
      <c r="AD150" s="289">
        <v>0.12930530809175239</v>
      </c>
      <c r="AE150" s="290">
        <v>1.8837927053226511E-2</v>
      </c>
      <c r="AF150" s="289">
        <v>0.88889554710277996</v>
      </c>
      <c r="AG150" s="290">
        <v>1.2060018537603756</v>
      </c>
      <c r="AH150" s="284">
        <v>0.38068332999890231</v>
      </c>
      <c r="AI150" s="147">
        <v>0.51648903312738081</v>
      </c>
      <c r="AJ150" s="291">
        <v>8.7172782187119081E-3</v>
      </c>
      <c r="AK150" s="292">
        <v>226.74840514618393</v>
      </c>
    </row>
    <row r="151" spans="1:37">
      <c r="A151" s="281">
        <v>0.26130653266331788</v>
      </c>
      <c r="B151" s="281">
        <v>4662.7537688442444</v>
      </c>
      <c r="C151" s="282">
        <v>5446.5979899497743</v>
      </c>
      <c r="D151" s="282">
        <v>137.93969849246363</v>
      </c>
      <c r="E151" s="282">
        <v>0</v>
      </c>
      <c r="F151" s="283">
        <v>0</v>
      </c>
      <c r="G151" s="284"/>
      <c r="H151" s="147"/>
      <c r="I151" s="285">
        <v>0.83187201760147389</v>
      </c>
      <c r="J151" s="288">
        <v>2.8847618317216776E-2</v>
      </c>
      <c r="K151" s="287">
        <v>0.80971366962834357</v>
      </c>
      <c r="L151" s="288">
        <v>0</v>
      </c>
      <c r="M151" s="286">
        <v>99.285098760923859</v>
      </c>
      <c r="N151" s="287">
        <v>0.7149012390761319</v>
      </c>
      <c r="O151" s="288">
        <v>0</v>
      </c>
      <c r="P151" s="286">
        <v>0.76413187500362822</v>
      </c>
      <c r="Q151" s="286">
        <v>1.1200915144156096</v>
      </c>
      <c r="R151" s="287">
        <v>1.2178399263438884</v>
      </c>
      <c r="S151" s="286">
        <v>0</v>
      </c>
      <c r="T151" s="286">
        <v>15.672114488997005</v>
      </c>
      <c r="U151" s="286">
        <v>21.369656999201464</v>
      </c>
      <c r="V151" s="287">
        <v>22.55465522670459</v>
      </c>
      <c r="W151" s="288">
        <v>0</v>
      </c>
      <c r="X151" s="286">
        <v>1.5214707393616014</v>
      </c>
      <c r="Y151" s="286">
        <v>223.92557907196573</v>
      </c>
      <c r="Z151" s="287">
        <v>0</v>
      </c>
      <c r="AA151" s="288"/>
      <c r="AB151" s="286"/>
      <c r="AC151" s="287"/>
      <c r="AD151" s="289">
        <v>0.13120373809631181</v>
      </c>
      <c r="AE151" s="290">
        <v>1.8925037308305082E-2</v>
      </c>
      <c r="AF151" s="289">
        <v>0.89164338029396872</v>
      </c>
      <c r="AG151" s="290">
        <v>1.2096930419159966</v>
      </c>
      <c r="AH151" s="284">
        <v>0.38186013225976717</v>
      </c>
      <c r="AI151" s="147">
        <v>0.51806984180992433</v>
      </c>
      <c r="AJ151" s="291">
        <v>8.6994849985544478E-3</v>
      </c>
      <c r="AK151" s="292">
        <v>227.27712120957131</v>
      </c>
    </row>
    <row r="152" spans="1:37">
      <c r="A152" s="281">
        <v>0.25628140703517721</v>
      </c>
      <c r="B152" s="281">
        <v>4573.085427135702</v>
      </c>
      <c r="C152" s="282">
        <v>5414.2211055276639</v>
      </c>
      <c r="D152" s="282">
        <v>137.63316582914706</v>
      </c>
      <c r="E152" s="282">
        <v>0</v>
      </c>
      <c r="F152" s="283">
        <v>0</v>
      </c>
      <c r="G152" s="284"/>
      <c r="H152" s="147"/>
      <c r="I152" s="285">
        <v>0.82914510260870178</v>
      </c>
      <c r="J152" s="288">
        <v>2.875634994895928E-2</v>
      </c>
      <c r="K152" s="287">
        <v>0.80995578984733452</v>
      </c>
      <c r="L152" s="288">
        <v>0</v>
      </c>
      <c r="M152" s="286">
        <v>99.273720748526955</v>
      </c>
      <c r="N152" s="287">
        <v>0.72627925147305428</v>
      </c>
      <c r="O152" s="288">
        <v>0</v>
      </c>
      <c r="P152" s="286">
        <v>0.76398700852817147</v>
      </c>
      <c r="Q152" s="286">
        <v>1.1201882078075889</v>
      </c>
      <c r="R152" s="287">
        <v>1.2178027537264267</v>
      </c>
      <c r="S152" s="286">
        <v>0</v>
      </c>
      <c r="T152" s="286">
        <v>15.67089135100476</v>
      </c>
      <c r="U152" s="286">
        <v>21.372612161171283</v>
      </c>
      <c r="V152" s="287">
        <v>22.555881983519111</v>
      </c>
      <c r="W152" s="288">
        <v>0</v>
      </c>
      <c r="X152" s="286">
        <v>1.516568252460861</v>
      </c>
      <c r="Y152" s="286">
        <v>224.68097731980785</v>
      </c>
      <c r="Z152" s="287">
        <v>0</v>
      </c>
      <c r="AA152" s="288"/>
      <c r="AB152" s="286"/>
      <c r="AC152" s="287"/>
      <c r="AD152" s="289">
        <v>0.13307975152700643</v>
      </c>
      <c r="AE152" s="290">
        <v>1.9007373990338805E-2</v>
      </c>
      <c r="AF152" s="289">
        <v>0.89427526100666666</v>
      </c>
      <c r="AG152" s="290">
        <v>1.2132266829239873</v>
      </c>
      <c r="AH152" s="284">
        <v>0.38298727607001049</v>
      </c>
      <c r="AI152" s="147">
        <v>0.51958317847847557</v>
      </c>
      <c r="AJ152" s="291">
        <v>8.6826495374518128E-3</v>
      </c>
      <c r="AK152" s="292">
        <v>227.78224532896834</v>
      </c>
    </row>
    <row r="153" spans="1:37">
      <c r="A153" s="281">
        <v>0.25125628140703654</v>
      </c>
      <c r="B153" s="281">
        <v>4483.4170854271597</v>
      </c>
      <c r="C153" s="282">
        <v>5381.8442211055535</v>
      </c>
      <c r="D153" s="282">
        <v>137.32663316583049</v>
      </c>
      <c r="E153" s="282">
        <v>0</v>
      </c>
      <c r="F153" s="283">
        <v>0</v>
      </c>
      <c r="G153" s="284"/>
      <c r="H153" s="147"/>
      <c r="I153" s="285">
        <v>0.8264268902057168</v>
      </c>
      <c r="J153" s="288">
        <v>2.8665350001604473E-2</v>
      </c>
      <c r="K153" s="287">
        <v>0.81019741224934516</v>
      </c>
      <c r="L153" s="288">
        <v>0</v>
      </c>
      <c r="M153" s="286">
        <v>99.262386065725735</v>
      </c>
      <c r="N153" s="287">
        <v>0.73761393427427213</v>
      </c>
      <c r="O153" s="288">
        <v>0</v>
      </c>
      <c r="P153" s="286">
        <v>0.76384189851537276</v>
      </c>
      <c r="Q153" s="286">
        <v>1.1202846084111788</v>
      </c>
      <c r="R153" s="287">
        <v>1.2177655693837934</v>
      </c>
      <c r="S153" s="286">
        <v>0</v>
      </c>
      <c r="T153" s="286">
        <v>15.669663696344783</v>
      </c>
      <c r="U153" s="286">
        <v>21.375562309843701</v>
      </c>
      <c r="V153" s="287">
        <v>22.557108806425976</v>
      </c>
      <c r="W153" s="288">
        <v>0</v>
      </c>
      <c r="X153" s="286">
        <v>1.5116808155550798</v>
      </c>
      <c r="Y153" s="286">
        <v>225.44062691822597</v>
      </c>
      <c r="Z153" s="287">
        <v>0</v>
      </c>
      <c r="AA153" s="288"/>
      <c r="AB153" s="286"/>
      <c r="AC153" s="287"/>
      <c r="AD153" s="289">
        <v>0.13493322605363128</v>
      </c>
      <c r="AE153" s="290">
        <v>1.9084995173450525E-2</v>
      </c>
      <c r="AF153" s="289">
        <v>0.89679524606577932</v>
      </c>
      <c r="AG153" s="290">
        <v>1.2166082946152328</v>
      </c>
      <c r="AH153" s="284">
        <v>0.38406649882793431</v>
      </c>
      <c r="AI153" s="147">
        <v>0.521031406229849</v>
      </c>
      <c r="AJ153" s="291">
        <v>8.6668187630628279E-3</v>
      </c>
      <c r="AK153" s="292">
        <v>228.26469033696426</v>
      </c>
    </row>
    <row r="154" spans="1:37">
      <c r="A154" s="281">
        <v>0.24623115577889584</v>
      </c>
      <c r="B154" s="281">
        <v>4393.7487437186173</v>
      </c>
      <c r="C154" s="282">
        <v>5349.4673366834431</v>
      </c>
      <c r="D154" s="282">
        <v>137.02010050251391</v>
      </c>
      <c r="E154" s="282">
        <v>0</v>
      </c>
      <c r="F154" s="283">
        <v>0</v>
      </c>
      <c r="G154" s="284"/>
      <c r="H154" s="147"/>
      <c r="I154" s="285">
        <v>0.8237173496518414</v>
      </c>
      <c r="J154" s="288">
        <v>2.8574617675126077E-2</v>
      </c>
      <c r="K154" s="287">
        <v>0.81043853515155306</v>
      </c>
      <c r="L154" s="288">
        <v>0</v>
      </c>
      <c r="M154" s="286">
        <v>99.251094520727079</v>
      </c>
      <c r="N154" s="287">
        <v>0.74890547927291384</v>
      </c>
      <c r="O154" s="288">
        <v>0</v>
      </c>
      <c r="P154" s="286">
        <v>0.76369654285412036</v>
      </c>
      <c r="Q154" s="286">
        <v>1.1203807148233642</v>
      </c>
      <c r="R154" s="287">
        <v>1.2177283732840016</v>
      </c>
      <c r="S154" s="286">
        <v>0</v>
      </c>
      <c r="T154" s="286">
        <v>15.668431487015075</v>
      </c>
      <c r="U154" s="286">
        <v>21.378507415858266</v>
      </c>
      <c r="V154" s="287">
        <v>22.558335695170562</v>
      </c>
      <c r="W154" s="288">
        <v>0</v>
      </c>
      <c r="X154" s="286">
        <v>1.5068083330320747</v>
      </c>
      <c r="Y154" s="286">
        <v>226.20454830115216</v>
      </c>
      <c r="Z154" s="287">
        <v>0</v>
      </c>
      <c r="AA154" s="288"/>
      <c r="AB154" s="286"/>
      <c r="AC154" s="287"/>
      <c r="AD154" s="289">
        <v>0.13676404016480942</v>
      </c>
      <c r="AE154" s="290">
        <v>1.9157961935302725E-2</v>
      </c>
      <c r="AF154" s="289">
        <v>0.89920741702687557</v>
      </c>
      <c r="AG154" s="290">
        <v>1.2198434277058527</v>
      </c>
      <c r="AH154" s="284">
        <v>0.38509954852313161</v>
      </c>
      <c r="AI154" s="147">
        <v>0.52241690224447179</v>
      </c>
      <c r="AJ154" s="291">
        <v>8.6520234386505447E-3</v>
      </c>
      <c r="AK154" s="292">
        <v>228.72536303746992</v>
      </c>
    </row>
    <row r="155" spans="1:37">
      <c r="A155" s="281">
        <v>0.24120603015075515</v>
      </c>
      <c r="B155" s="281">
        <v>4304.080402010075</v>
      </c>
      <c r="C155" s="282">
        <v>5317.0904522613328</v>
      </c>
      <c r="D155" s="282">
        <v>136.71356783919734</v>
      </c>
      <c r="E155" s="282">
        <v>0</v>
      </c>
      <c r="F155" s="283">
        <v>0</v>
      </c>
      <c r="G155" s="284"/>
      <c r="H155" s="147"/>
      <c r="I155" s="285">
        <v>0.82101645016796709</v>
      </c>
      <c r="J155" s="288">
        <v>2.8484152166368543E-2</v>
      </c>
      <c r="K155" s="287">
        <v>0.81067915684553493</v>
      </c>
      <c r="L155" s="288">
        <v>0</v>
      </c>
      <c r="M155" s="286">
        <v>99.239845921844619</v>
      </c>
      <c r="N155" s="287">
        <v>0.76015407815537961</v>
      </c>
      <c r="O155" s="288">
        <v>0</v>
      </c>
      <c r="P155" s="286">
        <v>0.76355093941729635</v>
      </c>
      <c r="Q155" s="286">
        <v>1.1204765256230782</v>
      </c>
      <c r="R155" s="287">
        <v>1.2176911653949503</v>
      </c>
      <c r="S155" s="286">
        <v>0</v>
      </c>
      <c r="T155" s="286">
        <v>15.667194684718156</v>
      </c>
      <c r="U155" s="286">
        <v>21.381447449494669</v>
      </c>
      <c r="V155" s="287">
        <v>22.559562649496836</v>
      </c>
      <c r="W155" s="288">
        <v>0</v>
      </c>
      <c r="X155" s="286">
        <v>1.5019507099645313</v>
      </c>
      <c r="Y155" s="286">
        <v>226.97276196913589</v>
      </c>
      <c r="Z155" s="287">
        <v>0</v>
      </c>
      <c r="AA155" s="288"/>
      <c r="AB155" s="286"/>
      <c r="AC155" s="287"/>
      <c r="AD155" s="289">
        <v>0.13857207324923171</v>
      </c>
      <c r="AE155" s="290">
        <v>1.9226338646705865E-2</v>
      </c>
      <c r="AF155" s="289">
        <v>0.90151577809986849</v>
      </c>
      <c r="AG155" s="290">
        <v>1.2229375273214942</v>
      </c>
      <c r="AH155" s="284">
        <v>0.3860881400207164</v>
      </c>
      <c r="AI155" s="147">
        <v>0.52374199848201042</v>
      </c>
      <c r="AJ155" s="291">
        <v>8.6382837749554679E-3</v>
      </c>
      <c r="AK155" s="292">
        <v>229.16514502890908</v>
      </c>
    </row>
    <row r="156" spans="1:37">
      <c r="A156" s="281">
        <v>0.23618090452261448</v>
      </c>
      <c r="B156" s="281">
        <v>4214.4120603015326</v>
      </c>
      <c r="C156" s="282">
        <v>5284.7135678392224</v>
      </c>
      <c r="D156" s="282">
        <v>136.40703517588076</v>
      </c>
      <c r="E156" s="282">
        <v>0</v>
      </c>
      <c r="F156" s="283">
        <v>0</v>
      </c>
      <c r="G156" s="284"/>
      <c r="H156" s="147"/>
      <c r="I156" s="285">
        <v>0.81832416093381655</v>
      </c>
      <c r="J156" s="288">
        <v>2.8393952668963645E-2</v>
      </c>
      <c r="K156" s="287">
        <v>0.81091927559689325</v>
      </c>
      <c r="L156" s="288">
        <v>0</v>
      </c>
      <c r="M156" s="286">
        <v>99.228640077484485</v>
      </c>
      <c r="N156" s="287">
        <v>0.77135992251552543</v>
      </c>
      <c r="O156" s="288">
        <v>0</v>
      </c>
      <c r="P156" s="286">
        <v>0.76340508606159219</v>
      </c>
      <c r="Q156" s="286">
        <v>1.1205720393709604</v>
      </c>
      <c r="R156" s="287">
        <v>1.2176539456844455</v>
      </c>
      <c r="S156" s="286">
        <v>0</v>
      </c>
      <c r="T156" s="286">
        <v>15.66595325085758</v>
      </c>
      <c r="U156" s="286">
        <v>21.384382380667979</v>
      </c>
      <c r="V156" s="287">
        <v>22.560789669147521</v>
      </c>
      <c r="W156" s="288">
        <v>0</v>
      </c>
      <c r="X156" s="286">
        <v>1.4971078521029793</v>
      </c>
      <c r="Y156" s="286">
        <v>227.74528848816013</v>
      </c>
      <c r="Z156" s="287">
        <v>0</v>
      </c>
      <c r="AA156" s="288"/>
      <c r="AB156" s="286"/>
      <c r="AC156" s="287"/>
      <c r="AD156" s="289">
        <v>0.14035720595034465</v>
      </c>
      <c r="AE156" s="290">
        <v>1.9290192887211122E-2</v>
      </c>
      <c r="AF156" s="289">
        <v>0.90372420733583003</v>
      </c>
      <c r="AG156" s="290">
        <v>1.2258958667981263</v>
      </c>
      <c r="AH156" s="284">
        <v>0.38703393415631865</v>
      </c>
      <c r="AI156" s="147">
        <v>0.52500895333053244</v>
      </c>
      <c r="AJ156" s="291">
        <v>8.6256126065221306E-3</v>
      </c>
      <c r="AK156" s="292">
        <v>229.58488398051668</v>
      </c>
    </row>
    <row r="157" spans="1:37">
      <c r="A157" s="281">
        <v>0.23115577889447378</v>
      </c>
      <c r="B157" s="281">
        <v>4124.7437185929903</v>
      </c>
      <c r="C157" s="282">
        <v>5252.336683417112</v>
      </c>
      <c r="D157" s="282">
        <v>136.10050251256419</v>
      </c>
      <c r="E157" s="282">
        <v>0</v>
      </c>
      <c r="F157" s="283">
        <v>0</v>
      </c>
      <c r="G157" s="284"/>
      <c r="H157" s="147"/>
      <c r="I157" s="285">
        <v>0.81564045108577055</v>
      </c>
      <c r="J157" s="288">
        <v>2.8304018373265512E-2</v>
      </c>
      <c r="K157" s="287">
        <v>0.81115888964502247</v>
      </c>
      <c r="L157" s="288">
        <v>0</v>
      </c>
      <c r="M157" s="286">
        <v>99.217476796133667</v>
      </c>
      <c r="N157" s="287">
        <v>0.78252320386632845</v>
      </c>
      <c r="O157" s="288">
        <v>0</v>
      </c>
      <c r="P157" s="286">
        <v>0.76325898062730968</v>
      </c>
      <c r="Q157" s="286">
        <v>1.120667254609172</v>
      </c>
      <c r="R157" s="287">
        <v>1.2176167141201664</v>
      </c>
      <c r="S157" s="286">
        <v>0</v>
      </c>
      <c r="T157" s="286">
        <v>15.66470714653437</v>
      </c>
      <c r="U157" s="286">
        <v>21.387312178924724</v>
      </c>
      <c r="V157" s="287">
        <v>22.562016753863787</v>
      </c>
      <c r="W157" s="288">
        <v>0</v>
      </c>
      <c r="X157" s="286">
        <v>1.4922796658702433</v>
      </c>
      <c r="Y157" s="286">
        <v>228.52214848855866</v>
      </c>
      <c r="Z157" s="287">
        <v>0</v>
      </c>
      <c r="AA157" s="288"/>
      <c r="AB157" s="286"/>
      <c r="AC157" s="287"/>
      <c r="AD157" s="289">
        <v>0.14211932063797605</v>
      </c>
      <c r="AE157" s="290">
        <v>1.9349595180888968E-2</v>
      </c>
      <c r="AF157" s="289">
        <v>0.90583643398344571</v>
      </c>
      <c r="AG157" s="290">
        <v>1.2287235169927981</v>
      </c>
      <c r="AH157" s="284">
        <v>0.38793852803863427</v>
      </c>
      <c r="AI157" s="147">
        <v>0.52621993846336179</v>
      </c>
      <c r="AJ157" s="291">
        <v>8.6140173320201959E-3</v>
      </c>
      <c r="AK157" s="292">
        <v>229.98539000157336</v>
      </c>
    </row>
    <row r="158" spans="1:37">
      <c r="A158" s="281">
        <v>0.22613065326633308</v>
      </c>
      <c r="B158" s="281">
        <v>4035.0753768844475</v>
      </c>
      <c r="C158" s="282">
        <v>5219.9597989950016</v>
      </c>
      <c r="D158" s="282">
        <v>135.79396984924762</v>
      </c>
      <c r="E158" s="282">
        <v>0</v>
      </c>
      <c r="F158" s="283">
        <v>0</v>
      </c>
      <c r="G158" s="284"/>
      <c r="H158" s="147"/>
      <c r="I158" s="285">
        <v>0.81296528971433624</v>
      </c>
      <c r="J158" s="288">
        <v>2.8214348466273662E-2</v>
      </c>
      <c r="K158" s="287">
        <v>0.81139799720273031</v>
      </c>
      <c r="L158" s="288">
        <v>0</v>
      </c>
      <c r="M158" s="286">
        <v>99.206355886346799</v>
      </c>
      <c r="N158" s="287">
        <v>0.79364411365319776</v>
      </c>
      <c r="O158" s="288">
        <v>0</v>
      </c>
      <c r="P158" s="286">
        <v>0.76311262093816679</v>
      </c>
      <c r="Q158" s="286">
        <v>1.1207621698611587</v>
      </c>
      <c r="R158" s="287">
        <v>1.2175794706696998</v>
      </c>
      <c r="S158" s="286">
        <v>0</v>
      </c>
      <c r="T158" s="286">
        <v>15.663456332543426</v>
      </c>
      <c r="U158" s="286">
        <v>21.390236813438108</v>
      </c>
      <c r="V158" s="287">
        <v>22.563243903385576</v>
      </c>
      <c r="W158" s="288">
        <v>0</v>
      </c>
      <c r="X158" s="286">
        <v>1.4874660583550503</v>
      </c>
      <c r="Y158" s="286">
        <v>229.30336266376651</v>
      </c>
      <c r="Z158" s="287">
        <v>0</v>
      </c>
      <c r="AA158" s="288"/>
      <c r="AB158" s="286"/>
      <c r="AC158" s="287"/>
      <c r="AD158" s="289">
        <v>0.14385830191694909</v>
      </c>
      <c r="AE158" s="290">
        <v>1.9404618654038752E-2</v>
      </c>
      <c r="AF158" s="289">
        <v>0.90785602947446087</v>
      </c>
      <c r="AG158" s="290">
        <v>1.2314253340866328</v>
      </c>
      <c r="AH158" s="284">
        <v>0.38880345118880222</v>
      </c>
      <c r="AI158" s="147">
        <v>0.52737703361552146</v>
      </c>
      <c r="AJ158" s="291">
        <v>8.6035011767919469E-3</v>
      </c>
      <c r="AK158" s="292">
        <v>230.36743462697868</v>
      </c>
    </row>
    <row r="159" spans="1:37">
      <c r="A159" s="281">
        <v>0.22110552763819236</v>
      </c>
      <c r="B159" s="281">
        <v>3945.4070351759046</v>
      </c>
      <c r="C159" s="282">
        <v>5187.5829145728912</v>
      </c>
      <c r="D159" s="282">
        <v>135.48743718593104</v>
      </c>
      <c r="E159" s="282">
        <v>0</v>
      </c>
      <c r="F159" s="283">
        <v>0</v>
      </c>
      <c r="G159" s="284"/>
      <c r="H159" s="147"/>
      <c r="I159" s="285">
        <v>0.8102986458616811</v>
      </c>
      <c r="J159" s="288">
        <v>2.812494213155823E-2</v>
      </c>
      <c r="K159" s="287">
        <v>0.81163659645584751</v>
      </c>
      <c r="L159" s="288">
        <v>0</v>
      </c>
      <c r="M159" s="286">
        <v>99.195277156733013</v>
      </c>
      <c r="N159" s="287">
        <v>0.80472284326699106</v>
      </c>
      <c r="O159" s="288">
        <v>0</v>
      </c>
      <c r="P159" s="286">
        <v>0.76296600480110288</v>
      </c>
      <c r="Q159" s="286">
        <v>1.1208567836313537</v>
      </c>
      <c r="R159" s="287">
        <v>1.2175422153005189</v>
      </c>
      <c r="S159" s="286">
        <v>0</v>
      </c>
      <c r="T159" s="286">
        <v>15.662200769369942</v>
      </c>
      <c r="U159" s="286">
        <v>21.393156253002601</v>
      </c>
      <c r="V159" s="287">
        <v>22.564471117451387</v>
      </c>
      <c r="W159" s="288">
        <v>0</v>
      </c>
      <c r="X159" s="286">
        <v>1.4826669373059598</v>
      </c>
      <c r="Y159" s="286">
        <v>230.08895176901157</v>
      </c>
      <c r="Z159" s="287">
        <v>0</v>
      </c>
      <c r="AA159" s="288"/>
      <c r="AB159" s="286"/>
      <c r="AC159" s="287"/>
      <c r="AD159" s="289">
        <v>0.14557403713117681</v>
      </c>
      <c r="AE159" s="290">
        <v>1.9455338667928479E-2</v>
      </c>
      <c r="AF159" s="289">
        <v>0.90978640578793513</v>
      </c>
      <c r="AG159" s="290">
        <v>1.2340059573984166</v>
      </c>
      <c r="AH159" s="284">
        <v>0.38963016483987134</v>
      </c>
      <c r="AI159" s="147">
        <v>0.5284822256473688</v>
      </c>
      <c r="AJ159" s="291">
        <v>8.5940640589061666E-3</v>
      </c>
      <c r="AK159" s="292">
        <v>230.7317511886545</v>
      </c>
    </row>
    <row r="160" spans="1:37">
      <c r="A160" s="281">
        <v>0.21608040201005166</v>
      </c>
      <c r="B160" s="281">
        <v>3855.7386934673618</v>
      </c>
      <c r="C160" s="282">
        <v>5155.2060301507809</v>
      </c>
      <c r="D160" s="282">
        <v>135.18090452261447</v>
      </c>
      <c r="E160" s="282">
        <v>0</v>
      </c>
      <c r="F160" s="283">
        <v>0</v>
      </c>
      <c r="G160" s="284"/>
      <c r="H160" s="147"/>
      <c r="I160" s="285">
        <v>0.80764048851924253</v>
      </c>
      <c r="J160" s="288">
        <v>2.8035798549187335E-2</v>
      </c>
      <c r="K160" s="287">
        <v>0.81187468556294284</v>
      </c>
      <c r="L160" s="288">
        <v>0</v>
      </c>
      <c r="M160" s="286">
        <v>99.184240415943364</v>
      </c>
      <c r="N160" s="287">
        <v>0.81575958405663385</v>
      </c>
      <c r="O160" s="288">
        <v>0</v>
      </c>
      <c r="P160" s="286">
        <v>0.76281913000607038</v>
      </c>
      <c r="Q160" s="286">
        <v>1.1209510944050098</v>
      </c>
      <c r="R160" s="287">
        <v>1.2175049479799911</v>
      </c>
      <c r="S160" s="286">
        <v>0</v>
      </c>
      <c r="T160" s="286">
        <v>15.660940417185675</v>
      </c>
      <c r="U160" s="286">
        <v>21.39607046602999</v>
      </c>
      <c r="V160" s="287">
        <v>22.565698395798357</v>
      </c>
      <c r="W160" s="288">
        <v>0</v>
      </c>
      <c r="X160" s="286">
        <v>1.4778822111255157</v>
      </c>
      <c r="Y160" s="286">
        <v>230.87893662008435</v>
      </c>
      <c r="Z160" s="287">
        <v>0</v>
      </c>
      <c r="AA160" s="288"/>
      <c r="AB160" s="286"/>
      <c r="AC160" s="287"/>
      <c r="AD160" s="289">
        <v>0.14726641684202699</v>
      </c>
      <c r="AE160" s="290">
        <v>1.9501832455090296E-2</v>
      </c>
      <c r="AF160" s="289">
        <v>0.91163081789574429</v>
      </c>
      <c r="AG160" s="290">
        <v>1.2364698127341718</v>
      </c>
      <c r="AH160" s="284">
        <v>0.39042006298412413</v>
      </c>
      <c r="AI160" s="147">
        <v>0.52953740997910281</v>
      </c>
      <c r="AJ160" s="291">
        <v>8.5857032098520421E-3</v>
      </c>
      <c r="AK160" s="292">
        <v>231.07903592685764</v>
      </c>
    </row>
    <row r="161" spans="1:37">
      <c r="A161" s="281">
        <v>0.21105527638191096</v>
      </c>
      <c r="B161" s="281">
        <v>3766.070351758819</v>
      </c>
      <c r="C161" s="282">
        <v>5122.8291457286705</v>
      </c>
      <c r="D161" s="282">
        <v>134.8743718592979</v>
      </c>
      <c r="E161" s="282">
        <v>0</v>
      </c>
      <c r="F161" s="283">
        <v>0</v>
      </c>
      <c r="G161" s="284"/>
      <c r="H161" s="147"/>
      <c r="I161" s="285">
        <v>0.80499078662455581</v>
      </c>
      <c r="J161" s="288">
        <v>2.794691689562823E-2</v>
      </c>
      <c r="K161" s="287">
        <v>0.81211226265494851</v>
      </c>
      <c r="L161" s="288">
        <v>0</v>
      </c>
      <c r="M161" s="286">
        <v>99.173245472654884</v>
      </c>
      <c r="N161" s="287">
        <v>0.8267545273451159</v>
      </c>
      <c r="O161" s="288">
        <v>0</v>
      </c>
      <c r="P161" s="286">
        <v>0.76267199432582977</v>
      </c>
      <c r="Q161" s="286">
        <v>1.1210451006479252</v>
      </c>
      <c r="R161" s="287">
        <v>1.2174676686753685</v>
      </c>
      <c r="S161" s="286">
        <v>0</v>
      </c>
      <c r="T161" s="286">
        <v>15.6596752358451</v>
      </c>
      <c r="U161" s="286">
        <v>21.398979420544173</v>
      </c>
      <c r="V161" s="287">
        <v>22.566925738162187</v>
      </c>
      <c r="W161" s="288">
        <v>0</v>
      </c>
      <c r="X161" s="286">
        <v>1.4731117888626004</v>
      </c>
      <c r="Y161" s="286">
        <v>231.67333809198198</v>
      </c>
      <c r="Z161" s="287">
        <v>0</v>
      </c>
      <c r="AA161" s="288"/>
      <c r="AB161" s="286"/>
      <c r="AC161" s="287"/>
      <c r="AD161" s="289">
        <v>0.14893533527087197</v>
      </c>
      <c r="AE161" s="290">
        <v>1.9544178774819732E-2</v>
      </c>
      <c r="AF161" s="289">
        <v>0.91339236847204652</v>
      </c>
      <c r="AG161" s="290">
        <v>1.2388211188067035</v>
      </c>
      <c r="AH161" s="284">
        <v>0.39117447438997932</v>
      </c>
      <c r="AI161" s="147">
        <v>0.53054439334003367</v>
      </c>
      <c r="AJ161" s="291">
        <v>8.5784136355321981E-3</v>
      </c>
      <c r="AK161" s="292">
        <v>231.40994948813545</v>
      </c>
    </row>
    <row r="162" spans="1:37">
      <c r="A162" s="281">
        <v>0.20603015075377024</v>
      </c>
      <c r="B162" s="281">
        <v>3676.4020100502762</v>
      </c>
      <c r="C162" s="282">
        <v>5090.4522613065601</v>
      </c>
      <c r="D162" s="282">
        <v>134.56783919598132</v>
      </c>
      <c r="E162" s="282">
        <v>0</v>
      </c>
      <c r="F162" s="283">
        <v>0</v>
      </c>
      <c r="G162" s="284"/>
      <c r="H162" s="147"/>
      <c r="I162" s="285">
        <v>0.80234950905984781</v>
      </c>
      <c r="J162" s="288">
        <v>2.7858296343707678E-2</v>
      </c>
      <c r="K162" s="287">
        <v>0.81234932583484343</v>
      </c>
      <c r="L162" s="288">
        <v>0</v>
      </c>
      <c r="M162" s="286">
        <v>99.162292135562083</v>
      </c>
      <c r="N162" s="287">
        <v>0.83770786443791601</v>
      </c>
      <c r="O162" s="288">
        <v>0</v>
      </c>
      <c r="P162" s="286">
        <v>0.76252459551575102</v>
      </c>
      <c r="Q162" s="286">
        <v>1.1211388008062144</v>
      </c>
      <c r="R162" s="287">
        <v>1.2174303773538009</v>
      </c>
      <c r="S162" s="286">
        <v>0</v>
      </c>
      <c r="T162" s="286">
        <v>15.658405184881847</v>
      </c>
      <c r="U162" s="286">
        <v>21.4018830841766</v>
      </c>
      <c r="V162" s="287">
        <v>22.568153144277211</v>
      </c>
      <c r="W162" s="288">
        <v>0</v>
      </c>
      <c r="X162" s="286">
        <v>1.4683555802092165</v>
      </c>
      <c r="Y162" s="286">
        <v>232.47217711755184</v>
      </c>
      <c r="Z162" s="287">
        <v>0</v>
      </c>
      <c r="AA162" s="288"/>
      <c r="AB162" s="286"/>
      <c r="AC162" s="287"/>
      <c r="AD162" s="289">
        <v>0.15058069070152616</v>
      </c>
      <c r="AE162" s="290">
        <v>1.9582457592824065E-2</v>
      </c>
      <c r="AF162" s="289">
        <v>0.91507401383130826</v>
      </c>
      <c r="AG162" s="290">
        <v>1.2410638953202626</v>
      </c>
      <c r="AH162" s="284">
        <v>0.39189466514504329</v>
      </c>
      <c r="AI162" s="147">
        <v>0.53150489723096628</v>
      </c>
      <c r="AJ162" s="291">
        <v>8.5721884683873702E-3</v>
      </c>
      <c r="AK162" s="292">
        <v>231.7251186109593</v>
      </c>
    </row>
    <row r="163" spans="1:37">
      <c r="A163" s="281">
        <v>0.20100502512562954</v>
      </c>
      <c r="B163" s="281">
        <v>3586.7336683417334</v>
      </c>
      <c r="C163" s="282">
        <v>5058.0753768844497</v>
      </c>
      <c r="D163" s="282">
        <v>134.26130653266475</v>
      </c>
      <c r="E163" s="282">
        <v>0</v>
      </c>
      <c r="F163" s="283">
        <v>0</v>
      </c>
      <c r="G163" s="284"/>
      <c r="H163" s="147"/>
      <c r="I163" s="285">
        <v>0.79971662464816229</v>
      </c>
      <c r="J163" s="288">
        <v>2.7769936062489127E-2</v>
      </c>
      <c r="K163" s="287">
        <v>0.81258587317714093</v>
      </c>
      <c r="L163" s="288">
        <v>0</v>
      </c>
      <c r="M163" s="286">
        <v>99.151380213357882</v>
      </c>
      <c r="N163" s="287">
        <v>0.84861978664212701</v>
      </c>
      <c r="O163" s="288">
        <v>0</v>
      </c>
      <c r="P163" s="286">
        <v>0.76237693131359463</v>
      </c>
      <c r="Q163" s="286">
        <v>1.1212321933059934</v>
      </c>
      <c r="R163" s="287">
        <v>1.2173930739823247</v>
      </c>
      <c r="S163" s="286">
        <v>0</v>
      </c>
      <c r="T163" s="286">
        <v>15.657130223504607</v>
      </c>
      <c r="U163" s="286">
        <v>21.404781424160106</v>
      </c>
      <c r="V163" s="287">
        <v>22.569380613876348</v>
      </c>
      <c r="W163" s="288">
        <v>0</v>
      </c>
      <c r="X163" s="286">
        <v>1.4636134954912858</v>
      </c>
      <c r="Y163" s="286">
        <v>233.27547468594668</v>
      </c>
      <c r="Z163" s="287">
        <v>0</v>
      </c>
      <c r="AA163" s="288"/>
      <c r="AB163" s="286"/>
      <c r="AC163" s="287"/>
      <c r="AD163" s="289">
        <v>0.15220238584216142</v>
      </c>
      <c r="AE163" s="290">
        <v>1.9616749791941834E-2</v>
      </c>
      <c r="AF163" s="289">
        <v>0.916678570491815</v>
      </c>
      <c r="AG163" s="290">
        <v>1.2432019719020053</v>
      </c>
      <c r="AH163" s="284">
        <v>0.39258184146703584</v>
      </c>
      <c r="AI163" s="147">
        <v>0.53242056174923658</v>
      </c>
      <c r="AJ163" s="291">
        <v>8.5670192419801134E-3</v>
      </c>
      <c r="AK163" s="292">
        <v>232.02513788508264</v>
      </c>
    </row>
    <row r="164" spans="1:37">
      <c r="A164" s="281">
        <v>0.19597989949748881</v>
      </c>
      <c r="B164" s="281">
        <v>3497.0653266331906</v>
      </c>
      <c r="C164" s="282">
        <v>5025.6984924623393</v>
      </c>
      <c r="D164" s="282">
        <v>133.95477386934817</v>
      </c>
      <c r="E164" s="282">
        <v>0</v>
      </c>
      <c r="F164" s="283">
        <v>0</v>
      </c>
      <c r="G164" s="284"/>
      <c r="H164" s="147"/>
      <c r="I164" s="285">
        <v>0.79709210215120785</v>
      </c>
      <c r="J164" s="288">
        <v>2.7681835217207788E-2</v>
      </c>
      <c r="K164" s="287">
        <v>0.81282190272757915</v>
      </c>
      <c r="L164" s="288">
        <v>0</v>
      </c>
      <c r="M164" s="286">
        <v>99.140509514721984</v>
      </c>
      <c r="N164" s="287">
        <v>0.85949048527802452</v>
      </c>
      <c r="O164" s="288">
        <v>0</v>
      </c>
      <c r="P164" s="286">
        <v>0.76222899943929334</v>
      </c>
      <c r="Q164" s="286">
        <v>1.1213252765531458</v>
      </c>
      <c r="R164" s="287">
        <v>1.2173557585278663</v>
      </c>
      <c r="S164" s="286">
        <v>0</v>
      </c>
      <c r="T164" s="286">
        <v>15.655850310593275</v>
      </c>
      <c r="U164" s="286">
        <v>21.407674407324276</v>
      </c>
      <c r="V164" s="287">
        <v>22.570608146691093</v>
      </c>
      <c r="W164" s="288">
        <v>0</v>
      </c>
      <c r="X164" s="286">
        <v>1.4588854456637532</v>
      </c>
      <c r="Y164" s="286">
        <v>234.08325184118419</v>
      </c>
      <c r="Z164" s="287">
        <v>0</v>
      </c>
      <c r="AA164" s="288"/>
      <c r="AB164" s="286"/>
      <c r="AC164" s="287"/>
      <c r="AD164" s="289">
        <v>0.15380032814760633</v>
      </c>
      <c r="AE164" s="290">
        <v>1.9647136910573293E-2</v>
      </c>
      <c r="AF164" s="289">
        <v>0.91820872200944337</v>
      </c>
      <c r="AG164" s="290">
        <v>1.2452389973983791</v>
      </c>
      <c r="AH164" s="284">
        <v>0.39323715263045905</v>
      </c>
      <c r="AI164" s="147">
        <v>0.53329294957003259</v>
      </c>
      <c r="AJ164" s="291">
        <v>8.562896108024123E-3</v>
      </c>
      <c r="AK164" s="292">
        <v>232.31057151920734</v>
      </c>
    </row>
    <row r="165" spans="1:37">
      <c r="A165" s="281">
        <v>0.19095477386934812</v>
      </c>
      <c r="B165" s="281">
        <v>3407.3969849246478</v>
      </c>
      <c r="C165" s="282">
        <v>4993.321608040229</v>
      </c>
      <c r="D165" s="282">
        <v>133.6482412060316</v>
      </c>
      <c r="E165" s="282">
        <v>0</v>
      </c>
      <c r="F165" s="283">
        <v>0</v>
      </c>
      <c r="G165" s="284"/>
      <c r="H165" s="147"/>
      <c r="I165" s="285">
        <v>0.79447591026754227</v>
      </c>
      <c r="J165" s="288">
        <v>2.7593992969216552E-2</v>
      </c>
      <c r="K165" s="287">
        <v>0.81305741250303198</v>
      </c>
      <c r="L165" s="288">
        <v>0</v>
      </c>
      <c r="M165" s="286">
        <v>99.129679848311</v>
      </c>
      <c r="N165" s="287">
        <v>0.87032015168900378</v>
      </c>
      <c r="O165" s="288">
        <v>0</v>
      </c>
      <c r="P165" s="286">
        <v>0.76208079759475544</v>
      </c>
      <c r="Q165" s="286">
        <v>1.121418048933231</v>
      </c>
      <c r="R165" s="287">
        <v>1.2173184309572378</v>
      </c>
      <c r="S165" s="286">
        <v>0</v>
      </c>
      <c r="T165" s="286">
        <v>15.654565404695189</v>
      </c>
      <c r="U165" s="286">
        <v>21.410562000092895</v>
      </c>
      <c r="V165" s="287">
        <v>22.571835742451487</v>
      </c>
      <c r="W165" s="288">
        <v>0</v>
      </c>
      <c r="X165" s="286">
        <v>1.4541713423066414</v>
      </c>
      <c r="Y165" s="286">
        <v>234.89552968092337</v>
      </c>
      <c r="Z165" s="287">
        <v>0</v>
      </c>
      <c r="AA165" s="288"/>
      <c r="AB165" s="286"/>
      <c r="AC165" s="287"/>
      <c r="AD165" s="289">
        <v>0.15537443010408206</v>
      </c>
      <c r="AE165" s="290">
        <v>1.9673700909541014E-2</v>
      </c>
      <c r="AF165" s="289">
        <v>0.9196670258730405</v>
      </c>
      <c r="AG165" s="290">
        <v>1.2471784492533817</v>
      </c>
      <c r="AH165" s="284">
        <v>0.39386169391965087</v>
      </c>
      <c r="AI165" s="147">
        <v>0.53412354996277989</v>
      </c>
      <c r="AJ165" s="291">
        <v>8.5598080089201185E-3</v>
      </c>
      <c r="AK165" s="292">
        <v>232.58195508002882</v>
      </c>
    </row>
    <row r="166" spans="1:37">
      <c r="A166" s="281">
        <v>0.18592964824120742</v>
      </c>
      <c r="B166" s="281">
        <v>3317.728643216105</v>
      </c>
      <c r="C166" s="282">
        <v>4960.9447236181186</v>
      </c>
      <c r="D166" s="282">
        <v>133.34170854271503</v>
      </c>
      <c r="E166" s="282">
        <v>0</v>
      </c>
      <c r="F166" s="283">
        <v>0</v>
      </c>
      <c r="G166" s="284"/>
      <c r="H166" s="147"/>
      <c r="I166" s="285">
        <v>0.79186801761944425</v>
      </c>
      <c r="J166" s="288">
        <v>2.7506408475553135E-2</v>
      </c>
      <c r="K166" s="287">
        <v>0.8132924004887665</v>
      </c>
      <c r="L166" s="288">
        <v>0</v>
      </c>
      <c r="M166" s="286">
        <v>99.118891022697781</v>
      </c>
      <c r="N166" s="287">
        <v>0.88110897730222448</v>
      </c>
      <c r="O166" s="288">
        <v>0</v>
      </c>
      <c r="P166" s="286">
        <v>0.761932323463551</v>
      </c>
      <c r="Q166" s="286">
        <v>1.1215105088099704</v>
      </c>
      <c r="R166" s="287">
        <v>1.2172810912371457</v>
      </c>
      <c r="S166" s="286">
        <v>0</v>
      </c>
      <c r="T166" s="286">
        <v>15.653275464019593</v>
      </c>
      <c r="U166" s="286">
        <v>21.413444168458234</v>
      </c>
      <c r="V166" s="287">
        <v>22.573063400886198</v>
      </c>
      <c r="W166" s="288">
        <v>0</v>
      </c>
      <c r="X166" s="286">
        <v>1.4494710975933838</v>
      </c>
      <c r="Y166" s="286">
        <v>235.71232935263703</v>
      </c>
      <c r="Z166" s="287">
        <v>0</v>
      </c>
      <c r="AA166" s="288"/>
      <c r="AB166" s="286"/>
      <c r="AC166" s="287"/>
      <c r="AD166" s="289">
        <v>0.15692460948019088</v>
      </c>
      <c r="AE166" s="290">
        <v>1.9696523976377223E-2</v>
      </c>
      <c r="AF166" s="289">
        <v>0.92105592034472861</v>
      </c>
      <c r="AG166" s="290">
        <v>1.2490236428104324</v>
      </c>
      <c r="AH166" s="284">
        <v>0.39445650955825157</v>
      </c>
      <c r="AI166" s="147">
        <v>0.53491378277481294</v>
      </c>
      <c r="AJ166" s="291">
        <v>8.5577428143568269E-3</v>
      </c>
      <c r="AK166" s="292">
        <v>232.83979718344958</v>
      </c>
    </row>
    <row r="167" spans="1:37">
      <c r="A167" s="281">
        <v>0.18090452261306669</v>
      </c>
      <c r="B167" s="281">
        <v>3228.0603015075621</v>
      </c>
      <c r="C167" s="282">
        <v>4928.5678391960082</v>
      </c>
      <c r="D167" s="282">
        <v>133.03517587939845</v>
      </c>
      <c r="E167" s="282">
        <v>0</v>
      </c>
      <c r="F167" s="283">
        <v>0</v>
      </c>
      <c r="G167" s="284"/>
      <c r="H167" s="147"/>
      <c r="I167" s="285">
        <v>0.78926839279481165</v>
      </c>
      <c r="J167" s="288">
        <v>2.741908089035007E-2</v>
      </c>
      <c r="K167" s="287">
        <v>0.8135268646475089</v>
      </c>
      <c r="L167" s="288">
        <v>0</v>
      </c>
      <c r="M167" s="286">
        <v>99.108142846556447</v>
      </c>
      <c r="N167" s="287">
        <v>0.89185715344355554</v>
      </c>
      <c r="O167" s="288">
        <v>0</v>
      </c>
      <c r="P167" s="286">
        <v>0.76178357471104552</v>
      </c>
      <c r="Q167" s="286">
        <v>1.1216026545299387</v>
      </c>
      <c r="R167" s="287">
        <v>1.2172437393341813</v>
      </c>
      <c r="S167" s="286">
        <v>0</v>
      </c>
      <c r="T167" s="286">
        <v>15.651980446439651</v>
      </c>
      <c r="U167" s="286">
        <v>21.416320878057508</v>
      </c>
      <c r="V167" s="287">
        <v>22.574291121722428</v>
      </c>
      <c r="W167" s="288">
        <v>0</v>
      </c>
      <c r="X167" s="286">
        <v>1.4447846243945723</v>
      </c>
      <c r="Y167" s="286">
        <v>236.53367206101083</v>
      </c>
      <c r="Z167" s="287">
        <v>0</v>
      </c>
      <c r="AA167" s="288"/>
      <c r="AB167" s="286"/>
      <c r="AC167" s="287"/>
      <c r="AD167" s="289">
        <v>0.15845078954047534</v>
      </c>
      <c r="AE167" s="290">
        <v>1.971568830562398E-2</v>
      </c>
      <c r="AF167" s="289">
        <v>0.92237773118052191</v>
      </c>
      <c r="AG167" s="290">
        <v>1.2507777404502483</v>
      </c>
      <c r="AH167" s="284">
        <v>0.39502259558741276</v>
      </c>
      <c r="AI167" s="147">
        <v>0.53566500234481162</v>
      </c>
      <c r="AJ167" s="291">
        <v>8.5566874280780976E-3</v>
      </c>
      <c r="AK167" s="292">
        <v>233.08458112863497</v>
      </c>
    </row>
    <row r="168" spans="1:37">
      <c r="A168" s="281">
        <v>0.175879396984926</v>
      </c>
      <c r="B168" s="281">
        <v>3138.3919597990193</v>
      </c>
      <c r="C168" s="282">
        <v>4896.1909547738978</v>
      </c>
      <c r="D168" s="282">
        <v>132.72864321608188</v>
      </c>
      <c r="E168" s="282">
        <v>0</v>
      </c>
      <c r="F168" s="283">
        <v>0</v>
      </c>
      <c r="G168" s="284"/>
      <c r="H168" s="147"/>
      <c r="I168" s="285">
        <v>0.7866770042575123</v>
      </c>
      <c r="J168" s="288">
        <v>2.733200936183823E-2</v>
      </c>
      <c r="K168" s="287">
        <v>0.81376080290084785</v>
      </c>
      <c r="L168" s="288">
        <v>0</v>
      </c>
      <c r="M168" s="286">
        <v>99.097435128260656</v>
      </c>
      <c r="N168" s="287">
        <v>0.90256487173934763</v>
      </c>
      <c r="O168" s="288">
        <v>0</v>
      </c>
      <c r="P168" s="286">
        <v>0.76163454898349137</v>
      </c>
      <c r="Q168" s="286">
        <v>1.1216944844127643</v>
      </c>
      <c r="R168" s="287">
        <v>1.2172063752148308</v>
      </c>
      <c r="S168" s="286">
        <v>0</v>
      </c>
      <c r="T168" s="286">
        <v>15.650680309476552</v>
      </c>
      <c r="U168" s="286">
        <v>21.419192094010235</v>
      </c>
      <c r="V168" s="287">
        <v>22.575518904685982</v>
      </c>
      <c r="W168" s="288">
        <v>0</v>
      </c>
      <c r="X168" s="286">
        <v>1.4401118360581915</v>
      </c>
      <c r="Y168" s="286">
        <v>237.35957904892359</v>
      </c>
      <c r="Z168" s="287">
        <v>0</v>
      </c>
      <c r="AA168" s="288"/>
      <c r="AB168" s="286"/>
      <c r="AC168" s="287"/>
      <c r="AD168" s="289">
        <v>0.15995289923973932</v>
      </c>
      <c r="AE168" s="290">
        <v>1.9731276024208544E-2</v>
      </c>
      <c r="AF168" s="289">
        <v>0.92363467821622736</v>
      </c>
      <c r="AG168" s="290">
        <v>1.2524437605444108</v>
      </c>
      <c r="AH168" s="284">
        <v>0.39556090268631111</v>
      </c>
      <c r="AI168" s="147">
        <v>0.53637850133730636</v>
      </c>
      <c r="AJ168" s="291">
        <v>8.5566278674429844E-3</v>
      </c>
      <c r="AK168" s="292">
        <v>233.31676647491798</v>
      </c>
    </row>
    <row r="169" spans="1:37">
      <c r="A169" s="281">
        <v>0.17085427135678527</v>
      </c>
      <c r="B169" s="281">
        <v>3048.7236180904765</v>
      </c>
      <c r="C169" s="282">
        <v>4863.8140703517874</v>
      </c>
      <c r="D169" s="282">
        <v>132.4221105527653</v>
      </c>
      <c r="E169" s="282">
        <v>0</v>
      </c>
      <c r="F169" s="283">
        <v>0</v>
      </c>
      <c r="G169" s="284"/>
      <c r="H169" s="147"/>
      <c r="I169" s="285">
        <v>0.78409382043091858</v>
      </c>
      <c r="J169" s="288">
        <v>2.7245193035151251E-2</v>
      </c>
      <c r="K169" s="287">
        <v>0.813994213146916</v>
      </c>
      <c r="L169" s="288">
        <v>0</v>
      </c>
      <c r="M169" s="286">
        <v>99.08676767625424</v>
      </c>
      <c r="N169" s="287">
        <v>0.91323232374575702</v>
      </c>
      <c r="O169" s="288">
        <v>0</v>
      </c>
      <c r="P169" s="286">
        <v>0.76148524390847361</v>
      </c>
      <c r="Q169" s="286">
        <v>1.121785996760323</v>
      </c>
      <c r="R169" s="287">
        <v>1.2171689988454533</v>
      </c>
      <c r="S169" s="286">
        <v>0</v>
      </c>
      <c r="T169" s="286">
        <v>15.649375010306947</v>
      </c>
      <c r="U169" s="286">
        <v>21.422057781069011</v>
      </c>
      <c r="V169" s="287">
        <v>22.576746749501122</v>
      </c>
      <c r="W169" s="288">
        <v>0</v>
      </c>
      <c r="X169" s="286">
        <v>1.4354526466160369</v>
      </c>
      <c r="Y169" s="286">
        <v>238.19007161298322</v>
      </c>
      <c r="Z169" s="287">
        <v>0</v>
      </c>
      <c r="AA169" s="288"/>
      <c r="AB169" s="286"/>
      <c r="AC169" s="287"/>
      <c r="AD169" s="289">
        <v>0.16143087337975331</v>
      </c>
      <c r="AE169" s="290">
        <v>1.9743368977115594E-2</v>
      </c>
      <c r="AF169" s="289">
        <v>0.92482888183028644</v>
      </c>
      <c r="AG169" s="290">
        <v>1.2540245862404189</v>
      </c>
      <c r="AH169" s="284">
        <v>0.39607233893996147</v>
      </c>
      <c r="AI169" s="147">
        <v>0.53705551450501277</v>
      </c>
      <c r="AJ169" s="291">
        <v>8.5575493187281613E-3</v>
      </c>
      <c r="AK169" s="292">
        <v>233.53679056642127</v>
      </c>
    </row>
    <row r="170" spans="1:37">
      <c r="A170" s="281">
        <v>0.16582914572864457</v>
      </c>
      <c r="B170" s="281">
        <v>2959.0552763819337</v>
      </c>
      <c r="C170" s="282">
        <v>4831.4371859296771</v>
      </c>
      <c r="D170" s="282">
        <v>132.11557788944873</v>
      </c>
      <c r="E170" s="282">
        <v>0</v>
      </c>
      <c r="F170" s="283">
        <v>0</v>
      </c>
      <c r="G170" s="284"/>
      <c r="H170" s="147"/>
      <c r="I170" s="285">
        <v>0.78151880964572917</v>
      </c>
      <c r="J170" s="288">
        <v>2.7158631050583845E-2</v>
      </c>
      <c r="K170" s="287">
        <v>0.81422709324959375</v>
      </c>
      <c r="L170" s="288">
        <v>0</v>
      </c>
      <c r="M170" s="286">
        <v>99.07614029881654</v>
      </c>
      <c r="N170" s="287">
        <v>0.92385970118346294</v>
      </c>
      <c r="O170" s="288">
        <v>0</v>
      </c>
      <c r="P170" s="286">
        <v>0.76133565709429063</v>
      </c>
      <c r="Q170" s="286">
        <v>1.121877189851026</v>
      </c>
      <c r="R170" s="287">
        <v>1.2171316101923053</v>
      </c>
      <c r="S170" s="286">
        <v>0</v>
      </c>
      <c r="T170" s="286">
        <v>15.648064505752062</v>
      </c>
      <c r="U170" s="286">
        <v>21.424917903524296</v>
      </c>
      <c r="V170" s="287">
        <v>22.57797465589071</v>
      </c>
      <c r="W170" s="288">
        <v>0</v>
      </c>
      <c r="X170" s="286">
        <v>1.4308069706562565</v>
      </c>
      <c r="Y170" s="286">
        <v>239.02517109180428</v>
      </c>
      <c r="Z170" s="287">
        <v>0</v>
      </c>
      <c r="AA170" s="288"/>
      <c r="AB170" s="286"/>
      <c r="AC170" s="287"/>
      <c r="AD170" s="289">
        <v>0.1628846527474731</v>
      </c>
      <c r="AE170" s="290">
        <v>1.9752048663944866E-2</v>
      </c>
      <c r="AF170" s="289">
        <v>0.92596236929929232</v>
      </c>
      <c r="AG170" s="290">
        <v>1.2555229740996598</v>
      </c>
      <c r="AH170" s="284">
        <v>0.39655777256106534</v>
      </c>
      <c r="AI170" s="147">
        <v>0.53769722238817741</v>
      </c>
      <c r="AJ170" s="291">
        <v>8.559436167927089E-3</v>
      </c>
      <c r="AK170" s="292">
        <v>233.74507000985309</v>
      </c>
    </row>
    <row r="171" spans="1:37">
      <c r="A171" s="281">
        <v>0.16080402010050385</v>
      </c>
      <c r="B171" s="281">
        <v>2869.3869346733909</v>
      </c>
      <c r="C171" s="282">
        <v>4799.0603015075667</v>
      </c>
      <c r="D171" s="282">
        <v>131.80904522613216</v>
      </c>
      <c r="E171" s="282">
        <v>0</v>
      </c>
      <c r="F171" s="283">
        <v>0</v>
      </c>
      <c r="G171" s="284"/>
      <c r="H171" s="147"/>
      <c r="I171" s="285">
        <v>0.77895194017596092</v>
      </c>
      <c r="J171" s="288">
        <v>2.7072322544804246E-2</v>
      </c>
      <c r="K171" s="287">
        <v>0.81445944104629597</v>
      </c>
      <c r="L171" s="288">
        <v>0</v>
      </c>
      <c r="M171" s="286">
        <v>99.065552804221198</v>
      </c>
      <c r="N171" s="287">
        <v>0.93444719577879398</v>
      </c>
      <c r="O171" s="288">
        <v>0</v>
      </c>
      <c r="P171" s="286">
        <v>0.76118578613002552</v>
      </c>
      <c r="Q171" s="286">
        <v>1.1219680619438301</v>
      </c>
      <c r="R171" s="287">
        <v>1.2170942092215242</v>
      </c>
      <c r="S171" s="286">
        <v>0</v>
      </c>
      <c r="T171" s="286">
        <v>15.646748752278604</v>
      </c>
      <c r="U171" s="286">
        <v>21.427772425269701</v>
      </c>
      <c r="V171" s="287">
        <v>22.579202623576119</v>
      </c>
      <c r="W171" s="288">
        <v>0</v>
      </c>
      <c r="X171" s="286">
        <v>1.4261747234132161</v>
      </c>
      <c r="Y171" s="286">
        <v>239.86489887215384</v>
      </c>
      <c r="Z171" s="287">
        <v>0</v>
      </c>
      <c r="AA171" s="288"/>
      <c r="AB171" s="286"/>
      <c r="AC171" s="287"/>
      <c r="AD171" s="289">
        <v>0.16431418422624353</v>
      </c>
      <c r="AE171" s="290">
        <v>1.9757396112639825E-2</v>
      </c>
      <c r="AF171" s="289">
        <v>0.92703708112237782</v>
      </c>
      <c r="AG171" s="290">
        <v>1.2569415626915659</v>
      </c>
      <c r="AH171" s="284">
        <v>0.39701803459852841</v>
      </c>
      <c r="AI171" s="147">
        <v>0.53830475499515851</v>
      </c>
      <c r="AJ171" s="291">
        <v>8.5622720060681938E-3</v>
      </c>
      <c r="AK171" s="292">
        <v>233.94200212217709</v>
      </c>
    </row>
    <row r="172" spans="1:37">
      <c r="A172" s="281">
        <v>0.15577889447236315</v>
      </c>
      <c r="B172" s="281">
        <v>2779.7185929648481</v>
      </c>
      <c r="C172" s="282">
        <v>4766.6834170854563</v>
      </c>
      <c r="D172" s="282">
        <v>131.50251256281558</v>
      </c>
      <c r="E172" s="282">
        <v>0</v>
      </c>
      <c r="F172" s="283">
        <v>0</v>
      </c>
      <c r="G172" s="284"/>
      <c r="H172" s="147"/>
      <c r="I172" s="285">
        <v>0.77639318017604897</v>
      </c>
      <c r="J172" s="288">
        <v>2.6986266648751485E-2</v>
      </c>
      <c r="K172" s="287">
        <v>0.81469125433498502</v>
      </c>
      <c r="L172" s="288">
        <v>0</v>
      </c>
      <c r="M172" s="286">
        <v>99.055005000453491</v>
      </c>
      <c r="N172" s="287">
        <v>0.94499499954651545</v>
      </c>
      <c r="O172" s="288">
        <v>0</v>
      </c>
      <c r="P172" s="286">
        <v>0.76103562858482809</v>
      </c>
      <c r="Q172" s="286">
        <v>1.1220586112713697</v>
      </c>
      <c r="R172" s="287">
        <v>1.2170567958991398</v>
      </c>
      <c r="S172" s="286">
        <v>0</v>
      </c>
      <c r="T172" s="286">
        <v>15.645427705986204</v>
      </c>
      <c r="U172" s="286">
        <v>21.430621309687538</v>
      </c>
      <c r="V172" s="287">
        <v>22.5804306522773</v>
      </c>
      <c r="W172" s="288">
        <v>0</v>
      </c>
      <c r="X172" s="286">
        <v>1.4215558206134526</v>
      </c>
      <c r="Y172" s="286">
        <v>240.70927637483231</v>
      </c>
      <c r="Z172" s="287">
        <v>0</v>
      </c>
      <c r="AA172" s="288"/>
      <c r="AB172" s="286"/>
      <c r="AC172" s="287"/>
      <c r="AD172" s="289">
        <v>0.16571942089365274</v>
      </c>
      <c r="AE172" s="290">
        <v>1.9759491865159684E-2</v>
      </c>
      <c r="AF172" s="289">
        <v>0.92805487739429604</v>
      </c>
      <c r="AG172" s="290">
        <v>1.2582828812522588</v>
      </c>
      <c r="AH172" s="284">
        <v>0.39745392166683147</v>
      </c>
      <c r="AI172" s="147">
        <v>0.53887919551062535</v>
      </c>
      <c r="AJ172" s="291">
        <v>8.5660396055172155E-3</v>
      </c>
      <c r="AK172" s="292">
        <v>234.12796636532204</v>
      </c>
    </row>
    <row r="173" spans="1:37">
      <c r="A173" s="281">
        <v>0.15075376884422245</v>
      </c>
      <c r="B173" s="281">
        <v>2690.0502512563053</v>
      </c>
      <c r="C173" s="282">
        <v>4734.3065326633459</v>
      </c>
      <c r="D173" s="282">
        <v>131.19597989949901</v>
      </c>
      <c r="E173" s="282">
        <v>0</v>
      </c>
      <c r="F173" s="283">
        <v>0</v>
      </c>
      <c r="G173" s="284"/>
      <c r="H173" s="147"/>
      <c r="I173" s="285">
        <v>0.77384249773769331</v>
      </c>
      <c r="J173" s="288">
        <v>2.6900462489547017E-2</v>
      </c>
      <c r="K173" s="287">
        <v>0.81492253088619959</v>
      </c>
      <c r="L173" s="288">
        <v>0</v>
      </c>
      <c r="M173" s="286">
        <v>99.044496695462115</v>
      </c>
      <c r="N173" s="287">
        <v>0.95550330453789201</v>
      </c>
      <c r="O173" s="288">
        <v>0</v>
      </c>
      <c r="P173" s="286">
        <v>0.76088518200814959</v>
      </c>
      <c r="Q173" s="286">
        <v>1.1221488360461858</v>
      </c>
      <c r="R173" s="287">
        <v>1.2170193701910632</v>
      </c>
      <c r="S173" s="286">
        <v>0</v>
      </c>
      <c r="T173" s="286">
        <v>15.644101322611153</v>
      </c>
      <c r="U173" s="286">
        <v>21.433464519750835</v>
      </c>
      <c r="V173" s="287">
        <v>22.581658741712694</v>
      </c>
      <c r="W173" s="288">
        <v>0</v>
      </c>
      <c r="X173" s="286">
        <v>1.4169501786172465</v>
      </c>
      <c r="Y173" s="286">
        <v>241.55832506486641</v>
      </c>
      <c r="Z173" s="287">
        <v>0</v>
      </c>
      <c r="AA173" s="288"/>
      <c r="AB173" s="286"/>
      <c r="AC173" s="287"/>
      <c r="AD173" s="289">
        <v>0.16710032209354708</v>
      </c>
      <c r="AE173" s="290">
        <v>1.9758415871462987E-2</v>
      </c>
      <c r="AF173" s="289">
        <v>0.92901754436210315</v>
      </c>
      <c r="AG173" s="290">
        <v>1.2595493585905198</v>
      </c>
      <c r="AH173" s="284">
        <v>0.39786619875403167</v>
      </c>
      <c r="AI173" s="147">
        <v>0.53942158410967811</v>
      </c>
      <c r="AJ173" s="291">
        <v>8.570720862313929E-3</v>
      </c>
      <c r="AK173" s="292">
        <v>234.30332579529284</v>
      </c>
    </row>
    <row r="174" spans="1:37">
      <c r="A174" s="281">
        <v>0.14572864321608173</v>
      </c>
      <c r="B174" s="281">
        <v>2600.3819095477625</v>
      </c>
      <c r="C174" s="282">
        <v>4701.9296482412356</v>
      </c>
      <c r="D174" s="282">
        <v>130.88944723618243</v>
      </c>
      <c r="E174" s="282">
        <v>0</v>
      </c>
      <c r="F174" s="283">
        <v>0</v>
      </c>
      <c r="G174" s="284"/>
      <c r="H174" s="147"/>
      <c r="I174" s="285">
        <v>0.77129985997029782</v>
      </c>
      <c r="J174" s="288">
        <v>2.6814909159643133E-2</v>
      </c>
      <c r="K174" s="287">
        <v>0.81515326825847167</v>
      </c>
      <c r="L174" s="288">
        <v>0</v>
      </c>
      <c r="M174" s="286">
        <v>99.034027693054682</v>
      </c>
      <c r="N174" s="287">
        <v>0.96597230694531011</v>
      </c>
      <c r="O174" s="288">
        <v>0</v>
      </c>
      <c r="P174" s="286">
        <v>0.76073444391895451</v>
      </c>
      <c r="Q174" s="286">
        <v>1.1222387343633564</v>
      </c>
      <c r="R174" s="287">
        <v>1.2169819320630886</v>
      </c>
      <c r="S174" s="286">
        <v>0</v>
      </c>
      <c r="T174" s="286">
        <v>15.642769557339459</v>
      </c>
      <c r="U174" s="286">
        <v>21.436302016406874</v>
      </c>
      <c r="V174" s="287">
        <v>22.582886891599244</v>
      </c>
      <c r="W174" s="288">
        <v>0</v>
      </c>
      <c r="X174" s="286">
        <v>1.4123577121429689</v>
      </c>
      <c r="Y174" s="286">
        <v>242.41206626720603</v>
      </c>
      <c r="Z174" s="287">
        <v>0</v>
      </c>
      <c r="AA174" s="288"/>
      <c r="AB174" s="286"/>
      <c r="AC174" s="287"/>
      <c r="AD174" s="289">
        <v>0.16845685359263493</v>
      </c>
      <c r="AE174" s="290">
        <v>1.975424827675798E-2</v>
      </c>
      <c r="AF174" s="289">
        <v>0.92992680140651673</v>
      </c>
      <c r="AG174" s="290">
        <v>1.2607433325678878</v>
      </c>
      <c r="AH174" s="284">
        <v>0.39825560221163758</v>
      </c>
      <c r="AI174" s="147">
        <v>0.53993292201784737</v>
      </c>
      <c r="AJ174" s="291">
        <v>8.5762966890598393E-3</v>
      </c>
      <c r="AK174" s="292">
        <v>234.46842857292219</v>
      </c>
    </row>
    <row r="175" spans="1:37">
      <c r="A175" s="281">
        <v>0.14070351758794103</v>
      </c>
      <c r="B175" s="281">
        <v>2510.7135678392196</v>
      </c>
      <c r="C175" s="282">
        <v>4669.5527638191252</v>
      </c>
      <c r="D175" s="282">
        <v>130.58291457286586</v>
      </c>
      <c r="E175" s="282">
        <v>0</v>
      </c>
      <c r="F175" s="283">
        <v>0</v>
      </c>
      <c r="G175" s="284"/>
      <c r="H175" s="147"/>
      <c r="I175" s="285">
        <v>0.76876523807902086</v>
      </c>
      <c r="J175" s="288">
        <v>2.6729605887241364E-2</v>
      </c>
      <c r="K175" s="287">
        <v>0.81538346481694246</v>
      </c>
      <c r="L175" s="288">
        <v>0</v>
      </c>
      <c r="M175" s="286">
        <v>99.023597815551938</v>
      </c>
      <c r="N175" s="287">
        <v>0.97640218444805982</v>
      </c>
      <c r="O175" s="288">
        <v>0</v>
      </c>
      <c r="P175" s="286">
        <v>0.76058341186491762</v>
      </c>
      <c r="Q175" s="286">
        <v>1.12232830473793</v>
      </c>
      <c r="R175" s="287">
        <v>1.2169444814808925</v>
      </c>
      <c r="S175" s="286">
        <v>0</v>
      </c>
      <c r="T175" s="286">
        <v>15.641432365831164</v>
      </c>
      <c r="U175" s="286">
        <v>21.439133767494173</v>
      </c>
      <c r="V175" s="287">
        <v>22.584115101652383</v>
      </c>
      <c r="W175" s="288">
        <v>0</v>
      </c>
      <c r="X175" s="286">
        <v>1.4077783468458123</v>
      </c>
      <c r="Y175" s="286">
        <v>243.27052217473152</v>
      </c>
      <c r="Z175" s="287">
        <v>0</v>
      </c>
      <c r="AA175" s="288"/>
      <c r="AB175" s="286"/>
      <c r="AC175" s="287"/>
      <c r="AD175" s="289">
        <v>0.16978898714607765</v>
      </c>
      <c r="AE175" s="290">
        <v>1.9747064828408933E-2</v>
      </c>
      <c r="AF175" s="289">
        <v>0.93078430841771154</v>
      </c>
      <c r="AG175" s="290">
        <v>1.2618670601117747</v>
      </c>
      <c r="AH175" s="284">
        <v>0.39862284291340849</v>
      </c>
      <c r="AI175" s="147">
        <v>0.54041417579936613</v>
      </c>
      <c r="AJ175" s="291">
        <v>8.5827468830747562E-3</v>
      </c>
      <c r="AK175" s="292">
        <v>234.62360953181437</v>
      </c>
    </row>
    <row r="176" spans="1:37">
      <c r="A176" s="281">
        <v>0.1356783919598003</v>
      </c>
      <c r="B176" s="281">
        <v>2421.0452261306768</v>
      </c>
      <c r="C176" s="282">
        <v>4637.1758793970148</v>
      </c>
      <c r="D176" s="282">
        <v>130.27638190954929</v>
      </c>
      <c r="E176" s="282">
        <v>0</v>
      </c>
      <c r="F176" s="283">
        <v>0</v>
      </c>
      <c r="G176" s="284"/>
      <c r="H176" s="147"/>
      <c r="I176" s="285">
        <v>0.76623859527928884</v>
      </c>
      <c r="J176" s="288">
        <v>2.6644551630711576E-2</v>
      </c>
      <c r="K176" s="287">
        <v>0.81561311731182129</v>
      </c>
      <c r="L176" s="288">
        <v>0</v>
      </c>
      <c r="M176" s="286">
        <v>99.013206849865782</v>
      </c>
      <c r="N176" s="287">
        <v>0.98679315013420965</v>
      </c>
      <c r="O176" s="288">
        <v>0</v>
      </c>
      <c r="P176" s="286">
        <v>0.76043208327965561</v>
      </c>
      <c r="Q176" s="286">
        <v>1.1224175448261311</v>
      </c>
      <c r="R176" s="287">
        <v>1.2169070184100412</v>
      </c>
      <c r="S176" s="286">
        <v>0</v>
      </c>
      <c r="T176" s="286">
        <v>15.640089701749098</v>
      </c>
      <c r="U176" s="286">
        <v>21.441959726520341</v>
      </c>
      <c r="V176" s="287">
        <v>22.585343371586074</v>
      </c>
      <c r="W176" s="288">
        <v>0</v>
      </c>
      <c r="X176" s="286">
        <v>1.4032119893827235</v>
      </c>
      <c r="Y176" s="286">
        <v>244.13371344482687</v>
      </c>
      <c r="Z176" s="287">
        <v>0</v>
      </c>
      <c r="AA176" s="288"/>
      <c r="AB176" s="286"/>
      <c r="AC176" s="287"/>
      <c r="AD176" s="289">
        <v>0.17109670144887523</v>
      </c>
      <c r="AE176" s="290">
        <v>1.9736948034610458E-2</v>
      </c>
      <c r="AF176" s="289">
        <v>0.93159167429745082</v>
      </c>
      <c r="AG176" s="290">
        <v>1.2629227287536744</v>
      </c>
      <c r="AH176" s="284">
        <v>0.39896860989652411</v>
      </c>
      <c r="AI176" s="147">
        <v>0.54086628229858713</v>
      </c>
      <c r="AJ176" s="291">
        <v>8.5900498414158699E-3</v>
      </c>
      <c r="AK176" s="292">
        <v>234.769191943241</v>
      </c>
    </row>
    <row r="177" spans="1:37">
      <c r="A177" s="281">
        <v>0.13065326633165961</v>
      </c>
      <c r="B177" s="281">
        <v>2331.376884422134</v>
      </c>
      <c r="C177" s="282">
        <v>4604.7989949749044</v>
      </c>
      <c r="D177" s="282">
        <v>129.96984924623271</v>
      </c>
      <c r="E177" s="282">
        <v>0</v>
      </c>
      <c r="F177" s="283">
        <v>0</v>
      </c>
      <c r="G177" s="284"/>
      <c r="H177" s="147"/>
      <c r="I177" s="285">
        <v>0.76371990210784502</v>
      </c>
      <c r="J177" s="288">
        <v>2.6559745592450827E-2</v>
      </c>
      <c r="K177" s="287">
        <v>0.81584222394370065</v>
      </c>
      <c r="L177" s="288">
        <v>0</v>
      </c>
      <c r="M177" s="286">
        <v>99.002854615808218</v>
      </c>
      <c r="N177" s="287">
        <v>0.99714538419179144</v>
      </c>
      <c r="O177" s="288">
        <v>0</v>
      </c>
      <c r="P177" s="286">
        <v>0.76028045566458169</v>
      </c>
      <c r="Q177" s="286">
        <v>1.1225064530452544</v>
      </c>
      <c r="R177" s="287">
        <v>1.2168695428159817</v>
      </c>
      <c r="S177" s="286">
        <v>0</v>
      </c>
      <c r="T177" s="286">
        <v>15.638741519906148</v>
      </c>
      <c r="U177" s="286">
        <v>21.444779859544433</v>
      </c>
      <c r="V177" s="287">
        <v>22.586571701112781</v>
      </c>
      <c r="W177" s="288">
        <v>0</v>
      </c>
      <c r="X177" s="286">
        <v>1.3986585653455006</v>
      </c>
      <c r="Y177" s="286">
        <v>245.00166224016772</v>
      </c>
      <c r="Z177" s="287">
        <v>0</v>
      </c>
      <c r="AA177" s="288"/>
      <c r="AB177" s="286"/>
      <c r="AC177" s="287"/>
      <c r="AD177" s="289">
        <v>0.17237998125394899</v>
      </c>
      <c r="AE177" s="290">
        <v>1.9723972831165448E-2</v>
      </c>
      <c r="AF177" s="289">
        <v>0.93235046825469259</v>
      </c>
      <c r="AG177" s="290">
        <v>1.2639124719521255</v>
      </c>
      <c r="AH177" s="284">
        <v>0.39929357519910363</v>
      </c>
      <c r="AI177" s="147">
        <v>0.54129015520227997</v>
      </c>
      <c r="AJ177" s="291">
        <v>8.5981822293683084E-3</v>
      </c>
      <c r="AK177" s="292">
        <v>234.90548979392929</v>
      </c>
    </row>
    <row r="178" spans="1:37">
      <c r="A178" s="281">
        <v>0.12562814070351891</v>
      </c>
      <c r="B178" s="281">
        <v>2241.7085427135912</v>
      </c>
      <c r="C178" s="282">
        <v>4572.422110552794</v>
      </c>
      <c r="D178" s="282">
        <v>129.66331658291614</v>
      </c>
      <c r="E178" s="282">
        <v>0</v>
      </c>
      <c r="F178" s="283">
        <v>0</v>
      </c>
      <c r="G178" s="284"/>
      <c r="H178" s="147"/>
      <c r="I178" s="285">
        <v>0.76120912551426478</v>
      </c>
      <c r="J178" s="288">
        <v>2.6475186852775286E-2</v>
      </c>
      <c r="K178" s="287">
        <v>0.81607078218211071</v>
      </c>
      <c r="L178" s="288">
        <v>0</v>
      </c>
      <c r="M178" s="286">
        <v>98.992540917420939</v>
      </c>
      <c r="N178" s="287">
        <v>1.0074590825790619</v>
      </c>
      <c r="O178" s="288">
        <v>0</v>
      </c>
      <c r="P178" s="286">
        <v>0.76012852645786522</v>
      </c>
      <c r="Q178" s="286">
        <v>1.1225950274197509</v>
      </c>
      <c r="R178" s="287">
        <v>1.2168320546640434</v>
      </c>
      <c r="S178" s="286">
        <v>0</v>
      </c>
      <c r="T178" s="286">
        <v>15.637387773996917</v>
      </c>
      <c r="U178" s="286">
        <v>21.44759412602447</v>
      </c>
      <c r="V178" s="287">
        <v>22.587800089943432</v>
      </c>
      <c r="W178" s="288">
        <v>0</v>
      </c>
      <c r="X178" s="286">
        <v>1.3941179922342948</v>
      </c>
      <c r="Y178" s="286">
        <v>245.87439005994878</v>
      </c>
      <c r="Z178" s="287">
        <v>0</v>
      </c>
      <c r="AA178" s="288"/>
      <c r="AB178" s="286"/>
      <c r="AC178" s="287"/>
      <c r="AD178" s="289">
        <v>0.17363881780180462</v>
      </c>
      <c r="AE178" s="290">
        <v>1.9708217156932828E-2</v>
      </c>
      <c r="AF178" s="289">
        <v>0.93306223173367897</v>
      </c>
      <c r="AG178" s="290">
        <v>1.264838385270266</v>
      </c>
      <c r="AH178" s="284">
        <v>0.39959839896859517</v>
      </c>
      <c r="AI178" s="147">
        <v>0.54168669196792008</v>
      </c>
      <c r="AJ178" s="291">
        <v>8.6071184420146926E-3</v>
      </c>
      <c r="AK178" s="292">
        <v>235.03281016791624</v>
      </c>
    </row>
    <row r="179" spans="1:37">
      <c r="A179" s="281">
        <v>0.12060301507537818</v>
      </c>
      <c r="B179" s="281">
        <v>2152.0402010050484</v>
      </c>
      <c r="C179" s="282">
        <v>4540.0452261306837</v>
      </c>
      <c r="D179" s="282">
        <v>129.35678391959956</v>
      </c>
      <c r="E179" s="282">
        <v>0</v>
      </c>
      <c r="F179" s="283">
        <v>0</v>
      </c>
      <c r="G179" s="284"/>
      <c r="H179" s="147"/>
      <c r="I179" s="285">
        <v>0.75870623300378071</v>
      </c>
      <c r="J179" s="288">
        <v>2.6390874508973872E-2</v>
      </c>
      <c r="K179" s="287">
        <v>0.8162987895933953</v>
      </c>
      <c r="L179" s="288">
        <v>0</v>
      </c>
      <c r="M179" s="286">
        <v>98.982265561457012</v>
      </c>
      <c r="N179" s="287">
        <v>1.0177344385429818</v>
      </c>
      <c r="O179" s="288">
        <v>0</v>
      </c>
      <c r="P179" s="286">
        <v>0.75997629308427905</v>
      </c>
      <c r="Q179" s="286">
        <v>1.1226832660194579</v>
      </c>
      <c r="R179" s="287">
        <v>1.2167945539194358</v>
      </c>
      <c r="S179" s="286">
        <v>0</v>
      </c>
      <c r="T179" s="286">
        <v>15.636028417460201</v>
      </c>
      <c r="U179" s="286">
        <v>21.45040248609029</v>
      </c>
      <c r="V179" s="287">
        <v>22.589028537787414</v>
      </c>
      <c r="W179" s="288">
        <v>0</v>
      </c>
      <c r="X179" s="286">
        <v>1.389590189725898</v>
      </c>
      <c r="Y179" s="286">
        <v>246.75191856121819</v>
      </c>
      <c r="Z179" s="287">
        <v>0</v>
      </c>
      <c r="AA179" s="288"/>
      <c r="AB179" s="286"/>
      <c r="AC179" s="287"/>
      <c r="AD179" s="289">
        <v>0.17487320871572803</v>
      </c>
      <c r="AE179" s="290">
        <v>1.9689758079533104E-2</v>
      </c>
      <c r="AF179" s="289">
        <v>0.93372849709798922</v>
      </c>
      <c r="AG179" s="290">
        <v>1.2657025517083098</v>
      </c>
      <c r="AH179" s="284">
        <v>0.39988373746351197</v>
      </c>
      <c r="AI179" s="147">
        <v>0.54205678467271545</v>
      </c>
      <c r="AJ179" s="291">
        <v>8.6168297590228666E-3</v>
      </c>
      <c r="AK179" s="292">
        <v>235.15145689062751</v>
      </c>
    </row>
    <row r="180" spans="1:37">
      <c r="A180" s="281">
        <v>0.11557788944723749</v>
      </c>
      <c r="B180" s="281">
        <v>2062.3718592965056</v>
      </c>
      <c r="C180" s="282">
        <v>4507.6683417085733</v>
      </c>
      <c r="D180" s="282">
        <v>129.05025125628299</v>
      </c>
      <c r="E180" s="282">
        <v>0</v>
      </c>
      <c r="F180" s="283">
        <v>0</v>
      </c>
      <c r="G180" s="284"/>
      <c r="H180" s="147"/>
      <c r="I180" s="285">
        <v>0.75621119196886022</v>
      </c>
      <c r="J180" s="288">
        <v>2.6306807652877486E-2</v>
      </c>
      <c r="K180" s="287">
        <v>0.81652624370748705</v>
      </c>
      <c r="L180" s="288">
        <v>0</v>
      </c>
      <c r="M180" s="286">
        <v>98.972028354396727</v>
      </c>
      <c r="N180" s="287">
        <v>1.0279716456032642</v>
      </c>
      <c r="O180" s="288">
        <v>0</v>
      </c>
      <c r="P180" s="286">
        <v>0.75982375294686055</v>
      </c>
      <c r="Q180" s="286">
        <v>1.1227711668889413</v>
      </c>
      <c r="R180" s="287">
        <v>1.216757040547257</v>
      </c>
      <c r="S180" s="286">
        <v>0</v>
      </c>
      <c r="T180" s="286">
        <v>15.634663403334477</v>
      </c>
      <c r="U180" s="286">
        <v>21.453204899369542</v>
      </c>
      <c r="V180" s="287">
        <v>22.590257044352661</v>
      </c>
      <c r="W180" s="288">
        <v>0</v>
      </c>
      <c r="X180" s="286">
        <v>1.3850750780190388</v>
      </c>
      <c r="Y180" s="286">
        <v>247.63426942439924</v>
      </c>
      <c r="Z180" s="287">
        <v>0</v>
      </c>
      <c r="AA180" s="288"/>
      <c r="AB180" s="286"/>
      <c r="AC180" s="287"/>
      <c r="AD180" s="289">
        <v>0.17608315795870597</v>
      </c>
      <c r="AE180" s="290">
        <v>1.9668672756569139E-2</v>
      </c>
      <c r="AF180" s="289">
        <v>0.93435081358824956</v>
      </c>
      <c r="AG180" s="290">
        <v>1.2665070768907987</v>
      </c>
      <c r="AH180" s="284">
        <v>0.40015025417022482</v>
      </c>
      <c r="AI180" s="147">
        <v>0.54240133508309385</v>
      </c>
      <c r="AJ180" s="291">
        <v>8.6272830223850516E-3</v>
      </c>
      <c r="AK180" s="292">
        <v>235.2617355304636</v>
      </c>
    </row>
    <row r="181" spans="1:37">
      <c r="A181" s="281">
        <v>0.11055276381909677</v>
      </c>
      <c r="B181" s="281">
        <v>1972.7035175879628</v>
      </c>
      <c r="C181" s="282">
        <v>4475.2914572864629</v>
      </c>
      <c r="D181" s="282">
        <v>128.74371859296642</v>
      </c>
      <c r="E181" s="282">
        <v>0</v>
      </c>
      <c r="F181" s="283">
        <v>0</v>
      </c>
      <c r="G181" s="284"/>
      <c r="H181" s="147"/>
      <c r="I181" s="285">
        <v>0.75372396968921274</v>
      </c>
      <c r="J181" s="288">
        <v>2.6222985370863938E-2</v>
      </c>
      <c r="K181" s="287">
        <v>0.81675314201796401</v>
      </c>
      <c r="L181" s="288">
        <v>0</v>
      </c>
      <c r="M181" s="286">
        <v>98.961829102445648</v>
      </c>
      <c r="N181" s="287">
        <v>1.0381708975543422</v>
      </c>
      <c r="O181" s="288">
        <v>0</v>
      </c>
      <c r="P181" s="286">
        <v>0.75967090342666566</v>
      </c>
      <c r="Q181" s="286">
        <v>1.1228587280474558</v>
      </c>
      <c r="R181" s="287">
        <v>1.2167195145124756</v>
      </c>
      <c r="S181" s="286">
        <v>0</v>
      </c>
      <c r="T181" s="286">
        <v>15.633292684253261</v>
      </c>
      <c r="U181" s="286">
        <v>21.456001324985998</v>
      </c>
      <c r="V181" s="287">
        <v>22.591485609345447</v>
      </c>
      <c r="W181" s="288">
        <v>0</v>
      </c>
      <c r="X181" s="286">
        <v>1.3805725778365014</v>
      </c>
      <c r="Y181" s="286">
        <v>248.52146435137561</v>
      </c>
      <c r="Z181" s="287">
        <v>0</v>
      </c>
      <c r="AA181" s="288"/>
      <c r="AB181" s="286"/>
      <c r="AC181" s="287"/>
      <c r="AD181" s="289">
        <v>0.1772686757542819</v>
      </c>
      <c r="AE181" s="290">
        <v>1.9645038911954904E-2</v>
      </c>
      <c r="AF181" s="289">
        <v>0.93493078823021902</v>
      </c>
      <c r="AG181" s="290">
        <v>1.2672541445118064</v>
      </c>
      <c r="AH181" s="284">
        <v>0.40039863732248548</v>
      </c>
      <c r="AI181" s="147">
        <v>0.54272127839997353</v>
      </c>
      <c r="AJ181" s="291">
        <v>8.6384384335994949E-3</v>
      </c>
      <c r="AK181" s="292">
        <v>235.36396120488715</v>
      </c>
    </row>
    <row r="182" spans="1:37">
      <c r="A182" s="281">
        <v>0.10552763819095606</v>
      </c>
      <c r="B182" s="281">
        <v>1883.03517587942</v>
      </c>
      <c r="C182" s="282">
        <v>4442.9145728643525</v>
      </c>
      <c r="D182" s="282">
        <v>128.43718592964984</v>
      </c>
      <c r="E182" s="282">
        <v>0</v>
      </c>
      <c r="F182" s="283">
        <v>0</v>
      </c>
      <c r="G182" s="284"/>
      <c r="H182" s="147"/>
      <c r="I182" s="285">
        <v>0.75124453332990093</v>
      </c>
      <c r="J182" s="288">
        <v>2.6139406743799352E-2</v>
      </c>
      <c r="K182" s="287">
        <v>0.81697948198196446</v>
      </c>
      <c r="L182" s="288">
        <v>0</v>
      </c>
      <c r="M182" s="286">
        <v>98.951667611524528</v>
      </c>
      <c r="N182" s="287">
        <v>1.0483323884754803</v>
      </c>
      <c r="O182" s="288">
        <v>0</v>
      </c>
      <c r="P182" s="286">
        <v>0.75951774188250254</v>
      </c>
      <c r="Q182" s="286">
        <v>1.1229459474888206</v>
      </c>
      <c r="R182" s="287">
        <v>1.2166819757799554</v>
      </c>
      <c r="S182" s="286">
        <v>0</v>
      </c>
      <c r="T182" s="286">
        <v>15.6319162124403</v>
      </c>
      <c r="U182" s="286">
        <v>21.458791721556452</v>
      </c>
      <c r="V182" s="287">
        <v>22.592714232470659</v>
      </c>
      <c r="W182" s="288">
        <v>0</v>
      </c>
      <c r="X182" s="286">
        <v>1.3760826104226487</v>
      </c>
      <c r="Y182" s="286">
        <v>249.41352506342355</v>
      </c>
      <c r="Z182" s="287">
        <v>0</v>
      </c>
      <c r="AA182" s="288"/>
      <c r="AB182" s="286"/>
      <c r="AC182" s="287"/>
      <c r="AD182" s="289">
        <v>0.17842977844392033</v>
      </c>
      <c r="AE182" s="290">
        <v>1.9618935638440194E-2</v>
      </c>
      <c r="AF182" s="289">
        <v>0.9354701552059882</v>
      </c>
      <c r="AG182" s="290">
        <v>1.2679461103491407</v>
      </c>
      <c r="AH182" s="284">
        <v>0.40062962961072057</v>
      </c>
      <c r="AI182" s="147">
        <v>0.54301762352180527</v>
      </c>
      <c r="AJ182" s="291">
        <v>8.6502456762494392E-3</v>
      </c>
      <c r="AK182" s="292">
        <v>235.45847173507323</v>
      </c>
    </row>
    <row r="183" spans="1:37">
      <c r="A183" s="281">
        <v>0.10050251256281535</v>
      </c>
      <c r="B183" s="281">
        <v>1793.3668341708772</v>
      </c>
      <c r="C183" s="282">
        <v>4410.5376884422421</v>
      </c>
      <c r="D183" s="282">
        <v>128.13065326633327</v>
      </c>
      <c r="E183" s="282">
        <v>0</v>
      </c>
      <c r="F183" s="283">
        <v>0</v>
      </c>
      <c r="G183" s="284"/>
      <c r="H183" s="147"/>
      <c r="I183" s="285">
        <v>0.74877284993674287</v>
      </c>
      <c r="J183" s="288">
        <v>2.6056070846888241E-2</v>
      </c>
      <c r="K183" s="287">
        <v>0.81720526101939095</v>
      </c>
      <c r="L183" s="288">
        <v>0</v>
      </c>
      <c r="M183" s="286">
        <v>98.941543687246792</v>
      </c>
      <c r="N183" s="287">
        <v>1.0584563127531967</v>
      </c>
      <c r="O183" s="288">
        <v>0</v>
      </c>
      <c r="P183" s="286">
        <v>0.75936426565063897</v>
      </c>
      <c r="Q183" s="286">
        <v>1.1230328231809472</v>
      </c>
      <c r="R183" s="287">
        <v>1.2166444243144223</v>
      </c>
      <c r="S183" s="286">
        <v>0</v>
      </c>
      <c r="T183" s="286">
        <v>15.630533939704176</v>
      </c>
      <c r="U183" s="286">
        <v>21.461576047181641</v>
      </c>
      <c r="V183" s="287">
        <v>22.593942913431448</v>
      </c>
      <c r="W183" s="288">
        <v>0</v>
      </c>
      <c r="X183" s="286">
        <v>1.3716050975343232</v>
      </c>
      <c r="Y183" s="286">
        <v>250.31047329835121</v>
      </c>
      <c r="Z183" s="287">
        <v>0</v>
      </c>
      <c r="AA183" s="288"/>
      <c r="AB183" s="286"/>
      <c r="AC183" s="287"/>
      <c r="AD183" s="289">
        <v>0.17956648821587026</v>
      </c>
      <c r="AE183" s="290">
        <v>1.9590444827613074E-2</v>
      </c>
      <c r="AF183" s="289">
        <v>0.93597090476472611</v>
      </c>
      <c r="AG183" s="290">
        <v>1.2685856769590946</v>
      </c>
      <c r="AH183" s="284">
        <v>0.40084408339006183</v>
      </c>
      <c r="AI183" s="147">
        <v>0.54329152786031498</v>
      </c>
      <c r="AJ183" s="291">
        <v>8.662636551209477E-3</v>
      </c>
      <c r="AK183" s="292">
        <v>235.54565199923474</v>
      </c>
    </row>
    <row r="184" spans="1:37">
      <c r="A184" s="281">
        <v>9.5477386934674641E-2</v>
      </c>
      <c r="B184" s="281">
        <v>1703.6984924623343</v>
      </c>
      <c r="C184" s="282">
        <v>4378.1608040201318</v>
      </c>
      <c r="D184" s="282">
        <v>127.82412060301668</v>
      </c>
      <c r="E184" s="282">
        <v>0</v>
      </c>
      <c r="F184" s="283">
        <v>0</v>
      </c>
      <c r="G184" s="284"/>
      <c r="H184" s="147"/>
      <c r="I184" s="285">
        <v>0.74630888639916526</v>
      </c>
      <c r="J184" s="288">
        <v>2.5972976748429161E-2</v>
      </c>
      <c r="K184" s="287">
        <v>0.81743047650514156</v>
      </c>
      <c r="L184" s="288">
        <v>0</v>
      </c>
      <c r="M184" s="286">
        <v>98.931457134750076</v>
      </c>
      <c r="N184" s="287">
        <v>1.0685428652499163</v>
      </c>
      <c r="O184" s="288">
        <v>0</v>
      </c>
      <c r="P184" s="286">
        <v>0.75921047204426839</v>
      </c>
      <c r="Q184" s="286">
        <v>1.1231193530616757</v>
      </c>
      <c r="R184" s="287">
        <v>1.2166068600804989</v>
      </c>
      <c r="S184" s="286">
        <v>0</v>
      </c>
      <c r="T184" s="286">
        <v>15.629145817428816</v>
      </c>
      <c r="U184" s="286">
        <v>21.464354259376105</v>
      </c>
      <c r="V184" s="287">
        <v>22.595171651929565</v>
      </c>
      <c r="W184" s="288">
        <v>0</v>
      </c>
      <c r="X184" s="286">
        <v>1.3671399613507507</v>
      </c>
      <c r="Y184" s="286">
        <v>251.21233080029694</v>
      </c>
      <c r="Z184" s="287">
        <v>0</v>
      </c>
      <c r="AA184" s="288"/>
      <c r="AB184" s="286"/>
      <c r="AC184" s="287"/>
      <c r="AD184" s="289">
        <v>0.18067883253912731</v>
      </c>
      <c r="AE184" s="290">
        <v>1.9559653971666702E-2</v>
      </c>
      <c r="AF184" s="289">
        <v>0.93643555144838708</v>
      </c>
      <c r="AG184" s="290">
        <v>1.2691762571561744</v>
      </c>
      <c r="AH184" s="284">
        <v>0.40104307555217306</v>
      </c>
      <c r="AI184" s="147">
        <v>0.54354445300634424</v>
      </c>
      <c r="AJ184" s="291">
        <v>8.6755094717682162E-3</v>
      </c>
      <c r="AK184" s="292">
        <v>235.62598450136605</v>
      </c>
    </row>
    <row r="185" spans="1:37">
      <c r="A185" s="281">
        <v>9.0452261306533929E-2</v>
      </c>
      <c r="B185" s="281">
        <v>1614.0301507537915</v>
      </c>
      <c r="C185" s="282">
        <v>4345.7839195980214</v>
      </c>
      <c r="D185" s="282">
        <v>127.51758793970009</v>
      </c>
      <c r="E185" s="282">
        <v>0</v>
      </c>
      <c r="F185" s="283">
        <v>0</v>
      </c>
      <c r="G185" s="284"/>
      <c r="H185" s="147"/>
      <c r="I185" s="285">
        <v>0.74385260961373267</v>
      </c>
      <c r="J185" s="288">
        <v>2.5890123515317325E-2</v>
      </c>
      <c r="K185" s="287">
        <v>0.81765512580442101</v>
      </c>
      <c r="L185" s="288">
        <v>0</v>
      </c>
      <c r="M185" s="286">
        <v>98.921407759428945</v>
      </c>
      <c r="N185" s="287">
        <v>1.0785922405710613</v>
      </c>
      <c r="O185" s="288">
        <v>0</v>
      </c>
      <c r="P185" s="286">
        <v>0.75905635835443186</v>
      </c>
      <c r="Q185" s="286">
        <v>1.1232055350572279</v>
      </c>
      <c r="R185" s="287">
        <v>1.2165692830426742</v>
      </c>
      <c r="S185" s="286">
        <v>0</v>
      </c>
      <c r="T185" s="286">
        <v>15.627751796589067</v>
      </c>
      <c r="U185" s="286">
        <v>21.46712631537379</v>
      </c>
      <c r="V185" s="287">
        <v>22.596400447665079</v>
      </c>
      <c r="W185" s="288">
        <v>0</v>
      </c>
      <c r="X185" s="286">
        <v>1.3626871248834382</v>
      </c>
      <c r="Y185" s="286">
        <v>252.11911935428023</v>
      </c>
      <c r="Z185" s="287">
        <v>0</v>
      </c>
      <c r="AA185" s="288"/>
      <c r="AB185" s="286"/>
      <c r="AC185" s="287"/>
      <c r="AD185" s="289">
        <v>0.18176684276623306</v>
      </c>
      <c r="AE185" s="290">
        <v>1.9526662137877349E-2</v>
      </c>
      <c r="AF185" s="289">
        <v>0.93686778437048057</v>
      </c>
      <c r="AG185" s="290">
        <v>1.2697228552161228</v>
      </c>
      <c r="AH185" s="284">
        <v>0.40122818601723725</v>
      </c>
      <c r="AI185" s="147">
        <v>0.54377854211873811</v>
      </c>
      <c r="AJ185" s="291">
        <v>8.6886916689079066E-3</v>
      </c>
      <c r="AK185" s="292">
        <v>235.70017184724682</v>
      </c>
    </row>
    <row r="186" spans="1:37">
      <c r="A186" s="281">
        <v>8.5427135678393232E-2</v>
      </c>
      <c r="B186" s="281">
        <v>1524.3618090452487</v>
      </c>
      <c r="C186" s="282">
        <v>4313.407035175911</v>
      </c>
      <c r="D186" s="282">
        <v>127.2110552763835</v>
      </c>
      <c r="E186" s="282">
        <v>0</v>
      </c>
      <c r="F186" s="283">
        <v>0</v>
      </c>
      <c r="G186" s="284"/>
      <c r="H186" s="147"/>
      <c r="I186" s="285">
        <v>0.74140398615882963</v>
      </c>
      <c r="J186" s="288">
        <v>2.5807510202111042E-2</v>
      </c>
      <c r="K186" s="287">
        <v>0.81787920620324828</v>
      </c>
      <c r="L186" s="288">
        <v>0</v>
      </c>
      <c r="M186" s="286">
        <v>98.911395365471876</v>
      </c>
      <c r="N186" s="287">
        <v>1.0886046345281177</v>
      </c>
      <c r="O186" s="288">
        <v>0</v>
      </c>
      <c r="P186" s="286">
        <v>0.75890192184739014</v>
      </c>
      <c r="Q186" s="286">
        <v>1.1232913670456937</v>
      </c>
      <c r="R186" s="287">
        <v>1.2165316931653225</v>
      </c>
      <c r="S186" s="286">
        <v>0</v>
      </c>
      <c r="T186" s="286">
        <v>15.626351827705081</v>
      </c>
      <c r="U186" s="286">
        <v>21.469892171519763</v>
      </c>
      <c r="V186" s="287">
        <v>22.597629300336539</v>
      </c>
      <c r="W186" s="288">
        <v>0</v>
      </c>
      <c r="X186" s="286">
        <v>1.3582465111685154</v>
      </c>
      <c r="Y186" s="286">
        <v>253.03086071172996</v>
      </c>
      <c r="Z186" s="287">
        <v>0</v>
      </c>
      <c r="AA186" s="288"/>
      <c r="AB186" s="286"/>
      <c r="AC186" s="287"/>
      <c r="AD186" s="289">
        <v>0.18283054998105552</v>
      </c>
      <c r="AE186" s="290">
        <v>1.9491596954530732E-2</v>
      </c>
      <c r="AF186" s="289">
        <v>0.93727445716516156</v>
      </c>
      <c r="AG186" s="290">
        <v>1.270234763494495</v>
      </c>
      <c r="AH186" s="284">
        <v>0.40140234996057539</v>
      </c>
      <c r="AI186" s="147">
        <v>0.54399777479315059</v>
      </c>
      <c r="AJ186" s="291">
        <v>8.7018233111773001E-3</v>
      </c>
      <c r="AK186" s="292">
        <v>235.76951138716447</v>
      </c>
    </row>
    <row r="187" spans="1:37">
      <c r="A187" s="281">
        <v>8.040201005025252E-2</v>
      </c>
      <c r="B187" s="281">
        <v>1434.6934673367059</v>
      </c>
      <c r="C187" s="282">
        <v>4281.0301507538006</v>
      </c>
      <c r="D187" s="282">
        <v>126.90452261306692</v>
      </c>
      <c r="E187" s="282">
        <v>0</v>
      </c>
      <c r="F187" s="283">
        <v>0</v>
      </c>
      <c r="G187" s="284"/>
      <c r="H187" s="147"/>
      <c r="I187" s="285">
        <v>0.73896298259191684</v>
      </c>
      <c r="J187" s="288">
        <v>2.5725135861029973E-2</v>
      </c>
      <c r="K187" s="287">
        <v>0.81810271497234877</v>
      </c>
      <c r="L187" s="288">
        <v>0</v>
      </c>
      <c r="M187" s="286">
        <v>98.901419757194816</v>
      </c>
      <c r="N187" s="287">
        <v>1.0985802428051783</v>
      </c>
      <c r="O187" s="288">
        <v>0</v>
      </c>
      <c r="P187" s="286">
        <v>0.75874715976649676</v>
      </c>
      <c r="Q187" s="286">
        <v>1.1233768468904508</v>
      </c>
      <c r="R187" s="287">
        <v>1.2164940904126953</v>
      </c>
      <c r="S187" s="286">
        <v>0</v>
      </c>
      <c r="T187" s="286">
        <v>15.62494586087427</v>
      </c>
      <c r="U187" s="286">
        <v>21.47265178382488</v>
      </c>
      <c r="V187" s="287">
        <v>22.598858209640927</v>
      </c>
      <c r="W187" s="288">
        <v>0</v>
      </c>
      <c r="X187" s="286">
        <v>1.3538180440098553</v>
      </c>
      <c r="Y187" s="286">
        <v>253.947576654561</v>
      </c>
      <c r="Z187" s="287">
        <v>0</v>
      </c>
      <c r="AA187" s="288"/>
      <c r="AB187" s="286"/>
      <c r="AC187" s="287"/>
      <c r="AD187" s="289">
        <v>0.18386996562358154</v>
      </c>
      <c r="AE187" s="290">
        <v>1.9454682546466207E-2</v>
      </c>
      <c r="AF187" s="289">
        <v>0.93767502120215684</v>
      </c>
      <c r="AG187" s="290">
        <v>1.2707383456678114</v>
      </c>
      <c r="AH187" s="284">
        <v>0.40157389773351471</v>
      </c>
      <c r="AI187" s="147">
        <v>0.54421344168369923</v>
      </c>
      <c r="AJ187" s="291">
        <v>8.7138081908141145E-3</v>
      </c>
      <c r="AK187" s="292">
        <v>235.83767097484329</v>
      </c>
    </row>
    <row r="188" spans="1:37">
      <c r="A188" s="281">
        <v>7.5376884422111809E-2</v>
      </c>
      <c r="B188" s="281">
        <v>1345.0251256281631</v>
      </c>
      <c r="C188" s="282">
        <v>4248.6532663316902</v>
      </c>
      <c r="D188" s="282">
        <v>126.59798994975033</v>
      </c>
      <c r="E188" s="282">
        <v>0</v>
      </c>
      <c r="F188" s="283">
        <v>0</v>
      </c>
      <c r="G188" s="284"/>
      <c r="H188" s="147"/>
      <c r="I188" s="285">
        <v>0.73652956531614722</v>
      </c>
      <c r="J188" s="288">
        <v>2.5642999537474738E-2</v>
      </c>
      <c r="K188" s="287">
        <v>0.81832564933886187</v>
      </c>
      <c r="L188" s="288">
        <v>0</v>
      </c>
      <c r="M188" s="286">
        <v>98.891480738440308</v>
      </c>
      <c r="N188" s="287">
        <v>1.1085192615596935</v>
      </c>
      <c r="O188" s="288">
        <v>0</v>
      </c>
      <c r="P188" s="286">
        <v>0.75859206933096124</v>
      </c>
      <c r="Q188" s="286">
        <v>1.1234619724252681</v>
      </c>
      <c r="R188" s="287">
        <v>1.2164564747489222</v>
      </c>
      <c r="S188" s="286">
        <v>0</v>
      </c>
      <c r="T188" s="286">
        <v>15.623533845749655</v>
      </c>
      <c r="U188" s="286">
        <v>21.475405107716789</v>
      </c>
      <c r="V188" s="287">
        <v>22.600087175273597</v>
      </c>
      <c r="W188" s="288">
        <v>0</v>
      </c>
      <c r="X188" s="286">
        <v>1.3494016476497768</v>
      </c>
      <c r="Y188" s="286">
        <v>254.86928896344315</v>
      </c>
      <c r="Z188" s="287">
        <v>0</v>
      </c>
      <c r="AA188" s="288"/>
      <c r="AB188" s="286"/>
      <c r="AC188" s="287"/>
      <c r="AD188" s="289">
        <v>0.18488410859870164</v>
      </c>
      <c r="AE188" s="290">
        <v>1.9419319540561086E-2</v>
      </c>
      <c r="AF188" s="289">
        <v>0.93863412680053315</v>
      </c>
      <c r="AG188" s="290">
        <v>1.2719987935966417</v>
      </c>
      <c r="AH188" s="284">
        <v>0.40198464960891844</v>
      </c>
      <c r="AI188" s="147">
        <v>0.54475324809447634</v>
      </c>
      <c r="AJ188" s="291">
        <v>8.6918575379583123E-3</v>
      </c>
      <c r="AK188" s="292">
        <v>236.01093487973449</v>
      </c>
    </row>
    <row r="189" spans="1:37">
      <c r="A189" s="281">
        <v>7.0351758793971098E-2</v>
      </c>
      <c r="B189" s="281">
        <v>1255.3567839196203</v>
      </c>
      <c r="C189" s="282">
        <v>4216.2763819095799</v>
      </c>
      <c r="D189" s="282">
        <v>126.29145728643374</v>
      </c>
      <c r="E189" s="282">
        <v>0</v>
      </c>
      <c r="F189" s="283">
        <v>0</v>
      </c>
      <c r="G189" s="284"/>
      <c r="H189" s="147"/>
      <c r="I189" s="285">
        <v>0.734103700590089</v>
      </c>
      <c r="J189" s="288">
        <v>2.5561100270357524E-2</v>
      </c>
      <c r="K189" s="287">
        <v>0.81854800648861192</v>
      </c>
      <c r="L189" s="288">
        <v>0</v>
      </c>
      <c r="M189" s="286">
        <v>98.88157811261938</v>
      </c>
      <c r="N189" s="287">
        <v>1.118421887380618</v>
      </c>
      <c r="O189" s="288">
        <v>0</v>
      </c>
      <c r="P189" s="286">
        <v>0.75843664773563069</v>
      </c>
      <c r="Q189" s="286">
        <v>1.1235467414554128</v>
      </c>
      <c r="R189" s="287">
        <v>1.216418846138003</v>
      </c>
      <c r="S189" s="286">
        <v>0</v>
      </c>
      <c r="T189" s="286">
        <v>15.6221157315358</v>
      </c>
      <c r="U189" s="286">
        <v>21.478152098057258</v>
      </c>
      <c r="V189" s="287">
        <v>22.601316196928281</v>
      </c>
      <c r="W189" s="288">
        <v>0</v>
      </c>
      <c r="X189" s="286">
        <v>1.3449972467961597</v>
      </c>
      <c r="Y189" s="286">
        <v>255.79601941768081</v>
      </c>
      <c r="Z189" s="287">
        <v>0</v>
      </c>
      <c r="AA189" s="288"/>
      <c r="AB189" s="286"/>
      <c r="AC189" s="287"/>
      <c r="AD189" s="289">
        <v>0.18587474386303954</v>
      </c>
      <c r="AE189" s="290">
        <v>1.9381265640992296E-2</v>
      </c>
      <c r="AF189" s="289">
        <v>0.93887234585430623</v>
      </c>
      <c r="AG189" s="290">
        <v>1.2722822616840466</v>
      </c>
      <c r="AH189" s="284">
        <v>0.40208667062022302</v>
      </c>
      <c r="AI189" s="147">
        <v>0.54487464770752814</v>
      </c>
      <c r="AJ189" s="291">
        <v>8.7102480072473679E-3</v>
      </c>
      <c r="AK189" s="292">
        <v>236.04845965815738</v>
      </c>
    </row>
    <row r="190" spans="1:37">
      <c r="A190" s="281">
        <v>6.5326633165830386E-2</v>
      </c>
      <c r="B190" s="281">
        <v>1165.6884422110775</v>
      </c>
      <c r="C190" s="282">
        <v>4183.8994974874695</v>
      </c>
      <c r="D190" s="282">
        <v>125.98492462311715</v>
      </c>
      <c r="E190" s="282">
        <v>0</v>
      </c>
      <c r="F190" s="283">
        <v>0</v>
      </c>
      <c r="G190" s="284"/>
      <c r="H190" s="147"/>
      <c r="I190" s="285">
        <v>0.73168535452823702</v>
      </c>
      <c r="J190" s="288">
        <v>2.5479437092122817E-2</v>
      </c>
      <c r="K190" s="287">
        <v>0.81876978356642149</v>
      </c>
      <c r="L190" s="288">
        <v>0</v>
      </c>
      <c r="M190" s="286">
        <v>98.871711682712117</v>
      </c>
      <c r="N190" s="287">
        <v>1.1282883172878808</v>
      </c>
      <c r="O190" s="288">
        <v>0</v>
      </c>
      <c r="P190" s="286">
        <v>0.75828089215070782</v>
      </c>
      <c r="Q190" s="286">
        <v>1.1236311517577384</v>
      </c>
      <c r="R190" s="287">
        <v>1.2163812045438254</v>
      </c>
      <c r="S190" s="286">
        <v>0</v>
      </c>
      <c r="T190" s="286">
        <v>15.620691466983562</v>
      </c>
      <c r="U190" s="286">
        <v>21.480892709142427</v>
      </c>
      <c r="V190" s="287">
        <v>22.602545274297182</v>
      </c>
      <c r="W190" s="288">
        <v>0</v>
      </c>
      <c r="X190" s="286">
        <v>1.3406047666268648</v>
      </c>
      <c r="Y190" s="286">
        <v>256.72778979302933</v>
      </c>
      <c r="Z190" s="287">
        <v>0</v>
      </c>
      <c r="AA190" s="288"/>
      <c r="AB190" s="286"/>
      <c r="AC190" s="287"/>
      <c r="AD190" s="289">
        <v>0.18684185177168627</v>
      </c>
      <c r="AE190" s="290">
        <v>1.9340661248092972E-2</v>
      </c>
      <c r="AF190" s="289">
        <v>0.93907676491567549</v>
      </c>
      <c r="AG190" s="290">
        <v>1.2725198946758274</v>
      </c>
      <c r="AH190" s="284">
        <v>0.40217421625958516</v>
      </c>
      <c r="AI190" s="147">
        <v>0.544976417728678</v>
      </c>
      <c r="AJ190" s="291">
        <v>8.7292451596765602E-3</v>
      </c>
      <c r="AK190" s="292">
        <v>236.07961315292482</v>
      </c>
    </row>
    <row r="191" spans="1:37">
      <c r="A191" s="281">
        <v>6.0301507537689682E-2</v>
      </c>
      <c r="B191" s="281">
        <v>1076.0201005025347</v>
      </c>
      <c r="C191" s="282">
        <v>4151.5226130653591</v>
      </c>
      <c r="D191" s="282">
        <v>125.67839195980056</v>
      </c>
      <c r="E191" s="282">
        <v>0</v>
      </c>
      <c r="F191" s="283">
        <v>0</v>
      </c>
      <c r="G191" s="284"/>
      <c r="H191" s="147"/>
      <c r="I191" s="285">
        <v>0.72927449309744385</v>
      </c>
      <c r="J191" s="288">
        <v>2.5398009028631117E-2</v>
      </c>
      <c r="K191" s="287">
        <v>0.81899097767572016</v>
      </c>
      <c r="L191" s="288">
        <v>0</v>
      </c>
      <c r="M191" s="286">
        <v>98.861881251250054</v>
      </c>
      <c r="N191" s="287">
        <v>1.1381187487499429</v>
      </c>
      <c r="O191" s="288">
        <v>0</v>
      </c>
      <c r="P191" s="286">
        <v>0.75812479972142988</v>
      </c>
      <c r="Q191" s="286">
        <v>1.1237152010804163</v>
      </c>
      <c r="R191" s="287">
        <v>1.2163435499301467</v>
      </c>
      <c r="S191" s="286">
        <v>0</v>
      </c>
      <c r="T191" s="286">
        <v>15.619261000384222</v>
      </c>
      <c r="U191" s="286">
        <v>21.483626894697053</v>
      </c>
      <c r="V191" s="287">
        <v>22.603774407070844</v>
      </c>
      <c r="W191" s="288">
        <v>0</v>
      </c>
      <c r="X191" s="286">
        <v>1.3362241327839837</v>
      </c>
      <c r="Y191" s="286">
        <v>257.66462185871239</v>
      </c>
      <c r="Z191" s="287">
        <v>0</v>
      </c>
      <c r="AA191" s="288"/>
      <c r="AB191" s="286"/>
      <c r="AC191" s="287"/>
      <c r="AD191" s="289">
        <v>0.18778542943678558</v>
      </c>
      <c r="AE191" s="290">
        <v>1.9297634027014121E-2</v>
      </c>
      <c r="AF191" s="289">
        <v>0.93924772900671127</v>
      </c>
      <c r="AG191" s="290">
        <v>1.2727121642937305</v>
      </c>
      <c r="AH191" s="284">
        <v>0.40224743428806764</v>
      </c>
      <c r="AI191" s="147">
        <v>0.5450587601800938</v>
      </c>
      <c r="AJ191" s="291">
        <v>8.7488540590334556E-3</v>
      </c>
      <c r="AK191" s="292">
        <v>236.10446363531111</v>
      </c>
    </row>
    <row r="192" spans="1:37">
      <c r="A192" s="281">
        <v>5.5276381909548977E-2</v>
      </c>
      <c r="B192" s="281">
        <v>986.35175879399196</v>
      </c>
      <c r="C192" s="282">
        <v>4119.1457286432487</v>
      </c>
      <c r="D192" s="282">
        <v>125.37185929648398</v>
      </c>
      <c r="E192" s="282">
        <v>0</v>
      </c>
      <c r="F192" s="283">
        <v>0</v>
      </c>
      <c r="G192" s="284"/>
      <c r="H192" s="147"/>
      <c r="I192" s="285">
        <v>0.72687108211199536</v>
      </c>
      <c r="J192" s="288">
        <v>2.5316815098996442E-2</v>
      </c>
      <c r="K192" s="287">
        <v>0.81921158587754817</v>
      </c>
      <c r="L192" s="288">
        <v>0</v>
      </c>
      <c r="M192" s="286">
        <v>98.852086620292084</v>
      </c>
      <c r="N192" s="287">
        <v>1.1479133797079115</v>
      </c>
      <c r="O192" s="288">
        <v>0</v>
      </c>
      <c r="P192" s="286">
        <v>0.75796836756774078</v>
      </c>
      <c r="Q192" s="286">
        <v>1.1237988871423119</v>
      </c>
      <c r="R192" s="287">
        <v>1.2163058822605979</v>
      </c>
      <c r="S192" s="286">
        <v>0</v>
      </c>
      <c r="T192" s="286">
        <v>15.617824279563555</v>
      </c>
      <c r="U192" s="286">
        <v>21.486354607863085</v>
      </c>
      <c r="V192" s="287">
        <v>22.605003594938179</v>
      </c>
      <c r="W192" s="288">
        <v>0</v>
      </c>
      <c r="X192" s="286">
        <v>1.3318552713648801</v>
      </c>
      <c r="Y192" s="286">
        <v>258.60653737370455</v>
      </c>
      <c r="Z192" s="287">
        <v>0</v>
      </c>
      <c r="AA192" s="288"/>
      <c r="AB192" s="286"/>
      <c r="AC192" s="287"/>
      <c r="AD192" s="289">
        <v>0.18870548890086258</v>
      </c>
      <c r="AE192" s="290">
        <v>1.9252300901808961E-2</v>
      </c>
      <c r="AF192" s="289">
        <v>0.93938566373181276</v>
      </c>
      <c r="AG192" s="290">
        <v>1.2728596513927413</v>
      </c>
      <c r="AH192" s="284">
        <v>0.40230650697736764</v>
      </c>
      <c r="AI192" s="147">
        <v>0.54512192382194824</v>
      </c>
      <c r="AJ192" s="291">
        <v>8.7690740707854122E-3</v>
      </c>
      <c r="AK192" s="292">
        <v>236.12309403596976</v>
      </c>
    </row>
    <row r="193" spans="1:37">
      <c r="A193" s="281">
        <v>5.0251256281408273E-2</v>
      </c>
      <c r="B193" s="281">
        <v>896.68341708544926</v>
      </c>
      <c r="C193" s="282">
        <v>4086.7688442211384</v>
      </c>
      <c r="D193" s="282">
        <v>125.06532663316739</v>
      </c>
      <c r="E193" s="282">
        <v>0</v>
      </c>
      <c r="F193" s="283">
        <v>0</v>
      </c>
      <c r="G193" s="284"/>
      <c r="H193" s="147"/>
      <c r="I193" s="285">
        <v>0.72447508723084353</v>
      </c>
      <c r="J193" s="288">
        <v>2.5235854315496638E-2</v>
      </c>
      <c r="K193" s="287">
        <v>0.81943160519036484</v>
      </c>
      <c r="L193" s="288">
        <v>0</v>
      </c>
      <c r="M193" s="286">
        <v>98.842327591410537</v>
      </c>
      <c r="N193" s="287">
        <v>1.1576724085894621</v>
      </c>
      <c r="O193" s="288">
        <v>0</v>
      </c>
      <c r="P193" s="286">
        <v>0.75781159278396237</v>
      </c>
      <c r="Q193" s="286">
        <v>1.1238822076328285</v>
      </c>
      <c r="R193" s="287">
        <v>1.2162682014986843</v>
      </c>
      <c r="S193" s="286">
        <v>0</v>
      </c>
      <c r="T193" s="286">
        <v>15.616381251875676</v>
      </c>
      <c r="U193" s="286">
        <v>21.489075801195654</v>
      </c>
      <c r="V193" s="287">
        <v>22.606232837586443</v>
      </c>
      <c r="W193" s="288">
        <v>0</v>
      </c>
      <c r="X193" s="286">
        <v>1.3274981089186788</v>
      </c>
      <c r="Y193" s="286">
        <v>259.55355808379767</v>
      </c>
      <c r="Z193" s="287">
        <v>0</v>
      </c>
      <c r="AA193" s="288"/>
      <c r="AB193" s="286"/>
      <c r="AC193" s="287"/>
      <c r="AD193" s="289">
        <v>0.18960205562467466</v>
      </c>
      <c r="AE193" s="290">
        <v>1.920476967761775E-2</v>
      </c>
      <c r="AF193" s="289">
        <v>0.93949105234294772</v>
      </c>
      <c r="AG193" s="290">
        <v>1.2729630148686957</v>
      </c>
      <c r="AH193" s="284">
        <v>0.40235164128764916</v>
      </c>
      <c r="AI193" s="147">
        <v>0.54516619083662154</v>
      </c>
      <c r="AJ193" s="291">
        <v>8.7899001214150115E-3</v>
      </c>
      <c r="AK193" s="292">
        <v>236.13559763963354</v>
      </c>
    </row>
    <row r="194" spans="1:37">
      <c r="A194" s="281">
        <v>4.5226130653267575E-2</v>
      </c>
      <c r="B194" s="281">
        <v>807.01507537690657</v>
      </c>
      <c r="C194" s="282">
        <v>4054.391959799028</v>
      </c>
      <c r="D194" s="282">
        <v>124.7587939698508</v>
      </c>
      <c r="E194" s="282">
        <v>0</v>
      </c>
      <c r="F194" s="283">
        <v>0</v>
      </c>
      <c r="G194" s="284"/>
      <c r="H194" s="147"/>
      <c r="I194" s="285">
        <v>0.72208647395282188</v>
      </c>
      <c r="J194" s="288">
        <v>2.5155125683415512E-2</v>
      </c>
      <c r="K194" s="287">
        <v>0.8196510325891615</v>
      </c>
      <c r="L194" s="288">
        <v>0</v>
      </c>
      <c r="M194" s="286">
        <v>98.832603965667786</v>
      </c>
      <c r="N194" s="287">
        <v>1.1673960343322078</v>
      </c>
      <c r="O194" s="288">
        <v>0</v>
      </c>
      <c r="P194" s="286">
        <v>0.75765447243845896</v>
      </c>
      <c r="Q194" s="286">
        <v>1.1239651602113538</v>
      </c>
      <c r="R194" s="287">
        <v>1.2162305076077902</v>
      </c>
      <c r="S194" s="286">
        <v>0</v>
      </c>
      <c r="T194" s="286">
        <v>15.614931864197027</v>
      </c>
      <c r="U194" s="286">
        <v>21.491790426652727</v>
      </c>
      <c r="V194" s="287">
        <v>22.607462134701315</v>
      </c>
      <c r="W194" s="288">
        <v>0</v>
      </c>
      <c r="X194" s="286">
        <v>1.3231525724378856</v>
      </c>
      <c r="Y194" s="286">
        <v>260.50570571786977</v>
      </c>
      <c r="Z194" s="287">
        <v>0</v>
      </c>
      <c r="AA194" s="288"/>
      <c r="AB194" s="286"/>
      <c r="AC194" s="287"/>
      <c r="AD194" s="289">
        <v>0.19047516722586461</v>
      </c>
      <c r="AE194" s="290">
        <v>1.9155140374827573E-2</v>
      </c>
      <c r="AF194" s="289">
        <v>0.93956441917905442</v>
      </c>
      <c r="AG194" s="290">
        <v>1.273022969208051</v>
      </c>
      <c r="AH194" s="284">
        <v>0.40238306177520994</v>
      </c>
      <c r="AI194" s="147">
        <v>0.54519186721404078</v>
      </c>
      <c r="AJ194" s="291">
        <v>8.8113236203472591E-3</v>
      </c>
      <c r="AK194" s="292">
        <v>236.14207498558801</v>
      </c>
    </row>
    <row r="195" spans="1:37">
      <c r="A195" s="281">
        <v>4.0201005025126871E-2</v>
      </c>
      <c r="B195" s="281">
        <v>717.34673366836387</v>
      </c>
      <c r="C195" s="282">
        <v>4022.0150753769176</v>
      </c>
      <c r="D195" s="282">
        <v>124.45226130653421</v>
      </c>
      <c r="E195" s="282">
        <v>0</v>
      </c>
      <c r="F195" s="283">
        <v>0</v>
      </c>
      <c r="G195" s="284"/>
      <c r="H195" s="147"/>
      <c r="I195" s="285">
        <v>0.71970520761306178</v>
      </c>
      <c r="J195" s="288">
        <v>2.5074628200925049E-2</v>
      </c>
      <c r="K195" s="287">
        <v>0.81986986500500159</v>
      </c>
      <c r="L195" s="288">
        <v>0</v>
      </c>
      <c r="M195" s="286">
        <v>98.822915543598555</v>
      </c>
      <c r="N195" s="287">
        <v>1.1770844564014435</v>
      </c>
      <c r="O195" s="288">
        <v>0</v>
      </c>
      <c r="P195" s="286">
        <v>0.75749700357329863</v>
      </c>
      <c r="Q195" s="286">
        <v>1.1240477425069373</v>
      </c>
      <c r="R195" s="287">
        <v>1.2161928005511742</v>
      </c>
      <c r="S195" s="286">
        <v>0</v>
      </c>
      <c r="T195" s="286">
        <v>15.613476062920071</v>
      </c>
      <c r="U195" s="286">
        <v>21.49449843558844</v>
      </c>
      <c r="V195" s="287">
        <v>22.608691485966826</v>
      </c>
      <c r="W195" s="288">
        <v>0</v>
      </c>
      <c r="X195" s="286">
        <v>1.3188185893530868</v>
      </c>
      <c r="Y195" s="286">
        <v>261.46300198448023</v>
      </c>
      <c r="Z195" s="287">
        <v>0</v>
      </c>
      <c r="AA195" s="288"/>
      <c r="AB195" s="286"/>
      <c r="AC195" s="287"/>
      <c r="AD195" s="289">
        <v>0.19132487241891452</v>
      </c>
      <c r="AE195" s="290">
        <v>1.9103506334148368E-2</v>
      </c>
      <c r="AF195" s="289">
        <v>0.93960631798597416</v>
      </c>
      <c r="AG195" s="290">
        <v>1.2730402686542748</v>
      </c>
      <c r="AH195" s="284">
        <v>0.40240100559031078</v>
      </c>
      <c r="AI195" s="147">
        <v>0.54519927597069062</v>
      </c>
      <c r="AJ195" s="291">
        <v>8.8333331215924224E-3</v>
      </c>
      <c r="AK195" s="292">
        <v>236.14263169034425</v>
      </c>
    </row>
    <row r="196" spans="1:37">
      <c r="A196" s="281">
        <v>3.5175879396986166E-2</v>
      </c>
      <c r="B196" s="281">
        <v>627.67839195982117</v>
      </c>
      <c r="C196" s="282">
        <v>3989.6381909548072</v>
      </c>
      <c r="D196" s="282">
        <v>124.14572864321762</v>
      </c>
      <c r="E196" s="282">
        <v>0</v>
      </c>
      <c r="F196" s="283">
        <v>0</v>
      </c>
      <c r="G196" s="284"/>
      <c r="H196" s="147"/>
      <c r="I196" s="285">
        <v>0.717331253256978</v>
      </c>
      <c r="J196" s="288">
        <v>2.4994360854841701E-2</v>
      </c>
      <c r="K196" s="287">
        <v>0.82008809929789195</v>
      </c>
      <c r="L196" s="288">
        <v>0</v>
      </c>
      <c r="M196" s="286">
        <v>98.813262124639536</v>
      </c>
      <c r="N196" s="287">
        <v>1.1867378753604703</v>
      </c>
      <c r="O196" s="288">
        <v>0</v>
      </c>
      <c r="P196" s="286">
        <v>0.75733918320307303</v>
      </c>
      <c r="Q196" s="286">
        <v>1.1241299521040184</v>
      </c>
      <c r="R196" s="287">
        <v>1.2161550802919632</v>
      </c>
      <c r="S196" s="286">
        <v>0</v>
      </c>
      <c r="T196" s="286">
        <v>15.612013793932704</v>
      </c>
      <c r="U196" s="286">
        <v>21.497199778512787</v>
      </c>
      <c r="V196" s="287">
        <v>22.609920891065315</v>
      </c>
      <c r="W196" s="288">
        <v>0</v>
      </c>
      <c r="X196" s="286">
        <v>1.3144960872205946</v>
      </c>
      <c r="Y196" s="286">
        <v>262.42546853905293</v>
      </c>
      <c r="Z196" s="287">
        <v>0</v>
      </c>
      <c r="AA196" s="288"/>
      <c r="AB196" s="286"/>
      <c r="AC196" s="287"/>
      <c r="AD196" s="289">
        <v>0.19215123013138169</v>
      </c>
      <c r="AE196" s="290">
        <v>1.9049955251035255E-2</v>
      </c>
      <c r="AF196" s="289">
        <v>0.93961732406264376</v>
      </c>
      <c r="AG196" s="290">
        <v>1.2730156965610697</v>
      </c>
      <c r="AH196" s="284">
        <v>0.40240571911366058</v>
      </c>
      <c r="AI196" s="147">
        <v>0.54518875258996624</v>
      </c>
      <c r="AJ196" s="291">
        <v>8.8559147787825501E-3</v>
      </c>
      <c r="AK196" s="292">
        <v>236.13737699245698</v>
      </c>
    </row>
    <row r="197" spans="1:37">
      <c r="A197" s="281">
        <v>3.0150753768845465E-2</v>
      </c>
      <c r="B197" s="281">
        <v>538.01005025127847</v>
      </c>
      <c r="C197" s="282">
        <v>3957.2613065326968</v>
      </c>
      <c r="D197" s="282">
        <v>123.83919597990104</v>
      </c>
      <c r="E197" s="282">
        <v>0</v>
      </c>
      <c r="F197" s="283">
        <v>0</v>
      </c>
      <c r="G197" s="284"/>
      <c r="H197" s="147"/>
      <c r="I197" s="285">
        <v>0.71496457621025844</v>
      </c>
      <c r="J197" s="288">
        <v>2.4914322639838633E-2</v>
      </c>
      <c r="K197" s="287">
        <v>0.82030573238087667</v>
      </c>
      <c r="L197" s="288">
        <v>0</v>
      </c>
      <c r="M197" s="286">
        <v>98.80364350969991</v>
      </c>
      <c r="N197" s="287">
        <v>1.1963564903000858</v>
      </c>
      <c r="O197" s="288">
        <v>0</v>
      </c>
      <c r="P197" s="286">
        <v>0.75718100831845891</v>
      </c>
      <c r="Q197" s="286">
        <v>1.1242117866073269</v>
      </c>
      <c r="R197" s="287">
        <v>1.2161173467931568</v>
      </c>
      <c r="S197" s="286">
        <v>0</v>
      </c>
      <c r="T197" s="286">
        <v>15.61054500267894</v>
      </c>
      <c r="U197" s="286">
        <v>21.499894406177237</v>
      </c>
      <c r="V197" s="287">
        <v>22.611150349677438</v>
      </c>
      <c r="W197" s="288">
        <v>0</v>
      </c>
      <c r="X197" s="286">
        <v>1.3101849951563203</v>
      </c>
      <c r="Y197" s="286">
        <v>263.39312711760471</v>
      </c>
      <c r="Z197" s="287">
        <v>0</v>
      </c>
      <c r="AA197" s="288"/>
      <c r="AB197" s="286"/>
      <c r="AC197" s="287"/>
      <c r="AD197" s="289">
        <v>0.19295430868957941</v>
      </c>
      <c r="AE197" s="290">
        <v>1.8994569440257902E-2</v>
      </c>
      <c r="AF197" s="289">
        <v>0.93959802952652616</v>
      </c>
      <c r="AG197" s="290">
        <v>1.2729500589734712</v>
      </c>
      <c r="AH197" s="284">
        <v>0.40239745592876341</v>
      </c>
      <c r="AI197" s="147">
        <v>0.54516064227317873</v>
      </c>
      <c r="AJ197" s="291">
        <v>8.8790526333708021E-3</v>
      </c>
      <c r="AK197" s="292">
        <v>236.12642288536716</v>
      </c>
    </row>
    <row r="198" spans="1:37">
      <c r="A198" s="281">
        <v>2.5125628140704761E-2</v>
      </c>
      <c r="B198" s="281">
        <v>448.34170854273577</v>
      </c>
      <c r="C198" s="282">
        <v>3924.8844221105865</v>
      </c>
      <c r="D198" s="282">
        <v>123.53266331658445</v>
      </c>
      <c r="E198" s="282">
        <v>0</v>
      </c>
      <c r="F198" s="283">
        <v>0</v>
      </c>
      <c r="G198" s="284"/>
      <c r="H198" s="147"/>
      <c r="I198" s="285">
        <v>0.71260514101733008</v>
      </c>
      <c r="J198" s="288">
        <v>2.4834512522673644E-2</v>
      </c>
      <c r="K198" s="287">
        <v>0.82052276098969168</v>
      </c>
      <c r="L198" s="288">
        <v>0</v>
      </c>
      <c r="M198" s="286">
        <v>98.794059496369584</v>
      </c>
      <c r="N198" s="287">
        <v>1.2059405036304234</v>
      </c>
      <c r="O198" s="288">
        <v>0</v>
      </c>
      <c r="P198" s="286">
        <v>0.75702247587865645</v>
      </c>
      <c r="Q198" s="286">
        <v>1.1242932435211481</v>
      </c>
      <c r="R198" s="287">
        <v>1.2160796000176284</v>
      </c>
      <c r="S198" s="286">
        <v>0</v>
      </c>
      <c r="T198" s="286">
        <v>15.609069634028707</v>
      </c>
      <c r="U198" s="286">
        <v>21.502582267551858</v>
      </c>
      <c r="V198" s="287">
        <v>22.612379861482228</v>
      </c>
      <c r="W198" s="288">
        <v>0</v>
      </c>
      <c r="X198" s="286">
        <v>1.3058852411768789</v>
      </c>
      <c r="Y198" s="286">
        <v>264.36599927984935</v>
      </c>
      <c r="Z198" s="287">
        <v>0</v>
      </c>
      <c r="AA198" s="288"/>
      <c r="AB198" s="286"/>
      <c r="AC198" s="287"/>
      <c r="AD198" s="289">
        <v>0.19373418526055261</v>
      </c>
      <c r="AE198" s="290">
        <v>1.8937427497679571E-2</v>
      </c>
      <c r="AF198" s="289">
        <v>0.93954904129591277</v>
      </c>
      <c r="AG198" s="290">
        <v>1.2728441818907958</v>
      </c>
      <c r="AH198" s="284">
        <v>0.4023764759578079</v>
      </c>
      <c r="AI198" s="147">
        <v>0.54511529876736997</v>
      </c>
      <c r="AJ198" s="291">
        <v>8.9027287437529069E-3</v>
      </c>
      <c r="AK198" s="292">
        <v>236.10988376189502</v>
      </c>
    </row>
    <row r="199" spans="1:37">
      <c r="A199" s="281">
        <v>2.010050251256406E-2</v>
      </c>
      <c r="B199" s="281">
        <v>358.67336683419308</v>
      </c>
      <c r="C199" s="282">
        <v>3892.5075376884761</v>
      </c>
      <c r="D199" s="282">
        <v>123.22613065326786</v>
      </c>
      <c r="E199" s="282">
        <v>0</v>
      </c>
      <c r="F199" s="283">
        <v>0</v>
      </c>
      <c r="G199" s="284"/>
      <c r="H199" s="147"/>
      <c r="I199" s="285">
        <v>0.71025232042817443</v>
      </c>
      <c r="J199" s="288">
        <v>2.4754909355776806E-2</v>
      </c>
      <c r="K199" s="287">
        <v>0.82073947460363927</v>
      </c>
      <c r="L199" s="288">
        <v>0</v>
      </c>
      <c r="M199" s="286">
        <v>98.784507833418189</v>
      </c>
      <c r="N199" s="287">
        <v>1.2154921665818141</v>
      </c>
      <c r="O199" s="288">
        <v>0</v>
      </c>
      <c r="P199" s="286">
        <v>0.75686357585486153</v>
      </c>
      <c r="Q199" s="286">
        <v>1.1243745003709691</v>
      </c>
      <c r="R199" s="287">
        <v>1.2160418399281196</v>
      </c>
      <c r="S199" s="286">
        <v>0</v>
      </c>
      <c r="T199" s="286">
        <v>15.607587508934527</v>
      </c>
      <c r="U199" s="286">
        <v>21.505266124535016</v>
      </c>
      <c r="V199" s="287">
        <v>22.613609426156973</v>
      </c>
      <c r="W199" s="288">
        <v>0</v>
      </c>
      <c r="X199" s="286">
        <v>1.3015949850547541</v>
      </c>
      <c r="Y199" s="286">
        <v>265.34450446364013</v>
      </c>
      <c r="Z199" s="287">
        <v>0</v>
      </c>
      <c r="AA199" s="288"/>
      <c r="AB199" s="286"/>
      <c r="AC199" s="287"/>
      <c r="AD199" s="289">
        <v>0.19449100909973557</v>
      </c>
      <c r="AE199" s="290">
        <v>1.8879128564934122E-2</v>
      </c>
      <c r="AF199" s="289">
        <v>0.93947095792569146</v>
      </c>
      <c r="AG199" s="290">
        <v>1.272698879882904</v>
      </c>
      <c r="AH199" s="284">
        <v>0.40234303554122547</v>
      </c>
      <c r="AI199" s="147">
        <v>0.54505307092473965</v>
      </c>
      <c r="AJ199" s="291">
        <v>8.9269206252176325E-3</v>
      </c>
      <c r="AK199" s="292">
        <v>236.08787208338268</v>
      </c>
    </row>
    <row r="200" spans="1:37">
      <c r="A200" s="281">
        <v>1.5075376884423357E-2</v>
      </c>
      <c r="B200" s="281">
        <v>269.00502512565038</v>
      </c>
      <c r="C200" s="282">
        <v>3860.1306532663657</v>
      </c>
      <c r="D200" s="282">
        <v>122.91959798995127</v>
      </c>
      <c r="E200" s="282">
        <v>0</v>
      </c>
      <c r="F200" s="283">
        <v>0</v>
      </c>
      <c r="G200" s="284"/>
      <c r="H200" s="147"/>
      <c r="I200" s="285">
        <v>0.70790727682392873</v>
      </c>
      <c r="J200" s="288">
        <v>2.4675552809024857E-2</v>
      </c>
      <c r="K200" s="287">
        <v>0.82095527462218554</v>
      </c>
      <c r="L200" s="288">
        <v>0</v>
      </c>
      <c r="M200" s="286">
        <v>98.774992465922821</v>
      </c>
      <c r="N200" s="287">
        <v>1.2250075340771807</v>
      </c>
      <c r="O200" s="288">
        <v>0</v>
      </c>
      <c r="P200" s="286">
        <v>0.75670431923849968</v>
      </c>
      <c r="Q200" s="286">
        <v>1.1244551885905791</v>
      </c>
      <c r="R200" s="287">
        <v>1.2160040664872616</v>
      </c>
      <c r="S200" s="286">
        <v>0</v>
      </c>
      <c r="T200" s="286">
        <v>15.606098821004325</v>
      </c>
      <c r="U200" s="286">
        <v>21.507940206138958</v>
      </c>
      <c r="V200" s="287">
        <v>22.614839043377472</v>
      </c>
      <c r="W200" s="288">
        <v>0</v>
      </c>
      <c r="X200" s="286">
        <v>1.297317734164835</v>
      </c>
      <c r="Y200" s="286">
        <v>266.3278571791385</v>
      </c>
      <c r="Z200" s="287">
        <v>0</v>
      </c>
      <c r="AA200" s="288"/>
      <c r="AB200" s="286"/>
      <c r="AC200" s="287"/>
      <c r="AD200" s="289">
        <v>0.19522479914665097</v>
      </c>
      <c r="AE200" s="290">
        <v>1.8818623466272388E-2</v>
      </c>
      <c r="AF200" s="289">
        <v>0.93936459703852548</v>
      </c>
      <c r="AG200" s="290">
        <v>1.2725152641827833</v>
      </c>
      <c r="AH200" s="284">
        <v>0.4022974848386261</v>
      </c>
      <c r="AI200" s="147">
        <v>0.54497443464808171</v>
      </c>
      <c r="AJ200" s="291">
        <v>8.9516062164565237E-3</v>
      </c>
      <c r="AK200" s="292">
        <v>236.06054116545505</v>
      </c>
    </row>
    <row r="201" spans="1:37">
      <c r="A201" s="281">
        <v>1.0050251256282654E-2</v>
      </c>
      <c r="B201" s="281">
        <v>179.33668341710768</v>
      </c>
      <c r="C201" s="282">
        <v>3827.7537688442553</v>
      </c>
      <c r="D201" s="282">
        <v>122.61306532663468</v>
      </c>
      <c r="E201" s="282">
        <v>0</v>
      </c>
      <c r="F201" s="283">
        <v>0</v>
      </c>
      <c r="G201" s="284"/>
      <c r="H201" s="147"/>
      <c r="I201" s="285">
        <v>0.70556936699000161</v>
      </c>
      <c r="J201" s="288">
        <v>2.459642119277243E-2</v>
      </c>
      <c r="K201" s="287">
        <v>0.82117046117758608</v>
      </c>
      <c r="L201" s="288">
        <v>0</v>
      </c>
      <c r="M201" s="286">
        <v>98.76551108783562</v>
      </c>
      <c r="N201" s="287">
        <v>1.2344889121643901</v>
      </c>
      <c r="O201" s="288">
        <v>0</v>
      </c>
      <c r="P201" s="286">
        <v>0.75654469576533312</v>
      </c>
      <c r="Q201" s="286">
        <v>1.1245354921862487</v>
      </c>
      <c r="R201" s="287">
        <v>1.2159662796575215</v>
      </c>
      <c r="S201" s="286">
        <v>0</v>
      </c>
      <c r="T201" s="286">
        <v>15.60460338699526</v>
      </c>
      <c r="U201" s="286">
        <v>21.510607374691208</v>
      </c>
      <c r="V201" s="287">
        <v>22.616068712817505</v>
      </c>
      <c r="W201" s="288">
        <v>0</v>
      </c>
      <c r="X201" s="286">
        <v>1.2930516057245913</v>
      </c>
      <c r="Y201" s="286">
        <v>267.31648923973864</v>
      </c>
      <c r="Z201" s="287">
        <v>0</v>
      </c>
      <c r="AA201" s="288"/>
      <c r="AB201" s="286"/>
      <c r="AC201" s="287"/>
      <c r="AD201" s="289">
        <v>0.19593565719227046</v>
      </c>
      <c r="AE201" s="290">
        <v>1.875658701390559E-2</v>
      </c>
      <c r="AF201" s="289">
        <v>0.93923043265588635</v>
      </c>
      <c r="AG201" s="290">
        <v>1.2722939804414579</v>
      </c>
      <c r="AH201" s="284">
        <v>0.40224002685707044</v>
      </c>
      <c r="AI201" s="147">
        <v>0.54487966644747943</v>
      </c>
      <c r="AJ201" s="291">
        <v>8.9767652949244003E-3</v>
      </c>
      <c r="AK201" s="292">
        <v>236.02797941371526</v>
      </c>
    </row>
    <row r="202" spans="1:37">
      <c r="A202" s="281">
        <v>5.0251256281419509E-3</v>
      </c>
      <c r="B202" s="281">
        <v>89.668341708564967</v>
      </c>
      <c r="C202" s="282">
        <v>3795.3768844221449</v>
      </c>
      <c r="D202" s="282">
        <v>122.30653266331809</v>
      </c>
      <c r="E202" s="282">
        <v>0</v>
      </c>
      <c r="F202" s="283">
        <v>0</v>
      </c>
      <c r="G202" s="284"/>
      <c r="H202" s="147"/>
      <c r="I202" s="285">
        <v>0.70323855632110854</v>
      </c>
      <c r="J202" s="288">
        <v>2.4517513496473263E-2</v>
      </c>
      <c r="K202" s="287">
        <v>0.82138503024333609</v>
      </c>
      <c r="L202" s="288">
        <v>0</v>
      </c>
      <c r="M202" s="286">
        <v>98.756063500045954</v>
      </c>
      <c r="N202" s="287">
        <v>1.2439364999540443</v>
      </c>
      <c r="O202" s="288">
        <v>0</v>
      </c>
      <c r="P202" s="286">
        <v>0.75638470229890431</v>
      </c>
      <c r="Q202" s="286">
        <v>1.1246154081744328</v>
      </c>
      <c r="R202" s="287">
        <v>1.2159284794012657</v>
      </c>
      <c r="S202" s="286">
        <v>0</v>
      </c>
      <c r="T202" s="286">
        <v>15.603101150004491</v>
      </c>
      <c r="U202" s="286">
        <v>21.513267571017344</v>
      </c>
      <c r="V202" s="287">
        <v>22.617298434149415</v>
      </c>
      <c r="W202" s="288">
        <v>0</v>
      </c>
      <c r="X202" s="286">
        <v>1.2887965339847156</v>
      </c>
      <c r="Y202" s="286">
        <v>268.31042125015819</v>
      </c>
      <c r="Z202" s="287">
        <v>0</v>
      </c>
      <c r="AA202" s="288"/>
      <c r="AB202" s="286"/>
      <c r="AC202" s="287"/>
      <c r="AD202" s="289">
        <v>0.19662343276403418</v>
      </c>
      <c r="AE202" s="290">
        <v>1.8693082915001491E-2</v>
      </c>
      <c r="AF202" s="289">
        <v>0.93906907635212744</v>
      </c>
      <c r="AG202" s="290">
        <v>1.2720358605577211</v>
      </c>
      <c r="AH202" s="284">
        <v>0.40217092351277828</v>
      </c>
      <c r="AI202" s="147">
        <v>0.54476912259651722</v>
      </c>
      <c r="AJ202" s="291">
        <v>9.0023635007983067E-3</v>
      </c>
      <c r="AK202" s="292">
        <v>235.99030080826324</v>
      </c>
    </row>
    <row r="203" spans="1:37">
      <c r="A203" s="293">
        <v>1.2471530197268739E-15</v>
      </c>
      <c r="B203" s="281">
        <v>2.2254198484006338E-11</v>
      </c>
      <c r="C203" s="282">
        <v>3763.0000000000346</v>
      </c>
      <c r="D203" s="282">
        <v>122.00000000000151</v>
      </c>
      <c r="E203" s="282">
        <v>0</v>
      </c>
      <c r="F203" s="283">
        <v>0</v>
      </c>
      <c r="G203" s="284"/>
      <c r="H203" s="147"/>
      <c r="I203" s="285">
        <v>0.70091480868244227</v>
      </c>
      <c r="J203" s="288">
        <v>2.4438828656092496E-2</v>
      </c>
      <c r="K203" s="287">
        <v>0.82159897836806295</v>
      </c>
      <c r="L203" s="288">
        <v>0</v>
      </c>
      <c r="M203" s="286">
        <v>98.746649498086114</v>
      </c>
      <c r="N203" s="287">
        <v>1.2533505019138769</v>
      </c>
      <c r="O203" s="288">
        <v>0</v>
      </c>
      <c r="P203" s="286">
        <v>0.75622433565787939</v>
      </c>
      <c r="Q203" s="286">
        <v>1.1246949339219525</v>
      </c>
      <c r="R203" s="287">
        <v>1.2158906656807174</v>
      </c>
      <c r="S203" s="286">
        <v>0</v>
      </c>
      <c r="T203" s="286">
        <v>15.601592052314345</v>
      </c>
      <c r="U203" s="286">
        <v>21.515920741273064</v>
      </c>
      <c r="V203" s="287">
        <v>22.61852820704371</v>
      </c>
      <c r="W203" s="288">
        <v>0</v>
      </c>
      <c r="X203" s="286">
        <v>1.2845524496218665</v>
      </c>
      <c r="Y203" s="286">
        <v>269.30967461189255</v>
      </c>
      <c r="Z203" s="287">
        <v>0</v>
      </c>
      <c r="AA203" s="288"/>
      <c r="AB203" s="286"/>
      <c r="AC203" s="287"/>
      <c r="AD203" s="289">
        <v>0.19662343276403418</v>
      </c>
      <c r="AE203" s="290">
        <v>1.8626668347034081E-2</v>
      </c>
      <c r="AF203" s="289">
        <v>0.9385964518066735</v>
      </c>
      <c r="AG203" s="290">
        <v>1.2713561183185242</v>
      </c>
      <c r="AH203" s="284">
        <v>0.40196851470739159</v>
      </c>
      <c r="AI203" s="147">
        <v>0.54447801242052207</v>
      </c>
      <c r="AJ203" s="291">
        <v>9.0143017074152901E-3</v>
      </c>
      <c r="AK203" s="292">
        <v>235.8940725069188</v>
      </c>
    </row>
    <row r="204" spans="1:37">
      <c r="A204" s="281"/>
      <c r="B204" s="281"/>
      <c r="C204" s="282"/>
      <c r="D204" s="282"/>
      <c r="E204" s="282"/>
      <c r="F204" s="283"/>
      <c r="G204" s="284"/>
      <c r="H204" s="147"/>
      <c r="I204" s="285"/>
      <c r="J204" s="288"/>
      <c r="K204" s="287"/>
      <c r="L204" s="288"/>
      <c r="M204" s="286"/>
      <c r="N204" s="287"/>
      <c r="O204" s="288"/>
      <c r="P204" s="286"/>
      <c r="Q204" s="286"/>
      <c r="R204" s="287"/>
      <c r="S204" s="286"/>
      <c r="T204" s="286"/>
      <c r="U204" s="286"/>
      <c r="V204" s="287"/>
      <c r="W204" s="288"/>
      <c r="X204" s="286"/>
      <c r="Y204" s="286"/>
      <c r="Z204" s="287"/>
      <c r="AA204" s="288"/>
      <c r="AB204" s="286"/>
      <c r="AC204" s="294"/>
      <c r="AD204" s="289"/>
      <c r="AE204" s="290"/>
      <c r="AF204" s="289"/>
      <c r="AG204" s="290"/>
      <c r="AH204" s="284"/>
      <c r="AI204" s="147"/>
      <c r="AJ204" s="291"/>
      <c r="AK204" s="292"/>
    </row>
    <row r="205" spans="1:37">
      <c r="A205" s="281"/>
      <c r="B205" s="281"/>
      <c r="C205" s="282"/>
      <c r="D205" s="282"/>
      <c r="E205" s="282"/>
      <c r="F205" s="283"/>
      <c r="G205" s="284"/>
      <c r="H205" s="147"/>
      <c r="I205" s="285"/>
      <c r="J205" s="288"/>
      <c r="K205" s="287"/>
      <c r="L205" s="288"/>
      <c r="M205" s="286"/>
      <c r="N205" s="287"/>
      <c r="O205" s="288"/>
      <c r="P205" s="286"/>
      <c r="Q205" s="286"/>
      <c r="R205" s="287"/>
      <c r="S205" s="286"/>
      <c r="T205" s="286"/>
      <c r="U205" s="286"/>
      <c r="V205" s="287"/>
      <c r="W205" s="288"/>
      <c r="X205" s="286"/>
      <c r="Y205" s="286"/>
      <c r="Z205" s="287"/>
      <c r="AA205" s="288"/>
      <c r="AB205" s="286"/>
      <c r="AC205" s="294"/>
      <c r="AD205" s="289"/>
      <c r="AE205" s="290"/>
      <c r="AF205" s="289"/>
      <c r="AG205" s="290"/>
      <c r="AH205" s="284"/>
      <c r="AI205" s="147"/>
      <c r="AJ205" s="291"/>
      <c r="AK205" s="292"/>
    </row>
    <row r="206" spans="1:37">
      <c r="A206" s="281"/>
      <c r="B206" s="281"/>
      <c r="C206" s="282"/>
      <c r="D206" s="282"/>
      <c r="E206" s="282"/>
      <c r="F206" s="283"/>
      <c r="G206" s="284"/>
      <c r="H206" s="147"/>
      <c r="I206" s="285"/>
      <c r="J206" s="288"/>
      <c r="K206" s="287"/>
      <c r="L206" s="288"/>
      <c r="M206" s="286"/>
      <c r="N206" s="287"/>
      <c r="O206" s="288"/>
      <c r="P206" s="286"/>
      <c r="Q206" s="286"/>
      <c r="R206" s="287"/>
      <c r="S206" s="286"/>
      <c r="T206" s="286"/>
      <c r="U206" s="286"/>
      <c r="V206" s="287"/>
      <c r="W206" s="288"/>
      <c r="X206" s="286"/>
      <c r="Y206" s="286"/>
      <c r="Z206" s="287"/>
      <c r="AA206" s="288"/>
      <c r="AB206" s="286"/>
      <c r="AC206" s="294"/>
      <c r="AD206" s="289"/>
      <c r="AE206" s="290"/>
      <c r="AF206" s="289"/>
      <c r="AG206" s="290"/>
      <c r="AH206" s="284"/>
      <c r="AI206" s="147"/>
      <c r="AJ206" s="291"/>
      <c r="AK206" s="292"/>
    </row>
    <row r="207" spans="1:37">
      <c r="A207" s="281"/>
      <c r="B207" s="281"/>
      <c r="C207" s="282"/>
      <c r="D207" s="282"/>
      <c r="E207" s="282"/>
      <c r="F207" s="283"/>
      <c r="G207" s="284"/>
      <c r="H207" s="147"/>
      <c r="I207" s="285"/>
      <c r="J207" s="288"/>
      <c r="K207" s="287"/>
      <c r="L207" s="288"/>
      <c r="M207" s="286"/>
      <c r="N207" s="287"/>
      <c r="O207" s="288"/>
      <c r="P207" s="286"/>
      <c r="Q207" s="286"/>
      <c r="R207" s="287"/>
      <c r="S207" s="286"/>
      <c r="T207" s="286"/>
      <c r="U207" s="286"/>
      <c r="V207" s="287"/>
      <c r="W207" s="288"/>
      <c r="X207" s="286"/>
      <c r="Y207" s="286"/>
      <c r="Z207" s="287"/>
      <c r="AA207" s="288"/>
      <c r="AB207" s="286"/>
      <c r="AC207" s="294"/>
      <c r="AD207" s="289"/>
      <c r="AE207" s="290"/>
      <c r="AF207" s="289"/>
      <c r="AG207" s="290"/>
      <c r="AH207" s="284"/>
      <c r="AI207" s="147"/>
      <c r="AJ207" s="291"/>
      <c r="AK207" s="292"/>
    </row>
    <row r="208" spans="1:37">
      <c r="A208" s="281"/>
      <c r="B208" s="281"/>
      <c r="C208" s="282"/>
      <c r="D208" s="282"/>
      <c r="E208" s="282"/>
      <c r="F208" s="283"/>
      <c r="G208" s="284"/>
      <c r="H208" s="147"/>
      <c r="I208" s="285"/>
      <c r="J208" s="288"/>
      <c r="K208" s="287"/>
      <c r="L208" s="288"/>
      <c r="M208" s="286"/>
      <c r="N208" s="287"/>
      <c r="O208" s="288"/>
      <c r="P208" s="286"/>
      <c r="Q208" s="286"/>
      <c r="R208" s="287"/>
      <c r="S208" s="286"/>
      <c r="T208" s="286"/>
      <c r="U208" s="286"/>
      <c r="V208" s="287"/>
      <c r="W208" s="288"/>
      <c r="X208" s="286"/>
      <c r="Y208" s="286"/>
      <c r="Z208" s="287"/>
      <c r="AA208" s="288"/>
      <c r="AB208" s="286"/>
      <c r="AC208" s="294"/>
      <c r="AD208" s="289"/>
      <c r="AE208" s="290"/>
      <c r="AF208" s="289"/>
      <c r="AG208" s="290"/>
      <c r="AH208" s="284"/>
      <c r="AI208" s="147"/>
      <c r="AJ208" s="291"/>
      <c r="AK208" s="292"/>
    </row>
    <row r="209" spans="1:37">
      <c r="A209" s="281"/>
      <c r="B209" s="281"/>
      <c r="C209" s="282"/>
      <c r="D209" s="282"/>
      <c r="E209" s="282"/>
      <c r="F209" s="283"/>
      <c r="G209" s="284"/>
      <c r="H209" s="147"/>
      <c r="I209" s="285"/>
      <c r="J209" s="288"/>
      <c r="K209" s="287"/>
      <c r="L209" s="288"/>
      <c r="M209" s="286"/>
      <c r="N209" s="287"/>
      <c r="O209" s="288"/>
      <c r="P209" s="286"/>
      <c r="Q209" s="286"/>
      <c r="R209" s="287"/>
      <c r="S209" s="286"/>
      <c r="T209" s="286"/>
      <c r="U209" s="286"/>
      <c r="V209" s="287"/>
      <c r="W209" s="288"/>
      <c r="X209" s="286"/>
      <c r="Y209" s="286"/>
      <c r="Z209" s="287"/>
      <c r="AA209" s="288"/>
      <c r="AB209" s="286"/>
      <c r="AC209" s="294"/>
      <c r="AD209" s="289"/>
      <c r="AE209" s="290"/>
      <c r="AF209" s="289"/>
      <c r="AG209" s="290"/>
      <c r="AH209" s="284"/>
      <c r="AI209" s="147"/>
      <c r="AJ209" s="291"/>
      <c r="AK209" s="292"/>
    </row>
    <row r="210" spans="1:37">
      <c r="A210" s="281"/>
      <c r="B210" s="281"/>
      <c r="C210" s="282"/>
      <c r="D210" s="282"/>
      <c r="E210" s="282"/>
      <c r="F210" s="283"/>
      <c r="G210" s="284"/>
      <c r="H210" s="147"/>
      <c r="I210" s="285"/>
      <c r="J210" s="288"/>
      <c r="K210" s="287"/>
      <c r="L210" s="288"/>
      <c r="M210" s="286"/>
      <c r="N210" s="287"/>
      <c r="O210" s="288"/>
      <c r="P210" s="286"/>
      <c r="Q210" s="286"/>
      <c r="R210" s="287"/>
      <c r="S210" s="286"/>
      <c r="T210" s="286"/>
      <c r="U210" s="286"/>
      <c r="V210" s="287"/>
      <c r="W210" s="288"/>
      <c r="X210" s="286"/>
      <c r="Y210" s="286"/>
      <c r="Z210" s="287"/>
      <c r="AA210" s="288"/>
      <c r="AB210" s="286"/>
      <c r="AC210" s="294"/>
      <c r="AD210" s="289"/>
      <c r="AE210" s="290"/>
      <c r="AF210" s="289"/>
      <c r="AG210" s="290"/>
      <c r="AH210" s="284"/>
      <c r="AI210" s="147"/>
      <c r="AJ210" s="291"/>
      <c r="AK210" s="292"/>
    </row>
    <row r="211" spans="1:37">
      <c r="A211" s="281"/>
      <c r="B211" s="281"/>
      <c r="C211" s="282"/>
      <c r="D211" s="282"/>
      <c r="E211" s="282"/>
      <c r="F211" s="283"/>
      <c r="G211" s="284"/>
      <c r="H211" s="147"/>
      <c r="I211" s="285"/>
      <c r="J211" s="288"/>
      <c r="K211" s="287"/>
      <c r="L211" s="288"/>
      <c r="M211" s="286"/>
      <c r="N211" s="287"/>
      <c r="O211" s="288"/>
      <c r="P211" s="286"/>
      <c r="Q211" s="286"/>
      <c r="R211" s="287"/>
      <c r="S211" s="286"/>
      <c r="T211" s="286"/>
      <c r="U211" s="286"/>
      <c r="V211" s="287"/>
      <c r="W211" s="288"/>
      <c r="X211" s="286"/>
      <c r="Y211" s="286"/>
      <c r="Z211" s="287"/>
      <c r="AA211" s="288"/>
      <c r="AB211" s="286"/>
      <c r="AC211" s="294"/>
      <c r="AD211" s="289"/>
      <c r="AE211" s="290"/>
      <c r="AF211" s="289"/>
      <c r="AG211" s="290"/>
      <c r="AH211" s="284"/>
      <c r="AI211" s="147"/>
      <c r="AJ211" s="291"/>
      <c r="AK211" s="292"/>
    </row>
    <row r="212" spans="1:37">
      <c r="A212" s="281"/>
      <c r="B212" s="281"/>
      <c r="C212" s="282"/>
      <c r="D212" s="282"/>
      <c r="E212" s="282"/>
      <c r="F212" s="283"/>
      <c r="G212" s="284"/>
      <c r="H212" s="147"/>
      <c r="I212" s="285"/>
      <c r="J212" s="288"/>
      <c r="K212" s="287"/>
      <c r="L212" s="288"/>
      <c r="M212" s="286"/>
      <c r="N212" s="287"/>
      <c r="O212" s="288"/>
      <c r="P212" s="286"/>
      <c r="Q212" s="286"/>
      <c r="R212" s="287"/>
      <c r="S212" s="286"/>
      <c r="T212" s="286"/>
      <c r="U212" s="286"/>
      <c r="V212" s="287"/>
      <c r="W212" s="288"/>
      <c r="X212" s="286"/>
      <c r="Y212" s="286"/>
      <c r="Z212" s="287"/>
      <c r="AA212" s="288"/>
      <c r="AB212" s="286"/>
      <c r="AC212" s="294"/>
      <c r="AD212" s="289"/>
      <c r="AE212" s="290"/>
      <c r="AF212" s="289"/>
      <c r="AG212" s="290"/>
      <c r="AH212" s="284"/>
      <c r="AI212" s="147"/>
      <c r="AJ212" s="291"/>
      <c r="AK212" s="292"/>
    </row>
    <row r="213" spans="1:37">
      <c r="A213" s="281"/>
      <c r="B213" s="281"/>
      <c r="C213" s="282"/>
      <c r="D213" s="282"/>
      <c r="E213" s="282"/>
      <c r="F213" s="283"/>
      <c r="G213" s="284"/>
      <c r="H213" s="147"/>
      <c r="I213" s="285"/>
      <c r="J213" s="288"/>
      <c r="K213" s="287"/>
      <c r="L213" s="288"/>
      <c r="M213" s="286"/>
      <c r="N213" s="287"/>
      <c r="O213" s="288"/>
      <c r="P213" s="286"/>
      <c r="Q213" s="286"/>
      <c r="R213" s="287"/>
      <c r="S213" s="286"/>
      <c r="T213" s="286"/>
      <c r="U213" s="286"/>
      <c r="V213" s="287"/>
      <c r="W213" s="288"/>
      <c r="X213" s="286"/>
      <c r="Y213" s="286"/>
      <c r="Z213" s="287"/>
      <c r="AA213" s="288"/>
      <c r="AB213" s="286"/>
      <c r="AC213" s="294"/>
      <c r="AD213" s="289"/>
      <c r="AE213" s="290"/>
      <c r="AF213" s="289"/>
      <c r="AG213" s="290"/>
      <c r="AH213" s="284"/>
      <c r="AI213" s="147"/>
      <c r="AJ213" s="291"/>
      <c r="AK213" s="292"/>
    </row>
    <row r="214" spans="1:37">
      <c r="A214" s="281"/>
      <c r="B214" s="281"/>
      <c r="C214" s="282"/>
      <c r="D214" s="282"/>
      <c r="E214" s="282"/>
      <c r="F214" s="283"/>
      <c r="G214" s="284"/>
      <c r="H214" s="147"/>
      <c r="I214" s="285"/>
      <c r="J214" s="288"/>
      <c r="K214" s="287"/>
      <c r="L214" s="288"/>
      <c r="M214" s="286"/>
      <c r="N214" s="287"/>
      <c r="O214" s="288"/>
      <c r="P214" s="286"/>
      <c r="Q214" s="286"/>
      <c r="R214" s="287"/>
      <c r="S214" s="286"/>
      <c r="T214" s="286"/>
      <c r="U214" s="286"/>
      <c r="V214" s="287"/>
      <c r="W214" s="288"/>
      <c r="X214" s="286"/>
      <c r="Y214" s="286"/>
      <c r="Z214" s="287"/>
      <c r="AA214" s="288"/>
      <c r="AB214" s="286"/>
      <c r="AC214" s="294"/>
      <c r="AD214" s="289"/>
      <c r="AE214" s="290"/>
      <c r="AF214" s="289"/>
      <c r="AG214" s="290"/>
      <c r="AH214" s="284"/>
      <c r="AI214" s="147"/>
      <c r="AJ214" s="291"/>
      <c r="AK214" s="292"/>
    </row>
    <row r="215" spans="1:37">
      <c r="A215" s="281"/>
      <c r="B215" s="281"/>
      <c r="C215" s="282"/>
      <c r="D215" s="282"/>
      <c r="E215" s="282"/>
      <c r="F215" s="283"/>
      <c r="G215" s="284"/>
      <c r="H215" s="147"/>
      <c r="I215" s="285"/>
      <c r="J215" s="288"/>
      <c r="K215" s="287"/>
      <c r="L215" s="288"/>
      <c r="M215" s="286"/>
      <c r="N215" s="287"/>
      <c r="O215" s="288"/>
      <c r="P215" s="286"/>
      <c r="Q215" s="286"/>
      <c r="R215" s="287"/>
      <c r="S215" s="286"/>
      <c r="T215" s="286"/>
      <c r="U215" s="286"/>
      <c r="V215" s="287"/>
      <c r="W215" s="288"/>
      <c r="X215" s="286"/>
      <c r="Y215" s="286"/>
      <c r="Z215" s="287"/>
      <c r="AA215" s="288"/>
      <c r="AB215" s="286"/>
      <c r="AC215" s="294"/>
      <c r="AD215" s="289"/>
      <c r="AE215" s="290"/>
      <c r="AF215" s="289"/>
      <c r="AG215" s="290"/>
      <c r="AH215" s="284"/>
      <c r="AI215" s="147"/>
      <c r="AJ215" s="291"/>
      <c r="AK215" s="292"/>
    </row>
    <row r="216" spans="1:37">
      <c r="A216" s="281"/>
      <c r="B216" s="281"/>
      <c r="C216" s="282"/>
      <c r="D216" s="282"/>
      <c r="E216" s="282"/>
      <c r="F216" s="283"/>
      <c r="G216" s="284"/>
      <c r="H216" s="147"/>
      <c r="I216" s="285"/>
      <c r="J216" s="288"/>
      <c r="K216" s="287"/>
      <c r="L216" s="288"/>
      <c r="M216" s="286"/>
      <c r="N216" s="287"/>
      <c r="O216" s="288"/>
      <c r="P216" s="286"/>
      <c r="Q216" s="286"/>
      <c r="R216" s="287"/>
      <c r="S216" s="286"/>
      <c r="T216" s="286"/>
      <c r="U216" s="286"/>
      <c r="V216" s="287"/>
      <c r="W216" s="288"/>
      <c r="X216" s="286"/>
      <c r="Y216" s="286"/>
      <c r="Z216" s="287"/>
      <c r="AA216" s="288"/>
      <c r="AB216" s="286"/>
      <c r="AC216" s="294"/>
      <c r="AD216" s="289"/>
      <c r="AE216" s="290"/>
      <c r="AF216" s="289"/>
      <c r="AG216" s="290"/>
      <c r="AH216" s="284"/>
      <c r="AI216" s="147"/>
      <c r="AJ216" s="291"/>
      <c r="AK216" s="292"/>
    </row>
    <row r="217" spans="1:37">
      <c r="A217" s="281"/>
      <c r="B217" s="281"/>
      <c r="C217" s="282"/>
      <c r="D217" s="282"/>
      <c r="E217" s="282"/>
      <c r="F217" s="283"/>
      <c r="G217" s="284"/>
      <c r="H217" s="147"/>
      <c r="I217" s="285"/>
      <c r="J217" s="288"/>
      <c r="K217" s="287"/>
      <c r="L217" s="288"/>
      <c r="M217" s="286"/>
      <c r="N217" s="287"/>
      <c r="O217" s="288"/>
      <c r="P217" s="286"/>
      <c r="Q217" s="286"/>
      <c r="R217" s="287"/>
      <c r="S217" s="286"/>
      <c r="T217" s="286"/>
      <c r="U217" s="286"/>
      <c r="V217" s="287"/>
      <c r="W217" s="288"/>
      <c r="X217" s="286"/>
      <c r="Y217" s="286"/>
      <c r="Z217" s="287"/>
      <c r="AA217" s="288"/>
      <c r="AB217" s="286"/>
      <c r="AC217" s="294"/>
      <c r="AD217" s="289"/>
      <c r="AE217" s="290"/>
      <c r="AF217" s="289"/>
      <c r="AG217" s="290"/>
      <c r="AH217" s="284"/>
      <c r="AI217" s="147"/>
      <c r="AJ217" s="291"/>
      <c r="AK217" s="292"/>
    </row>
    <row r="218" spans="1:37">
      <c r="A218" s="281"/>
      <c r="B218" s="281"/>
      <c r="C218" s="282"/>
      <c r="D218" s="282"/>
      <c r="E218" s="282"/>
      <c r="F218" s="283"/>
      <c r="G218" s="284"/>
      <c r="H218" s="147"/>
      <c r="I218" s="285"/>
      <c r="J218" s="288"/>
      <c r="K218" s="287"/>
      <c r="L218" s="288"/>
      <c r="M218" s="286"/>
      <c r="N218" s="287"/>
      <c r="O218" s="288"/>
      <c r="P218" s="286"/>
      <c r="Q218" s="286"/>
      <c r="R218" s="287"/>
      <c r="S218" s="286"/>
      <c r="T218" s="286"/>
      <c r="U218" s="286"/>
      <c r="V218" s="287"/>
      <c r="W218" s="288"/>
      <c r="X218" s="286"/>
      <c r="Y218" s="286"/>
      <c r="Z218" s="287"/>
      <c r="AA218" s="288"/>
      <c r="AB218" s="286"/>
      <c r="AC218" s="294"/>
      <c r="AD218" s="289"/>
      <c r="AE218" s="290"/>
      <c r="AF218" s="289"/>
      <c r="AG218" s="290"/>
      <c r="AH218" s="284"/>
      <c r="AI218" s="147"/>
      <c r="AJ218" s="291"/>
      <c r="AK218" s="292"/>
    </row>
    <row r="219" spans="1:37">
      <c r="A219" s="281"/>
      <c r="B219" s="281"/>
      <c r="C219" s="282"/>
      <c r="D219" s="282"/>
      <c r="E219" s="282"/>
      <c r="F219" s="283"/>
      <c r="G219" s="284"/>
      <c r="H219" s="147"/>
      <c r="I219" s="285"/>
      <c r="J219" s="288"/>
      <c r="K219" s="287"/>
      <c r="L219" s="288"/>
      <c r="M219" s="286"/>
      <c r="N219" s="287"/>
      <c r="O219" s="288"/>
      <c r="P219" s="286"/>
      <c r="Q219" s="286"/>
      <c r="R219" s="287"/>
      <c r="S219" s="286"/>
      <c r="T219" s="286"/>
      <c r="U219" s="286"/>
      <c r="V219" s="287"/>
      <c r="W219" s="288"/>
      <c r="X219" s="286"/>
      <c r="Y219" s="286"/>
      <c r="Z219" s="287"/>
      <c r="AA219" s="288"/>
      <c r="AB219" s="286"/>
      <c r="AC219" s="294"/>
      <c r="AD219" s="289"/>
      <c r="AE219" s="290"/>
      <c r="AF219" s="289"/>
      <c r="AG219" s="290"/>
      <c r="AH219" s="284"/>
      <c r="AI219" s="147"/>
      <c r="AJ219" s="291"/>
      <c r="AK219" s="292"/>
    </row>
    <row r="220" spans="1:37">
      <c r="A220" s="281"/>
      <c r="B220" s="281"/>
      <c r="C220" s="282"/>
      <c r="D220" s="282"/>
      <c r="E220" s="282"/>
      <c r="F220" s="283"/>
      <c r="G220" s="284"/>
      <c r="H220" s="147"/>
      <c r="I220" s="285"/>
      <c r="J220" s="288"/>
      <c r="K220" s="287"/>
      <c r="L220" s="288"/>
      <c r="M220" s="286"/>
      <c r="N220" s="287"/>
      <c r="O220" s="288"/>
      <c r="P220" s="286"/>
      <c r="Q220" s="286"/>
      <c r="R220" s="287"/>
      <c r="S220" s="286"/>
      <c r="T220" s="286"/>
      <c r="U220" s="286"/>
      <c r="V220" s="287"/>
      <c r="W220" s="288"/>
      <c r="X220" s="286"/>
      <c r="Y220" s="286"/>
      <c r="Z220" s="287"/>
      <c r="AA220" s="288"/>
      <c r="AB220" s="286"/>
      <c r="AC220" s="294"/>
      <c r="AD220" s="289"/>
      <c r="AE220" s="290"/>
      <c r="AF220" s="289"/>
      <c r="AG220" s="290"/>
      <c r="AH220" s="284"/>
      <c r="AI220" s="147"/>
      <c r="AJ220" s="291"/>
      <c r="AK220" s="292"/>
    </row>
    <row r="221" spans="1:37">
      <c r="A221" s="281"/>
      <c r="B221" s="281"/>
      <c r="C221" s="282"/>
      <c r="D221" s="282"/>
      <c r="E221" s="282"/>
      <c r="F221" s="283"/>
      <c r="G221" s="284"/>
      <c r="H221" s="147"/>
      <c r="I221" s="285"/>
      <c r="J221" s="288"/>
      <c r="K221" s="287"/>
      <c r="L221" s="288"/>
      <c r="M221" s="286"/>
      <c r="N221" s="287"/>
      <c r="O221" s="288"/>
      <c r="P221" s="286"/>
      <c r="Q221" s="286"/>
      <c r="R221" s="287"/>
      <c r="S221" s="286"/>
      <c r="T221" s="286"/>
      <c r="U221" s="286"/>
      <c r="V221" s="287"/>
      <c r="W221" s="288"/>
      <c r="X221" s="286"/>
      <c r="Y221" s="286"/>
      <c r="Z221" s="287"/>
      <c r="AA221" s="288"/>
      <c r="AB221" s="286"/>
      <c r="AC221" s="294"/>
      <c r="AD221" s="289"/>
      <c r="AE221" s="290"/>
      <c r="AF221" s="289"/>
      <c r="AG221" s="290"/>
      <c r="AH221" s="284"/>
      <c r="AI221" s="147"/>
      <c r="AJ221" s="291"/>
      <c r="AK221" s="292"/>
    </row>
    <row r="222" spans="1:37">
      <c r="A222" s="281"/>
      <c r="B222" s="281"/>
      <c r="C222" s="282"/>
      <c r="D222" s="282"/>
      <c r="E222" s="282"/>
      <c r="F222" s="283"/>
      <c r="G222" s="284"/>
      <c r="H222" s="147"/>
      <c r="I222" s="285"/>
      <c r="J222" s="288"/>
      <c r="K222" s="287"/>
      <c r="L222" s="288"/>
      <c r="M222" s="286"/>
      <c r="N222" s="287"/>
      <c r="O222" s="288"/>
      <c r="P222" s="286"/>
      <c r="Q222" s="286"/>
      <c r="R222" s="287"/>
      <c r="S222" s="286"/>
      <c r="T222" s="286"/>
      <c r="U222" s="286"/>
      <c r="V222" s="287"/>
      <c r="W222" s="288"/>
      <c r="X222" s="286"/>
      <c r="Y222" s="286"/>
      <c r="Z222" s="287"/>
      <c r="AA222" s="288"/>
      <c r="AB222" s="286"/>
      <c r="AC222" s="294"/>
      <c r="AD222" s="289"/>
      <c r="AE222" s="290"/>
      <c r="AF222" s="289"/>
      <c r="AG222" s="290"/>
      <c r="AH222" s="284"/>
      <c r="AI222" s="147"/>
      <c r="AJ222" s="291"/>
      <c r="AK222" s="292"/>
    </row>
    <row r="223" spans="1:37">
      <c r="A223" s="281"/>
      <c r="B223" s="281"/>
      <c r="C223" s="282"/>
      <c r="D223" s="282"/>
      <c r="E223" s="282"/>
      <c r="F223" s="283"/>
      <c r="G223" s="284"/>
      <c r="H223" s="147"/>
      <c r="I223" s="285"/>
      <c r="J223" s="288"/>
      <c r="K223" s="287"/>
      <c r="L223" s="288"/>
      <c r="M223" s="286"/>
      <c r="N223" s="287"/>
      <c r="O223" s="288"/>
      <c r="P223" s="286"/>
      <c r="Q223" s="286"/>
      <c r="R223" s="287"/>
      <c r="S223" s="286"/>
      <c r="T223" s="286"/>
      <c r="U223" s="286"/>
      <c r="V223" s="287"/>
      <c r="W223" s="288"/>
      <c r="X223" s="286"/>
      <c r="Y223" s="286"/>
      <c r="Z223" s="287"/>
      <c r="AA223" s="288"/>
      <c r="AB223" s="286"/>
      <c r="AC223" s="294"/>
      <c r="AD223" s="289"/>
      <c r="AE223" s="290"/>
      <c r="AF223" s="289"/>
      <c r="AG223" s="290"/>
      <c r="AH223" s="284"/>
      <c r="AI223" s="147"/>
      <c r="AJ223" s="291"/>
      <c r="AK223" s="292"/>
    </row>
    <row r="224" spans="1:37">
      <c r="A224" s="281"/>
      <c r="B224" s="281"/>
      <c r="C224" s="282"/>
      <c r="D224" s="282"/>
      <c r="E224" s="282"/>
      <c r="F224" s="283"/>
      <c r="G224" s="284"/>
      <c r="H224" s="147"/>
      <c r="I224" s="285"/>
      <c r="J224" s="288"/>
      <c r="K224" s="287"/>
      <c r="L224" s="288"/>
      <c r="M224" s="286"/>
      <c r="N224" s="287"/>
      <c r="O224" s="288"/>
      <c r="P224" s="286"/>
      <c r="Q224" s="286"/>
      <c r="R224" s="287"/>
      <c r="S224" s="286"/>
      <c r="T224" s="286"/>
      <c r="U224" s="286"/>
      <c r="V224" s="287"/>
      <c r="W224" s="288"/>
      <c r="X224" s="286"/>
      <c r="Y224" s="286"/>
      <c r="Z224" s="287"/>
      <c r="AA224" s="288"/>
      <c r="AB224" s="286"/>
      <c r="AC224" s="294"/>
      <c r="AD224" s="289"/>
      <c r="AE224" s="290"/>
      <c r="AF224" s="289"/>
      <c r="AG224" s="290"/>
      <c r="AH224" s="284"/>
      <c r="AI224" s="147"/>
      <c r="AJ224" s="291"/>
      <c r="AK224" s="292"/>
    </row>
    <row r="225" spans="1:37">
      <c r="A225" s="281"/>
      <c r="B225" s="281"/>
      <c r="C225" s="282"/>
      <c r="D225" s="282"/>
      <c r="E225" s="282"/>
      <c r="F225" s="283"/>
      <c r="G225" s="284"/>
      <c r="H225" s="147"/>
      <c r="I225" s="285"/>
      <c r="J225" s="288"/>
      <c r="K225" s="287"/>
      <c r="L225" s="288"/>
      <c r="M225" s="286"/>
      <c r="N225" s="287"/>
      <c r="O225" s="288"/>
      <c r="P225" s="286"/>
      <c r="Q225" s="286"/>
      <c r="R225" s="287"/>
      <c r="S225" s="286"/>
      <c r="T225" s="286"/>
      <c r="U225" s="286"/>
      <c r="V225" s="287"/>
      <c r="W225" s="288"/>
      <c r="X225" s="286"/>
      <c r="Y225" s="286"/>
      <c r="Z225" s="287"/>
      <c r="AA225" s="288"/>
      <c r="AB225" s="286"/>
      <c r="AC225" s="294"/>
      <c r="AD225" s="289"/>
      <c r="AE225" s="290"/>
      <c r="AF225" s="289"/>
      <c r="AG225" s="290"/>
      <c r="AH225" s="284"/>
      <c r="AI225" s="147"/>
      <c r="AJ225" s="291"/>
      <c r="AK225" s="292"/>
    </row>
    <row r="226" spans="1:37">
      <c r="A226" s="281"/>
      <c r="B226" s="281"/>
      <c r="C226" s="282"/>
      <c r="D226" s="282"/>
      <c r="E226" s="282"/>
      <c r="F226" s="283"/>
      <c r="G226" s="284"/>
      <c r="H226" s="147"/>
      <c r="I226" s="285"/>
      <c r="J226" s="288"/>
      <c r="K226" s="287"/>
      <c r="L226" s="288"/>
      <c r="M226" s="286"/>
      <c r="N226" s="287"/>
      <c r="O226" s="288"/>
      <c r="P226" s="286"/>
      <c r="Q226" s="286"/>
      <c r="R226" s="287"/>
      <c r="S226" s="286"/>
      <c r="T226" s="286"/>
      <c r="U226" s="286"/>
      <c r="V226" s="287"/>
      <c r="W226" s="288"/>
      <c r="X226" s="286"/>
      <c r="Y226" s="286"/>
      <c r="Z226" s="287"/>
      <c r="AA226" s="288"/>
      <c r="AB226" s="286"/>
      <c r="AC226" s="294"/>
      <c r="AD226" s="289"/>
      <c r="AE226" s="290"/>
      <c r="AF226" s="289"/>
      <c r="AG226" s="290"/>
      <c r="AH226" s="284"/>
      <c r="AI226" s="147"/>
      <c r="AJ226" s="291"/>
      <c r="AK226" s="292"/>
    </row>
    <row r="227" spans="1:37">
      <c r="A227" s="281"/>
      <c r="B227" s="281"/>
      <c r="C227" s="282"/>
      <c r="D227" s="282"/>
      <c r="E227" s="282"/>
      <c r="F227" s="283"/>
      <c r="G227" s="284"/>
      <c r="H227" s="147"/>
      <c r="I227" s="285"/>
      <c r="J227" s="288"/>
      <c r="K227" s="287"/>
      <c r="L227" s="288"/>
      <c r="M227" s="286"/>
      <c r="N227" s="287"/>
      <c r="O227" s="288"/>
      <c r="P227" s="286"/>
      <c r="Q227" s="286"/>
      <c r="R227" s="287"/>
      <c r="S227" s="286"/>
      <c r="T227" s="286"/>
      <c r="U227" s="286"/>
      <c r="V227" s="287"/>
      <c r="W227" s="288"/>
      <c r="X227" s="286"/>
      <c r="Y227" s="286"/>
      <c r="Z227" s="287"/>
      <c r="AA227" s="288"/>
      <c r="AB227" s="286"/>
      <c r="AC227" s="294"/>
      <c r="AD227" s="289"/>
      <c r="AE227" s="290"/>
      <c r="AF227" s="289"/>
      <c r="AG227" s="290"/>
      <c r="AH227" s="284"/>
      <c r="AI227" s="147"/>
      <c r="AJ227" s="291"/>
      <c r="AK227" s="292"/>
    </row>
    <row r="228" spans="1:37">
      <c r="A228" s="281"/>
      <c r="B228" s="281"/>
      <c r="C228" s="282"/>
      <c r="D228" s="282"/>
      <c r="E228" s="282"/>
      <c r="F228" s="283"/>
      <c r="G228" s="284"/>
      <c r="H228" s="147"/>
      <c r="I228" s="285"/>
      <c r="J228" s="288"/>
      <c r="K228" s="287"/>
      <c r="L228" s="288"/>
      <c r="M228" s="286"/>
      <c r="N228" s="287"/>
      <c r="O228" s="288"/>
      <c r="P228" s="286"/>
      <c r="Q228" s="286"/>
      <c r="R228" s="287"/>
      <c r="S228" s="286"/>
      <c r="T228" s="286"/>
      <c r="U228" s="286"/>
      <c r="V228" s="287"/>
      <c r="W228" s="288"/>
      <c r="X228" s="286"/>
      <c r="Y228" s="286"/>
      <c r="Z228" s="287"/>
      <c r="AA228" s="288"/>
      <c r="AB228" s="286"/>
      <c r="AC228" s="294"/>
      <c r="AD228" s="289"/>
      <c r="AE228" s="290"/>
      <c r="AF228" s="289"/>
      <c r="AG228" s="290"/>
      <c r="AH228" s="284"/>
      <c r="AI228" s="147"/>
      <c r="AJ228" s="291"/>
      <c r="AK228" s="292"/>
    </row>
    <row r="229" spans="1:37">
      <c r="A229" s="281"/>
      <c r="B229" s="281"/>
      <c r="C229" s="282"/>
      <c r="D229" s="282"/>
      <c r="E229" s="282"/>
      <c r="F229" s="283"/>
      <c r="G229" s="284"/>
      <c r="H229" s="147"/>
      <c r="I229" s="285"/>
      <c r="J229" s="288"/>
      <c r="K229" s="287"/>
      <c r="L229" s="288"/>
      <c r="M229" s="286"/>
      <c r="N229" s="287"/>
      <c r="O229" s="288"/>
      <c r="P229" s="286"/>
      <c r="Q229" s="286"/>
      <c r="R229" s="287"/>
      <c r="S229" s="286"/>
      <c r="T229" s="286"/>
      <c r="U229" s="286"/>
      <c r="V229" s="287"/>
      <c r="W229" s="288"/>
      <c r="X229" s="286"/>
      <c r="Y229" s="286"/>
      <c r="Z229" s="287"/>
      <c r="AA229" s="288"/>
      <c r="AB229" s="286"/>
      <c r="AC229" s="294"/>
      <c r="AD229" s="289"/>
      <c r="AE229" s="290"/>
      <c r="AF229" s="289"/>
      <c r="AG229" s="290"/>
      <c r="AH229" s="284"/>
      <c r="AI229" s="147"/>
      <c r="AJ229" s="291"/>
      <c r="AK229" s="292"/>
    </row>
    <row r="230" spans="1:37">
      <c r="A230" s="281"/>
      <c r="B230" s="281"/>
      <c r="C230" s="282"/>
      <c r="D230" s="282"/>
      <c r="E230" s="282"/>
      <c r="F230" s="283"/>
      <c r="G230" s="284"/>
      <c r="H230" s="147"/>
      <c r="I230" s="285"/>
      <c r="J230" s="288"/>
      <c r="K230" s="287"/>
      <c r="L230" s="288"/>
      <c r="M230" s="286"/>
      <c r="N230" s="287"/>
      <c r="O230" s="288"/>
      <c r="P230" s="286"/>
      <c r="Q230" s="286"/>
      <c r="R230" s="287"/>
      <c r="S230" s="286"/>
      <c r="T230" s="286"/>
      <c r="U230" s="286"/>
      <c r="V230" s="287"/>
      <c r="W230" s="288"/>
      <c r="X230" s="286"/>
      <c r="Y230" s="286"/>
      <c r="Z230" s="287"/>
      <c r="AA230" s="288"/>
      <c r="AB230" s="286"/>
      <c r="AC230" s="294"/>
      <c r="AD230" s="289"/>
      <c r="AE230" s="290"/>
      <c r="AF230" s="289"/>
      <c r="AG230" s="290"/>
      <c r="AH230" s="284"/>
      <c r="AI230" s="147"/>
      <c r="AJ230" s="291"/>
      <c r="AK230" s="292"/>
    </row>
    <row r="231" spans="1:37">
      <c r="A231" s="281"/>
      <c r="B231" s="281"/>
      <c r="C231" s="282"/>
      <c r="D231" s="282"/>
      <c r="E231" s="282"/>
      <c r="F231" s="283"/>
      <c r="G231" s="284"/>
      <c r="H231" s="147"/>
      <c r="I231" s="285"/>
      <c r="J231" s="288"/>
      <c r="K231" s="287"/>
      <c r="L231" s="288"/>
      <c r="M231" s="286"/>
      <c r="N231" s="287"/>
      <c r="O231" s="288"/>
      <c r="P231" s="286"/>
      <c r="Q231" s="286"/>
      <c r="R231" s="287"/>
      <c r="S231" s="286"/>
      <c r="T231" s="286"/>
      <c r="U231" s="286"/>
      <c r="V231" s="287"/>
      <c r="W231" s="288"/>
      <c r="X231" s="286"/>
      <c r="Y231" s="286"/>
      <c r="Z231" s="287"/>
      <c r="AA231" s="288"/>
      <c r="AB231" s="286"/>
      <c r="AC231" s="294"/>
      <c r="AD231" s="289"/>
      <c r="AE231" s="290"/>
      <c r="AF231" s="289"/>
      <c r="AG231" s="290"/>
      <c r="AH231" s="284"/>
      <c r="AI231" s="147"/>
      <c r="AJ231" s="291"/>
      <c r="AK231" s="292"/>
    </row>
    <row r="232" spans="1:37">
      <c r="A232" s="281"/>
      <c r="B232" s="281"/>
      <c r="C232" s="282"/>
      <c r="D232" s="282"/>
      <c r="E232" s="282"/>
      <c r="F232" s="283"/>
      <c r="G232" s="284"/>
      <c r="H232" s="147"/>
      <c r="I232" s="285"/>
      <c r="J232" s="288"/>
      <c r="K232" s="287"/>
      <c r="L232" s="288"/>
      <c r="M232" s="286"/>
      <c r="N232" s="287"/>
      <c r="O232" s="288"/>
      <c r="P232" s="286"/>
      <c r="Q232" s="286"/>
      <c r="R232" s="287"/>
      <c r="S232" s="286"/>
      <c r="T232" s="286"/>
      <c r="U232" s="286"/>
      <c r="V232" s="287"/>
      <c r="W232" s="288"/>
      <c r="X232" s="286"/>
      <c r="Y232" s="286"/>
      <c r="Z232" s="287"/>
      <c r="AA232" s="288"/>
      <c r="AB232" s="286"/>
      <c r="AC232" s="294"/>
      <c r="AD232" s="289"/>
      <c r="AE232" s="290"/>
      <c r="AF232" s="289"/>
      <c r="AG232" s="290"/>
      <c r="AH232" s="284"/>
      <c r="AI232" s="147"/>
      <c r="AJ232" s="291"/>
      <c r="AK232" s="292"/>
    </row>
    <row r="233" spans="1:37">
      <c r="A233" s="281"/>
      <c r="B233" s="281"/>
      <c r="C233" s="282"/>
      <c r="D233" s="282"/>
      <c r="E233" s="282"/>
      <c r="F233" s="283"/>
      <c r="G233" s="284"/>
      <c r="H233" s="147"/>
      <c r="I233" s="285"/>
      <c r="J233" s="288"/>
      <c r="K233" s="287"/>
      <c r="L233" s="288"/>
      <c r="M233" s="286"/>
      <c r="N233" s="287"/>
      <c r="O233" s="288"/>
      <c r="P233" s="286"/>
      <c r="Q233" s="286"/>
      <c r="R233" s="287"/>
      <c r="S233" s="286"/>
      <c r="T233" s="286"/>
      <c r="U233" s="286"/>
      <c r="V233" s="287"/>
      <c r="W233" s="288"/>
      <c r="X233" s="286"/>
      <c r="Y233" s="286"/>
      <c r="Z233" s="287"/>
      <c r="AA233" s="288"/>
      <c r="AB233" s="286"/>
      <c r="AC233" s="294"/>
      <c r="AD233" s="289"/>
      <c r="AE233" s="290"/>
      <c r="AF233" s="289"/>
      <c r="AG233" s="290"/>
      <c r="AH233" s="284"/>
      <c r="AI233" s="147"/>
      <c r="AJ233" s="291"/>
      <c r="AK233" s="292"/>
    </row>
    <row r="234" spans="1:37">
      <c r="A234" s="281"/>
      <c r="B234" s="281"/>
      <c r="C234" s="282"/>
      <c r="D234" s="282"/>
      <c r="E234" s="282"/>
      <c r="F234" s="283"/>
      <c r="G234" s="284"/>
      <c r="H234" s="147"/>
      <c r="I234" s="285"/>
      <c r="J234" s="288"/>
      <c r="K234" s="287"/>
      <c r="L234" s="288"/>
      <c r="M234" s="286"/>
      <c r="N234" s="287"/>
      <c r="O234" s="288"/>
      <c r="P234" s="286"/>
      <c r="Q234" s="286"/>
      <c r="R234" s="287"/>
      <c r="S234" s="286"/>
      <c r="T234" s="286"/>
      <c r="U234" s="286"/>
      <c r="V234" s="287"/>
      <c r="W234" s="288"/>
      <c r="X234" s="286"/>
      <c r="Y234" s="286"/>
      <c r="Z234" s="287"/>
      <c r="AA234" s="288"/>
      <c r="AB234" s="286"/>
      <c r="AC234" s="294"/>
      <c r="AD234" s="289"/>
      <c r="AE234" s="290"/>
      <c r="AF234" s="289"/>
      <c r="AG234" s="290"/>
      <c r="AH234" s="284"/>
      <c r="AI234" s="147"/>
      <c r="AJ234" s="291"/>
      <c r="AK234" s="292"/>
    </row>
    <row r="235" spans="1:37">
      <c r="A235" s="281"/>
      <c r="B235" s="281"/>
      <c r="C235" s="282"/>
      <c r="D235" s="282"/>
      <c r="E235" s="282"/>
      <c r="F235" s="283"/>
      <c r="G235" s="284"/>
      <c r="H235" s="147"/>
      <c r="I235" s="285"/>
      <c r="J235" s="288"/>
      <c r="K235" s="287"/>
      <c r="L235" s="288"/>
      <c r="M235" s="286"/>
      <c r="N235" s="287"/>
      <c r="O235" s="288"/>
      <c r="P235" s="286"/>
      <c r="Q235" s="286"/>
      <c r="R235" s="287"/>
      <c r="S235" s="286"/>
      <c r="T235" s="286"/>
      <c r="U235" s="286"/>
      <c r="V235" s="287"/>
      <c r="W235" s="288"/>
      <c r="X235" s="286"/>
      <c r="Y235" s="286"/>
      <c r="Z235" s="287"/>
      <c r="AA235" s="288"/>
      <c r="AB235" s="286"/>
      <c r="AC235" s="294"/>
      <c r="AD235" s="289"/>
      <c r="AE235" s="290"/>
      <c r="AF235" s="289"/>
      <c r="AG235" s="290"/>
      <c r="AH235" s="284"/>
      <c r="AI235" s="147"/>
      <c r="AJ235" s="291"/>
      <c r="AK235" s="292"/>
    </row>
    <row r="236" spans="1:37">
      <c r="A236" s="281"/>
      <c r="B236" s="281"/>
      <c r="C236" s="282"/>
      <c r="D236" s="282"/>
      <c r="E236" s="282"/>
      <c r="F236" s="283"/>
      <c r="G236" s="284"/>
      <c r="H236" s="147"/>
      <c r="I236" s="285"/>
      <c r="J236" s="288"/>
      <c r="K236" s="287"/>
      <c r="L236" s="288"/>
      <c r="M236" s="286"/>
      <c r="N236" s="287"/>
      <c r="O236" s="288"/>
      <c r="P236" s="286"/>
      <c r="Q236" s="286"/>
      <c r="R236" s="287"/>
      <c r="S236" s="286"/>
      <c r="T236" s="286"/>
      <c r="U236" s="286"/>
      <c r="V236" s="287"/>
      <c r="W236" s="288"/>
      <c r="X236" s="286"/>
      <c r="Y236" s="286"/>
      <c r="Z236" s="287"/>
      <c r="AA236" s="288"/>
      <c r="AB236" s="286"/>
      <c r="AC236" s="294"/>
      <c r="AD236" s="289"/>
      <c r="AE236" s="290"/>
      <c r="AF236" s="289"/>
      <c r="AG236" s="290"/>
      <c r="AH236" s="284"/>
      <c r="AI236" s="147"/>
      <c r="AJ236" s="291"/>
      <c r="AK236" s="292"/>
    </row>
    <row r="237" spans="1:37">
      <c r="A237" s="281"/>
      <c r="B237" s="281"/>
      <c r="C237" s="282"/>
      <c r="D237" s="282"/>
      <c r="E237" s="282"/>
      <c r="F237" s="283"/>
      <c r="G237" s="284"/>
      <c r="H237" s="147"/>
      <c r="I237" s="285"/>
      <c r="J237" s="288"/>
      <c r="K237" s="287"/>
      <c r="L237" s="288"/>
      <c r="M237" s="286"/>
      <c r="N237" s="287"/>
      <c r="O237" s="288"/>
      <c r="P237" s="286"/>
      <c r="Q237" s="286"/>
      <c r="R237" s="287"/>
      <c r="S237" s="286"/>
      <c r="T237" s="286"/>
      <c r="U237" s="286"/>
      <c r="V237" s="287"/>
      <c r="W237" s="288"/>
      <c r="X237" s="286"/>
      <c r="Y237" s="286"/>
      <c r="Z237" s="287"/>
      <c r="AA237" s="288"/>
      <c r="AB237" s="286"/>
      <c r="AC237" s="294"/>
      <c r="AD237" s="289"/>
      <c r="AE237" s="290"/>
      <c r="AF237" s="289"/>
      <c r="AG237" s="290"/>
      <c r="AH237" s="284"/>
      <c r="AI237" s="147"/>
      <c r="AJ237" s="291"/>
      <c r="AK237" s="292"/>
    </row>
    <row r="238" spans="1:37">
      <c r="A238" s="281"/>
      <c r="B238" s="281"/>
      <c r="C238" s="282"/>
      <c r="D238" s="282"/>
      <c r="E238" s="282"/>
      <c r="F238" s="283"/>
      <c r="G238" s="284"/>
      <c r="H238" s="147"/>
      <c r="I238" s="285"/>
      <c r="J238" s="288"/>
      <c r="K238" s="287"/>
      <c r="L238" s="288"/>
      <c r="M238" s="286"/>
      <c r="N238" s="287"/>
      <c r="O238" s="288"/>
      <c r="P238" s="286"/>
      <c r="Q238" s="286"/>
      <c r="R238" s="287"/>
      <c r="S238" s="286"/>
      <c r="T238" s="286"/>
      <c r="U238" s="286"/>
      <c r="V238" s="287"/>
      <c r="W238" s="288"/>
      <c r="X238" s="286"/>
      <c r="Y238" s="286"/>
      <c r="Z238" s="287"/>
      <c r="AA238" s="288"/>
      <c r="AB238" s="286"/>
      <c r="AC238" s="294"/>
      <c r="AD238" s="289"/>
      <c r="AE238" s="290"/>
      <c r="AF238" s="289"/>
      <c r="AG238" s="290"/>
      <c r="AH238" s="284"/>
      <c r="AI238" s="147"/>
      <c r="AJ238" s="291"/>
      <c r="AK238" s="292"/>
    </row>
    <row r="239" spans="1:37">
      <c r="A239" s="281"/>
      <c r="B239" s="281"/>
      <c r="C239" s="282"/>
      <c r="D239" s="282"/>
      <c r="E239" s="282"/>
      <c r="F239" s="283"/>
      <c r="G239" s="284"/>
      <c r="H239" s="147"/>
      <c r="I239" s="285"/>
      <c r="J239" s="288"/>
      <c r="K239" s="287"/>
      <c r="L239" s="288"/>
      <c r="M239" s="286"/>
      <c r="N239" s="287"/>
      <c r="O239" s="288"/>
      <c r="P239" s="286"/>
      <c r="Q239" s="286"/>
      <c r="R239" s="287"/>
      <c r="S239" s="286"/>
      <c r="T239" s="286"/>
      <c r="U239" s="286"/>
      <c r="V239" s="287"/>
      <c r="W239" s="288"/>
      <c r="X239" s="286"/>
      <c r="Y239" s="286"/>
      <c r="Z239" s="287"/>
      <c r="AA239" s="288"/>
      <c r="AB239" s="286"/>
      <c r="AC239" s="294"/>
      <c r="AD239" s="289"/>
      <c r="AE239" s="290"/>
      <c r="AF239" s="289"/>
      <c r="AG239" s="290"/>
      <c r="AH239" s="284"/>
      <c r="AI239" s="147"/>
      <c r="AJ239" s="291"/>
      <c r="AK239" s="292"/>
    </row>
    <row r="240" spans="1:37">
      <c r="A240" s="281"/>
      <c r="B240" s="281"/>
      <c r="C240" s="282"/>
      <c r="D240" s="282"/>
      <c r="E240" s="282"/>
      <c r="F240" s="283"/>
      <c r="G240" s="284"/>
      <c r="H240" s="147"/>
      <c r="I240" s="285"/>
      <c r="J240" s="288"/>
      <c r="K240" s="287"/>
      <c r="L240" s="288"/>
      <c r="M240" s="286"/>
      <c r="N240" s="287"/>
      <c r="O240" s="288"/>
      <c r="P240" s="286"/>
      <c r="Q240" s="286"/>
      <c r="R240" s="287"/>
      <c r="S240" s="286"/>
      <c r="T240" s="286"/>
      <c r="U240" s="286"/>
      <c r="V240" s="287"/>
      <c r="W240" s="288"/>
      <c r="X240" s="286"/>
      <c r="Y240" s="286"/>
      <c r="Z240" s="287"/>
      <c r="AA240" s="288"/>
      <c r="AB240" s="286"/>
      <c r="AC240" s="294"/>
      <c r="AD240" s="289"/>
      <c r="AE240" s="290"/>
      <c r="AF240" s="289"/>
      <c r="AG240" s="290"/>
      <c r="AH240" s="284"/>
      <c r="AI240" s="147"/>
      <c r="AJ240" s="291"/>
      <c r="AK240" s="292"/>
    </row>
    <row r="241" spans="1:37">
      <c r="A241" s="281"/>
      <c r="B241" s="281"/>
      <c r="C241" s="282"/>
      <c r="D241" s="282"/>
      <c r="E241" s="282"/>
      <c r="F241" s="283"/>
      <c r="G241" s="284"/>
      <c r="H241" s="147"/>
      <c r="I241" s="285"/>
      <c r="J241" s="288"/>
      <c r="K241" s="287"/>
      <c r="L241" s="288"/>
      <c r="M241" s="286"/>
      <c r="N241" s="287"/>
      <c r="O241" s="288"/>
      <c r="P241" s="286"/>
      <c r="Q241" s="286"/>
      <c r="R241" s="287"/>
      <c r="S241" s="286"/>
      <c r="T241" s="286"/>
      <c r="U241" s="286"/>
      <c r="V241" s="287"/>
      <c r="W241" s="288"/>
      <c r="X241" s="286"/>
      <c r="Y241" s="286"/>
      <c r="Z241" s="287"/>
      <c r="AA241" s="288"/>
      <c r="AB241" s="286"/>
      <c r="AC241" s="294"/>
      <c r="AD241" s="289"/>
      <c r="AE241" s="290"/>
      <c r="AF241" s="289"/>
      <c r="AG241" s="290"/>
      <c r="AH241" s="284"/>
      <c r="AI241" s="147"/>
      <c r="AJ241" s="291"/>
      <c r="AK241" s="292"/>
    </row>
    <row r="242" spans="1:37">
      <c r="A242" s="281"/>
      <c r="B242" s="281"/>
      <c r="C242" s="282"/>
      <c r="D242" s="282"/>
      <c r="E242" s="282"/>
      <c r="F242" s="283"/>
      <c r="G242" s="284"/>
      <c r="H242" s="147"/>
      <c r="I242" s="285"/>
      <c r="J242" s="288"/>
      <c r="K242" s="287"/>
      <c r="L242" s="288"/>
      <c r="M242" s="286"/>
      <c r="N242" s="287"/>
      <c r="O242" s="288"/>
      <c r="P242" s="286"/>
      <c r="Q242" s="286"/>
      <c r="R242" s="287"/>
      <c r="S242" s="286"/>
      <c r="T242" s="286"/>
      <c r="U242" s="286"/>
      <c r="V242" s="287"/>
      <c r="W242" s="288"/>
      <c r="X242" s="286"/>
      <c r="Y242" s="286"/>
      <c r="Z242" s="287"/>
      <c r="AA242" s="288"/>
      <c r="AB242" s="286"/>
      <c r="AC242" s="294"/>
      <c r="AD242" s="289"/>
      <c r="AE242" s="290"/>
      <c r="AF242" s="289"/>
      <c r="AG242" s="290"/>
      <c r="AH242" s="284"/>
      <c r="AI242" s="147"/>
      <c r="AJ242" s="291"/>
      <c r="AK242" s="292"/>
    </row>
    <row r="243" spans="1:37">
      <c r="A243" s="281"/>
      <c r="B243" s="281"/>
      <c r="C243" s="282"/>
      <c r="D243" s="282"/>
      <c r="E243" s="282"/>
      <c r="F243" s="283"/>
      <c r="G243" s="284"/>
      <c r="H243" s="147"/>
      <c r="I243" s="285"/>
      <c r="J243" s="288"/>
      <c r="K243" s="287"/>
      <c r="L243" s="288"/>
      <c r="M243" s="286"/>
      <c r="N243" s="287"/>
      <c r="O243" s="288"/>
      <c r="P243" s="286"/>
      <c r="Q243" s="286"/>
      <c r="R243" s="287"/>
      <c r="S243" s="286"/>
      <c r="T243" s="286"/>
      <c r="U243" s="286"/>
      <c r="V243" s="287"/>
      <c r="W243" s="288"/>
      <c r="X243" s="286"/>
      <c r="Y243" s="286"/>
      <c r="Z243" s="287"/>
      <c r="AA243" s="288"/>
      <c r="AB243" s="286"/>
      <c r="AC243" s="294"/>
      <c r="AD243" s="289"/>
      <c r="AE243" s="290"/>
      <c r="AF243" s="289"/>
      <c r="AG243" s="290"/>
      <c r="AH243" s="284"/>
      <c r="AI243" s="147"/>
      <c r="AJ243" s="291"/>
      <c r="AK243" s="292"/>
    </row>
    <row r="244" spans="1:37">
      <c r="A244" s="281"/>
      <c r="B244" s="281"/>
      <c r="C244" s="282"/>
      <c r="D244" s="282"/>
      <c r="E244" s="282"/>
      <c r="F244" s="283"/>
      <c r="G244" s="284"/>
      <c r="H244" s="147"/>
      <c r="I244" s="285"/>
      <c r="J244" s="288"/>
      <c r="K244" s="287"/>
      <c r="L244" s="288"/>
      <c r="M244" s="286"/>
      <c r="N244" s="287"/>
      <c r="O244" s="288"/>
      <c r="P244" s="286"/>
      <c r="Q244" s="286"/>
      <c r="R244" s="287"/>
      <c r="S244" s="286"/>
      <c r="T244" s="286"/>
      <c r="U244" s="286"/>
      <c r="V244" s="287"/>
      <c r="W244" s="288"/>
      <c r="X244" s="286"/>
      <c r="Y244" s="286"/>
      <c r="Z244" s="287"/>
      <c r="AA244" s="288"/>
      <c r="AB244" s="286"/>
      <c r="AC244" s="294"/>
      <c r="AD244" s="289"/>
      <c r="AE244" s="290"/>
      <c r="AF244" s="289"/>
      <c r="AG244" s="290"/>
      <c r="AH244" s="284"/>
      <c r="AI244" s="147"/>
      <c r="AJ244" s="291"/>
      <c r="AK244" s="292"/>
    </row>
    <row r="245" spans="1:37">
      <c r="A245" s="281"/>
      <c r="B245" s="281"/>
      <c r="C245" s="282"/>
      <c r="D245" s="282"/>
      <c r="E245" s="282"/>
      <c r="F245" s="283"/>
      <c r="G245" s="284"/>
      <c r="H245" s="147"/>
      <c r="I245" s="285"/>
      <c r="J245" s="288"/>
      <c r="K245" s="287"/>
      <c r="L245" s="288"/>
      <c r="M245" s="286"/>
      <c r="N245" s="287"/>
      <c r="O245" s="288"/>
      <c r="P245" s="286"/>
      <c r="Q245" s="286"/>
      <c r="R245" s="287"/>
      <c r="S245" s="286"/>
      <c r="T245" s="286"/>
      <c r="U245" s="286"/>
      <c r="V245" s="287"/>
      <c r="W245" s="288"/>
      <c r="X245" s="286"/>
      <c r="Y245" s="286"/>
      <c r="Z245" s="287"/>
      <c r="AA245" s="288"/>
      <c r="AB245" s="286"/>
      <c r="AC245" s="294"/>
      <c r="AD245" s="289"/>
      <c r="AE245" s="290"/>
      <c r="AF245" s="289"/>
      <c r="AG245" s="290"/>
      <c r="AH245" s="284"/>
      <c r="AI245" s="147"/>
      <c r="AJ245" s="291"/>
      <c r="AK245" s="292"/>
    </row>
    <row r="246" spans="1:37">
      <c r="A246" s="281"/>
      <c r="B246" s="281"/>
      <c r="C246" s="282"/>
      <c r="D246" s="282"/>
      <c r="E246" s="282"/>
      <c r="F246" s="283"/>
      <c r="G246" s="284"/>
      <c r="H246" s="147"/>
      <c r="I246" s="285"/>
      <c r="J246" s="288"/>
      <c r="K246" s="287"/>
      <c r="L246" s="288"/>
      <c r="M246" s="286"/>
      <c r="N246" s="287"/>
      <c r="O246" s="288"/>
      <c r="P246" s="286"/>
      <c r="Q246" s="286"/>
      <c r="R246" s="287"/>
      <c r="S246" s="286"/>
      <c r="T246" s="286"/>
      <c r="U246" s="286"/>
      <c r="V246" s="287"/>
      <c r="W246" s="288"/>
      <c r="X246" s="286"/>
      <c r="Y246" s="286"/>
      <c r="Z246" s="287"/>
      <c r="AA246" s="288"/>
      <c r="AB246" s="286"/>
      <c r="AC246" s="294"/>
      <c r="AD246" s="289"/>
      <c r="AE246" s="290"/>
      <c r="AF246" s="289"/>
      <c r="AG246" s="290"/>
      <c r="AH246" s="284"/>
      <c r="AI246" s="147"/>
      <c r="AJ246" s="291"/>
      <c r="AK246" s="292"/>
    </row>
    <row r="247" spans="1:37">
      <c r="A247" s="281"/>
      <c r="B247" s="281"/>
      <c r="C247" s="282"/>
      <c r="D247" s="282"/>
      <c r="E247" s="282"/>
      <c r="F247" s="283"/>
      <c r="G247" s="284"/>
      <c r="H247" s="147"/>
      <c r="I247" s="285"/>
      <c r="J247" s="288"/>
      <c r="K247" s="287"/>
      <c r="L247" s="288"/>
      <c r="M247" s="286"/>
      <c r="N247" s="287"/>
      <c r="O247" s="288"/>
      <c r="P247" s="286"/>
      <c r="Q247" s="286"/>
      <c r="R247" s="287"/>
      <c r="S247" s="286"/>
      <c r="T247" s="286"/>
      <c r="U247" s="286"/>
      <c r="V247" s="287"/>
      <c r="W247" s="288"/>
      <c r="X247" s="286"/>
      <c r="Y247" s="286"/>
      <c r="Z247" s="287"/>
      <c r="AA247" s="288"/>
      <c r="AB247" s="286"/>
      <c r="AC247" s="294"/>
      <c r="AD247" s="289"/>
      <c r="AE247" s="290"/>
      <c r="AF247" s="289"/>
      <c r="AG247" s="290"/>
      <c r="AH247" s="284"/>
      <c r="AI247" s="147"/>
      <c r="AJ247" s="291"/>
      <c r="AK247" s="292"/>
    </row>
    <row r="248" spans="1:37">
      <c r="A248" s="281"/>
      <c r="B248" s="281"/>
      <c r="C248" s="282"/>
      <c r="D248" s="282"/>
      <c r="E248" s="282"/>
      <c r="F248" s="283"/>
      <c r="G248" s="284"/>
      <c r="H248" s="147"/>
      <c r="I248" s="285"/>
      <c r="J248" s="288"/>
      <c r="K248" s="287"/>
      <c r="L248" s="288"/>
      <c r="M248" s="286"/>
      <c r="N248" s="287"/>
      <c r="O248" s="288"/>
      <c r="P248" s="286"/>
      <c r="Q248" s="286"/>
      <c r="R248" s="287"/>
      <c r="S248" s="286"/>
      <c r="T248" s="286"/>
      <c r="U248" s="286"/>
      <c r="V248" s="287"/>
      <c r="W248" s="288"/>
      <c r="X248" s="286"/>
      <c r="Y248" s="286"/>
      <c r="Z248" s="287"/>
      <c r="AA248" s="288"/>
      <c r="AB248" s="286"/>
      <c r="AC248" s="294"/>
      <c r="AD248" s="289"/>
      <c r="AE248" s="290"/>
      <c r="AF248" s="289"/>
      <c r="AG248" s="290"/>
      <c r="AH248" s="284"/>
      <c r="AI248" s="147"/>
      <c r="AJ248" s="291"/>
      <c r="AK248" s="292"/>
    </row>
    <row r="249" spans="1:37">
      <c r="A249" s="281"/>
      <c r="B249" s="281"/>
      <c r="C249" s="282"/>
      <c r="D249" s="282"/>
      <c r="E249" s="282"/>
      <c r="F249" s="283"/>
      <c r="G249" s="284"/>
      <c r="H249" s="147"/>
      <c r="I249" s="285"/>
      <c r="J249" s="288"/>
      <c r="K249" s="287"/>
      <c r="L249" s="288"/>
      <c r="M249" s="286"/>
      <c r="N249" s="287"/>
      <c r="O249" s="288"/>
      <c r="P249" s="286"/>
      <c r="Q249" s="286"/>
      <c r="R249" s="287"/>
      <c r="S249" s="286"/>
      <c r="T249" s="286"/>
      <c r="U249" s="286"/>
      <c r="V249" s="287"/>
      <c r="W249" s="288"/>
      <c r="X249" s="286"/>
      <c r="Y249" s="286"/>
      <c r="Z249" s="287"/>
      <c r="AA249" s="288"/>
      <c r="AB249" s="286"/>
      <c r="AC249" s="294"/>
      <c r="AD249" s="289"/>
      <c r="AE249" s="290"/>
      <c r="AF249" s="289"/>
      <c r="AG249" s="290"/>
      <c r="AH249" s="284"/>
      <c r="AI249" s="147"/>
      <c r="AJ249" s="291"/>
      <c r="AK249" s="292"/>
    </row>
    <row r="250" spans="1:37">
      <c r="A250" s="281"/>
      <c r="B250" s="281"/>
      <c r="C250" s="282"/>
      <c r="D250" s="282"/>
      <c r="E250" s="282"/>
      <c r="F250" s="283"/>
      <c r="G250" s="284"/>
      <c r="H250" s="147"/>
      <c r="I250" s="285"/>
      <c r="J250" s="288"/>
      <c r="K250" s="287"/>
      <c r="L250" s="288"/>
      <c r="M250" s="286"/>
      <c r="N250" s="287"/>
      <c r="O250" s="288"/>
      <c r="P250" s="286"/>
      <c r="Q250" s="286"/>
      <c r="R250" s="287"/>
      <c r="S250" s="286"/>
      <c r="T250" s="286"/>
      <c r="U250" s="286"/>
      <c r="V250" s="287"/>
      <c r="W250" s="288"/>
      <c r="X250" s="286"/>
      <c r="Y250" s="286"/>
      <c r="Z250" s="287"/>
      <c r="AA250" s="288"/>
      <c r="AB250" s="286"/>
      <c r="AC250" s="294"/>
      <c r="AD250" s="289"/>
      <c r="AE250" s="290"/>
      <c r="AF250" s="289"/>
      <c r="AG250" s="290"/>
      <c r="AH250" s="284"/>
      <c r="AI250" s="147"/>
      <c r="AJ250" s="291"/>
      <c r="AK250" s="292"/>
    </row>
    <row r="251" spans="1:37">
      <c r="A251" s="281"/>
      <c r="B251" s="281"/>
      <c r="C251" s="282"/>
      <c r="D251" s="282"/>
      <c r="E251" s="282"/>
      <c r="F251" s="283"/>
      <c r="G251" s="284"/>
      <c r="H251" s="147"/>
      <c r="I251" s="285"/>
      <c r="J251" s="288"/>
      <c r="K251" s="287"/>
      <c r="L251" s="288"/>
      <c r="M251" s="286"/>
      <c r="N251" s="287"/>
      <c r="O251" s="288"/>
      <c r="P251" s="286"/>
      <c r="Q251" s="286"/>
      <c r="R251" s="287"/>
      <c r="S251" s="286"/>
      <c r="T251" s="286"/>
      <c r="U251" s="286"/>
      <c r="V251" s="287"/>
      <c r="W251" s="288"/>
      <c r="X251" s="286"/>
      <c r="Y251" s="286"/>
      <c r="Z251" s="287"/>
      <c r="AA251" s="288"/>
      <c r="AB251" s="286"/>
      <c r="AC251" s="294"/>
      <c r="AD251" s="289"/>
      <c r="AE251" s="290"/>
      <c r="AF251" s="289"/>
      <c r="AG251" s="290"/>
      <c r="AH251" s="284"/>
      <c r="AI251" s="147"/>
      <c r="AJ251" s="291"/>
      <c r="AK251" s="292"/>
    </row>
    <row r="252" spans="1:37">
      <c r="A252" s="281"/>
      <c r="B252" s="281"/>
      <c r="C252" s="282"/>
      <c r="D252" s="282"/>
      <c r="E252" s="282"/>
      <c r="F252" s="283"/>
      <c r="G252" s="284"/>
      <c r="H252" s="147"/>
      <c r="I252" s="285"/>
      <c r="J252" s="288"/>
      <c r="K252" s="287"/>
      <c r="L252" s="288"/>
      <c r="M252" s="286"/>
      <c r="N252" s="287"/>
      <c r="O252" s="288"/>
      <c r="P252" s="286"/>
      <c r="Q252" s="286"/>
      <c r="R252" s="287"/>
      <c r="S252" s="286"/>
      <c r="T252" s="286"/>
      <c r="U252" s="286"/>
      <c r="V252" s="287"/>
      <c r="W252" s="288"/>
      <c r="X252" s="286"/>
      <c r="Y252" s="286"/>
      <c r="Z252" s="287"/>
      <c r="AA252" s="288"/>
      <c r="AB252" s="286"/>
      <c r="AC252" s="294"/>
      <c r="AD252" s="289"/>
      <c r="AE252" s="290"/>
      <c r="AF252" s="289"/>
      <c r="AG252" s="290"/>
      <c r="AH252" s="284"/>
      <c r="AI252" s="147"/>
      <c r="AJ252" s="291"/>
      <c r="AK252" s="292"/>
    </row>
    <row r="253" spans="1:37">
      <c r="A253" s="281"/>
      <c r="B253" s="281"/>
      <c r="C253" s="282"/>
      <c r="D253" s="282"/>
      <c r="E253" s="282"/>
      <c r="F253" s="283"/>
      <c r="G253" s="284"/>
      <c r="H253" s="147"/>
      <c r="I253" s="285"/>
      <c r="J253" s="288"/>
      <c r="K253" s="287"/>
      <c r="L253" s="288"/>
      <c r="M253" s="286"/>
      <c r="N253" s="287"/>
      <c r="O253" s="288"/>
      <c r="P253" s="286"/>
      <c r="Q253" s="286"/>
      <c r="R253" s="287"/>
      <c r="S253" s="286"/>
      <c r="T253" s="286"/>
      <c r="U253" s="286"/>
      <c r="V253" s="287"/>
      <c r="W253" s="288"/>
      <c r="X253" s="286"/>
      <c r="Y253" s="286"/>
      <c r="Z253" s="287"/>
      <c r="AA253" s="288"/>
      <c r="AB253" s="286"/>
      <c r="AC253" s="294"/>
      <c r="AD253" s="289"/>
      <c r="AE253" s="290"/>
      <c r="AF253" s="289"/>
      <c r="AG253" s="290"/>
      <c r="AH253" s="284"/>
      <c r="AI253" s="147"/>
      <c r="AJ253" s="291"/>
      <c r="AK253" s="292"/>
    </row>
    <row r="254" spans="1:37">
      <c r="A254" s="281"/>
      <c r="B254" s="281"/>
      <c r="C254" s="282"/>
      <c r="D254" s="282"/>
      <c r="E254" s="282"/>
      <c r="F254" s="283"/>
      <c r="G254" s="284"/>
      <c r="H254" s="147"/>
      <c r="I254" s="285"/>
      <c r="J254" s="288"/>
      <c r="K254" s="287"/>
      <c r="L254" s="288"/>
      <c r="M254" s="286"/>
      <c r="N254" s="287"/>
      <c r="O254" s="288"/>
      <c r="P254" s="286"/>
      <c r="Q254" s="286"/>
      <c r="R254" s="287"/>
      <c r="S254" s="286"/>
      <c r="T254" s="286"/>
      <c r="U254" s="286"/>
      <c r="V254" s="287"/>
      <c r="W254" s="288"/>
      <c r="X254" s="286"/>
      <c r="Y254" s="286"/>
      <c r="Z254" s="287"/>
      <c r="AA254" s="288"/>
      <c r="AB254" s="286"/>
      <c r="AC254" s="294"/>
      <c r="AD254" s="289"/>
      <c r="AE254" s="290"/>
      <c r="AF254" s="289"/>
      <c r="AG254" s="290"/>
      <c r="AH254" s="284"/>
      <c r="AI254" s="147"/>
      <c r="AJ254" s="291"/>
      <c r="AK254" s="292"/>
    </row>
    <row r="255" spans="1:37">
      <c r="A255" s="281"/>
      <c r="B255" s="281"/>
      <c r="C255" s="282"/>
      <c r="D255" s="282"/>
      <c r="E255" s="282"/>
      <c r="F255" s="283"/>
      <c r="G255" s="284"/>
      <c r="H255" s="147"/>
      <c r="I255" s="285"/>
      <c r="J255" s="288"/>
      <c r="K255" s="287"/>
      <c r="L255" s="288"/>
      <c r="M255" s="286"/>
      <c r="N255" s="287"/>
      <c r="O255" s="288"/>
      <c r="P255" s="286"/>
      <c r="Q255" s="286"/>
      <c r="R255" s="287"/>
      <c r="S255" s="286"/>
      <c r="T255" s="286"/>
      <c r="U255" s="286"/>
      <c r="V255" s="287"/>
      <c r="W255" s="288"/>
      <c r="X255" s="286"/>
      <c r="Y255" s="286"/>
      <c r="Z255" s="287"/>
      <c r="AA255" s="288"/>
      <c r="AB255" s="286"/>
      <c r="AC255" s="294"/>
      <c r="AD255" s="289"/>
      <c r="AE255" s="290"/>
      <c r="AF255" s="289"/>
      <c r="AG255" s="290"/>
      <c r="AH255" s="284"/>
      <c r="AI255" s="147"/>
      <c r="AJ255" s="291"/>
      <c r="AK255" s="292"/>
    </row>
    <row r="256" spans="1:37">
      <c r="A256" s="281"/>
      <c r="B256" s="281"/>
      <c r="C256" s="282"/>
      <c r="D256" s="282"/>
      <c r="E256" s="282"/>
      <c r="F256" s="283"/>
      <c r="G256" s="284"/>
      <c r="H256" s="147"/>
      <c r="I256" s="285"/>
      <c r="J256" s="288"/>
      <c r="K256" s="287"/>
      <c r="L256" s="288"/>
      <c r="M256" s="286"/>
      <c r="N256" s="287"/>
      <c r="O256" s="288"/>
      <c r="P256" s="286"/>
      <c r="Q256" s="286"/>
      <c r="R256" s="287"/>
      <c r="S256" s="286"/>
      <c r="T256" s="286"/>
      <c r="U256" s="286"/>
      <c r="V256" s="287"/>
      <c r="W256" s="288"/>
      <c r="X256" s="286"/>
      <c r="Y256" s="286"/>
      <c r="Z256" s="287"/>
      <c r="AA256" s="288"/>
      <c r="AB256" s="286"/>
      <c r="AC256" s="294"/>
      <c r="AD256" s="289"/>
      <c r="AE256" s="290"/>
      <c r="AF256" s="289"/>
      <c r="AG256" s="290"/>
      <c r="AH256" s="284"/>
      <c r="AI256" s="147"/>
      <c r="AJ256" s="291"/>
      <c r="AK256" s="292"/>
    </row>
    <row r="257" spans="1:37">
      <c r="A257" s="281"/>
      <c r="B257" s="281"/>
      <c r="C257" s="282"/>
      <c r="D257" s="282"/>
      <c r="E257" s="282"/>
      <c r="F257" s="283"/>
      <c r="G257" s="284"/>
      <c r="H257" s="147"/>
      <c r="I257" s="285"/>
      <c r="J257" s="288"/>
      <c r="K257" s="287"/>
      <c r="L257" s="288"/>
      <c r="M257" s="286"/>
      <c r="N257" s="287"/>
      <c r="O257" s="288"/>
      <c r="P257" s="286"/>
      <c r="Q257" s="286"/>
      <c r="R257" s="287"/>
      <c r="S257" s="286"/>
      <c r="T257" s="286"/>
      <c r="U257" s="286"/>
      <c r="V257" s="287"/>
      <c r="W257" s="288"/>
      <c r="X257" s="286"/>
      <c r="Y257" s="286"/>
      <c r="Z257" s="287"/>
      <c r="AA257" s="288"/>
      <c r="AB257" s="286"/>
      <c r="AC257" s="294"/>
      <c r="AD257" s="289"/>
      <c r="AE257" s="290"/>
      <c r="AF257" s="289"/>
      <c r="AG257" s="290"/>
      <c r="AH257" s="284"/>
      <c r="AI257" s="147"/>
      <c r="AJ257" s="291"/>
      <c r="AK257" s="292"/>
    </row>
    <row r="258" spans="1:37">
      <c r="A258" s="281"/>
      <c r="B258" s="281"/>
      <c r="C258" s="282"/>
      <c r="D258" s="282"/>
      <c r="E258" s="282"/>
      <c r="F258" s="283"/>
      <c r="G258" s="284"/>
      <c r="H258" s="147"/>
      <c r="I258" s="285"/>
      <c r="J258" s="288"/>
      <c r="K258" s="287"/>
      <c r="L258" s="288"/>
      <c r="M258" s="286"/>
      <c r="N258" s="287"/>
      <c r="O258" s="288"/>
      <c r="P258" s="286"/>
      <c r="Q258" s="286"/>
      <c r="R258" s="287"/>
      <c r="S258" s="286"/>
      <c r="T258" s="286"/>
      <c r="U258" s="286"/>
      <c r="V258" s="287"/>
      <c r="W258" s="288"/>
      <c r="X258" s="286"/>
      <c r="Y258" s="286"/>
      <c r="Z258" s="287"/>
      <c r="AA258" s="288"/>
      <c r="AB258" s="286"/>
      <c r="AC258" s="294"/>
      <c r="AD258" s="289"/>
      <c r="AE258" s="290"/>
      <c r="AF258" s="289"/>
      <c r="AG258" s="290"/>
      <c r="AH258" s="284"/>
      <c r="AI258" s="147"/>
      <c r="AJ258" s="291"/>
      <c r="AK258" s="292"/>
    </row>
    <row r="259" spans="1:37">
      <c r="A259" s="281"/>
      <c r="B259" s="281"/>
      <c r="C259" s="282"/>
      <c r="D259" s="282"/>
      <c r="E259" s="282"/>
      <c r="F259" s="283"/>
      <c r="G259" s="284"/>
      <c r="H259" s="147"/>
      <c r="I259" s="285"/>
      <c r="J259" s="288"/>
      <c r="K259" s="287"/>
      <c r="L259" s="288"/>
      <c r="M259" s="286"/>
      <c r="N259" s="287"/>
      <c r="O259" s="288"/>
      <c r="P259" s="286"/>
      <c r="Q259" s="286"/>
      <c r="R259" s="287"/>
      <c r="S259" s="286"/>
      <c r="T259" s="286"/>
      <c r="U259" s="286"/>
      <c r="V259" s="287"/>
      <c r="W259" s="288"/>
      <c r="X259" s="286"/>
      <c r="Y259" s="286"/>
      <c r="Z259" s="287"/>
      <c r="AA259" s="288"/>
      <c r="AB259" s="286"/>
      <c r="AC259" s="294"/>
      <c r="AD259" s="289"/>
      <c r="AE259" s="290"/>
      <c r="AF259" s="289"/>
      <c r="AG259" s="290"/>
      <c r="AH259" s="284"/>
      <c r="AI259" s="147"/>
      <c r="AJ259" s="291"/>
      <c r="AK259" s="292"/>
    </row>
    <row r="260" spans="1:37">
      <c r="A260" s="281"/>
      <c r="B260" s="281"/>
      <c r="C260" s="282"/>
      <c r="D260" s="282"/>
      <c r="E260" s="282"/>
      <c r="F260" s="283"/>
      <c r="G260" s="284"/>
      <c r="H260" s="147"/>
      <c r="I260" s="285"/>
      <c r="J260" s="288"/>
      <c r="K260" s="287"/>
      <c r="L260" s="288"/>
      <c r="M260" s="286"/>
      <c r="N260" s="287"/>
      <c r="O260" s="288"/>
      <c r="P260" s="286"/>
      <c r="Q260" s="286"/>
      <c r="R260" s="287"/>
      <c r="S260" s="286"/>
      <c r="T260" s="286"/>
      <c r="U260" s="286"/>
      <c r="V260" s="287"/>
      <c r="W260" s="288"/>
      <c r="X260" s="286"/>
      <c r="Y260" s="286"/>
      <c r="Z260" s="287"/>
      <c r="AA260" s="288"/>
      <c r="AB260" s="286"/>
      <c r="AC260" s="294"/>
      <c r="AD260" s="289"/>
      <c r="AE260" s="290"/>
      <c r="AF260" s="289"/>
      <c r="AG260" s="290"/>
      <c r="AH260" s="284"/>
      <c r="AI260" s="147"/>
      <c r="AJ260" s="291"/>
      <c r="AK260" s="292"/>
    </row>
    <row r="261" spans="1:37">
      <c r="A261" s="281"/>
      <c r="B261" s="281"/>
      <c r="C261" s="282"/>
      <c r="D261" s="282"/>
      <c r="E261" s="282"/>
      <c r="F261" s="283"/>
      <c r="G261" s="284"/>
      <c r="H261" s="147"/>
      <c r="I261" s="285"/>
      <c r="J261" s="288"/>
      <c r="K261" s="287"/>
      <c r="L261" s="288"/>
      <c r="M261" s="286"/>
      <c r="N261" s="287"/>
      <c r="O261" s="288"/>
      <c r="P261" s="286"/>
      <c r="Q261" s="286"/>
      <c r="R261" s="287"/>
      <c r="S261" s="286"/>
      <c r="T261" s="286"/>
      <c r="U261" s="286"/>
      <c r="V261" s="287"/>
      <c r="W261" s="288"/>
      <c r="X261" s="286"/>
      <c r="Y261" s="286"/>
      <c r="Z261" s="287"/>
      <c r="AA261" s="288"/>
      <c r="AB261" s="286"/>
      <c r="AC261" s="294"/>
      <c r="AD261" s="289"/>
      <c r="AE261" s="290"/>
      <c r="AF261" s="289"/>
      <c r="AG261" s="290"/>
      <c r="AH261" s="284"/>
      <c r="AI261" s="147"/>
      <c r="AJ261" s="291"/>
      <c r="AK261" s="292"/>
    </row>
    <row r="262" spans="1:37">
      <c r="A262" s="281"/>
      <c r="B262" s="281"/>
      <c r="C262" s="282"/>
      <c r="D262" s="282"/>
      <c r="E262" s="282"/>
      <c r="F262" s="283"/>
      <c r="G262" s="284"/>
      <c r="H262" s="147"/>
      <c r="I262" s="285"/>
      <c r="J262" s="288"/>
      <c r="K262" s="287"/>
      <c r="L262" s="288"/>
      <c r="M262" s="286"/>
      <c r="N262" s="287"/>
      <c r="O262" s="288"/>
      <c r="P262" s="286"/>
      <c r="Q262" s="286"/>
      <c r="R262" s="287"/>
      <c r="S262" s="286"/>
      <c r="T262" s="286"/>
      <c r="U262" s="286"/>
      <c r="V262" s="287"/>
      <c r="W262" s="288"/>
      <c r="X262" s="286"/>
      <c r="Y262" s="286"/>
      <c r="Z262" s="287"/>
      <c r="AA262" s="288"/>
      <c r="AB262" s="286"/>
      <c r="AC262" s="294"/>
      <c r="AD262" s="289"/>
      <c r="AE262" s="290"/>
      <c r="AF262" s="289"/>
      <c r="AG262" s="290"/>
      <c r="AH262" s="284"/>
      <c r="AI262" s="147"/>
      <c r="AJ262" s="291"/>
      <c r="AK262" s="292"/>
    </row>
    <row r="263" spans="1:37">
      <c r="A263" s="281"/>
      <c r="B263" s="281"/>
      <c r="C263" s="282"/>
      <c r="D263" s="282"/>
      <c r="E263" s="282"/>
      <c r="F263" s="283"/>
      <c r="G263" s="284"/>
      <c r="H263" s="147"/>
      <c r="I263" s="285"/>
      <c r="J263" s="288"/>
      <c r="K263" s="287"/>
      <c r="L263" s="288"/>
      <c r="M263" s="286"/>
      <c r="N263" s="287"/>
      <c r="O263" s="288"/>
      <c r="P263" s="286"/>
      <c r="Q263" s="286"/>
      <c r="R263" s="287"/>
      <c r="S263" s="286"/>
      <c r="T263" s="286"/>
      <c r="U263" s="286"/>
      <c r="V263" s="287"/>
      <c r="W263" s="288"/>
      <c r="X263" s="286"/>
      <c r="Y263" s="286"/>
      <c r="Z263" s="287"/>
      <c r="AA263" s="288"/>
      <c r="AB263" s="286"/>
      <c r="AC263" s="294"/>
      <c r="AD263" s="289"/>
      <c r="AE263" s="290"/>
      <c r="AF263" s="289"/>
      <c r="AG263" s="290"/>
      <c r="AH263" s="284"/>
      <c r="AI263" s="147"/>
      <c r="AJ263" s="291"/>
      <c r="AK263" s="292"/>
    </row>
    <row r="264" spans="1:37">
      <c r="A264" s="281"/>
      <c r="B264" s="281"/>
      <c r="C264" s="282"/>
      <c r="D264" s="282"/>
      <c r="E264" s="282"/>
      <c r="F264" s="283"/>
      <c r="G264" s="284"/>
      <c r="H264" s="147"/>
      <c r="I264" s="285"/>
      <c r="J264" s="288"/>
      <c r="K264" s="287"/>
      <c r="L264" s="288"/>
      <c r="M264" s="286"/>
      <c r="N264" s="287"/>
      <c r="O264" s="288"/>
      <c r="P264" s="286"/>
      <c r="Q264" s="286"/>
      <c r="R264" s="287"/>
      <c r="S264" s="286"/>
      <c r="T264" s="286"/>
      <c r="U264" s="286"/>
      <c r="V264" s="287"/>
      <c r="W264" s="288"/>
      <c r="X264" s="286"/>
      <c r="Y264" s="286"/>
      <c r="Z264" s="287"/>
      <c r="AA264" s="288"/>
      <c r="AB264" s="286"/>
      <c r="AC264" s="294"/>
      <c r="AD264" s="289"/>
      <c r="AE264" s="290"/>
      <c r="AF264" s="289"/>
      <c r="AG264" s="290"/>
      <c r="AH264" s="284"/>
      <c r="AI264" s="147"/>
      <c r="AJ264" s="291"/>
      <c r="AK264" s="292"/>
    </row>
    <row r="265" spans="1:37">
      <c r="A265" s="281"/>
      <c r="B265" s="281"/>
      <c r="C265" s="282"/>
      <c r="D265" s="282"/>
      <c r="E265" s="282"/>
      <c r="F265" s="283"/>
      <c r="G265" s="284"/>
      <c r="H265" s="147"/>
      <c r="I265" s="285"/>
      <c r="J265" s="288"/>
      <c r="K265" s="287"/>
      <c r="L265" s="288"/>
      <c r="M265" s="286"/>
      <c r="N265" s="287"/>
      <c r="O265" s="288"/>
      <c r="P265" s="286"/>
      <c r="Q265" s="286"/>
      <c r="R265" s="287"/>
      <c r="S265" s="286"/>
      <c r="T265" s="286"/>
      <c r="U265" s="286"/>
      <c r="V265" s="287"/>
      <c r="W265" s="288"/>
      <c r="X265" s="286"/>
      <c r="Y265" s="286"/>
      <c r="Z265" s="287"/>
      <c r="AA265" s="288"/>
      <c r="AB265" s="286"/>
      <c r="AC265" s="294"/>
      <c r="AD265" s="289"/>
      <c r="AE265" s="290"/>
      <c r="AF265" s="289"/>
      <c r="AG265" s="290"/>
      <c r="AH265" s="284"/>
      <c r="AI265" s="147"/>
      <c r="AJ265" s="291"/>
      <c r="AK265" s="292"/>
    </row>
    <row r="266" spans="1:37">
      <c r="A266" s="281"/>
      <c r="B266" s="281"/>
      <c r="C266" s="282"/>
      <c r="D266" s="282"/>
      <c r="E266" s="282"/>
      <c r="F266" s="283"/>
      <c r="G266" s="284"/>
      <c r="H266" s="147"/>
      <c r="I266" s="285"/>
      <c r="J266" s="288"/>
      <c r="K266" s="287"/>
      <c r="L266" s="288"/>
      <c r="M266" s="286"/>
      <c r="N266" s="287"/>
      <c r="O266" s="288"/>
      <c r="P266" s="286"/>
      <c r="Q266" s="286"/>
      <c r="R266" s="287"/>
      <c r="S266" s="286"/>
      <c r="T266" s="286"/>
      <c r="U266" s="286"/>
      <c r="V266" s="287"/>
      <c r="W266" s="288"/>
      <c r="X266" s="286"/>
      <c r="Y266" s="286"/>
      <c r="Z266" s="287"/>
      <c r="AA266" s="288"/>
      <c r="AB266" s="286"/>
      <c r="AC266" s="294"/>
      <c r="AD266" s="289"/>
      <c r="AE266" s="290"/>
      <c r="AF266" s="289"/>
      <c r="AG266" s="290"/>
      <c r="AH266" s="284"/>
      <c r="AI266" s="147"/>
      <c r="AJ266" s="291"/>
      <c r="AK266" s="292"/>
    </row>
    <row r="267" spans="1:37">
      <c r="A267" s="281"/>
      <c r="B267" s="281"/>
      <c r="C267" s="282"/>
      <c r="D267" s="282"/>
      <c r="E267" s="282"/>
      <c r="F267" s="283"/>
      <c r="G267" s="284"/>
      <c r="H267" s="147"/>
      <c r="I267" s="285"/>
      <c r="J267" s="288"/>
      <c r="K267" s="287"/>
      <c r="L267" s="288"/>
      <c r="M267" s="286"/>
      <c r="N267" s="287"/>
      <c r="O267" s="288"/>
      <c r="P267" s="286"/>
      <c r="Q267" s="286"/>
      <c r="R267" s="287"/>
      <c r="S267" s="286"/>
      <c r="T267" s="286"/>
      <c r="U267" s="286"/>
      <c r="V267" s="287"/>
      <c r="W267" s="288"/>
      <c r="X267" s="286"/>
      <c r="Y267" s="286"/>
      <c r="Z267" s="287"/>
      <c r="AA267" s="288"/>
      <c r="AB267" s="286"/>
      <c r="AC267" s="294"/>
      <c r="AD267" s="289"/>
      <c r="AE267" s="290"/>
      <c r="AF267" s="289"/>
      <c r="AG267" s="290"/>
      <c r="AH267" s="284"/>
      <c r="AI267" s="147"/>
      <c r="AJ267" s="291"/>
      <c r="AK267" s="292"/>
    </row>
    <row r="268" spans="1:37">
      <c r="A268" s="281"/>
      <c r="B268" s="281"/>
      <c r="C268" s="282"/>
      <c r="D268" s="282"/>
      <c r="E268" s="282"/>
      <c r="F268" s="283"/>
      <c r="G268" s="284"/>
      <c r="H268" s="147"/>
      <c r="I268" s="285"/>
      <c r="J268" s="288"/>
      <c r="K268" s="287"/>
      <c r="L268" s="288"/>
      <c r="M268" s="286"/>
      <c r="N268" s="287"/>
      <c r="O268" s="288"/>
      <c r="P268" s="286"/>
      <c r="Q268" s="286"/>
      <c r="R268" s="287"/>
      <c r="S268" s="286"/>
      <c r="T268" s="286"/>
      <c r="U268" s="286"/>
      <c r="V268" s="287"/>
      <c r="W268" s="288"/>
      <c r="X268" s="286"/>
      <c r="Y268" s="286"/>
      <c r="Z268" s="287"/>
      <c r="AA268" s="288"/>
      <c r="AB268" s="286"/>
      <c r="AC268" s="294"/>
      <c r="AD268" s="289"/>
      <c r="AE268" s="290"/>
      <c r="AF268" s="289"/>
      <c r="AG268" s="290"/>
      <c r="AH268" s="284"/>
      <c r="AI268" s="147"/>
      <c r="AJ268" s="291"/>
      <c r="AK268" s="292"/>
    </row>
    <row r="269" spans="1:37">
      <c r="A269" s="281"/>
      <c r="B269" s="281"/>
      <c r="C269" s="282"/>
      <c r="D269" s="282"/>
      <c r="E269" s="282"/>
      <c r="F269" s="283"/>
      <c r="G269" s="284"/>
      <c r="H269" s="147"/>
      <c r="I269" s="285"/>
      <c r="J269" s="288"/>
      <c r="K269" s="287"/>
      <c r="L269" s="288"/>
      <c r="M269" s="286"/>
      <c r="N269" s="287"/>
      <c r="O269" s="288"/>
      <c r="P269" s="286"/>
      <c r="Q269" s="286"/>
      <c r="R269" s="287"/>
      <c r="S269" s="286"/>
      <c r="T269" s="286"/>
      <c r="U269" s="286"/>
      <c r="V269" s="287"/>
      <c r="W269" s="288"/>
      <c r="X269" s="286"/>
      <c r="Y269" s="286"/>
      <c r="Z269" s="287"/>
      <c r="AA269" s="288"/>
      <c r="AB269" s="286"/>
      <c r="AC269" s="294"/>
      <c r="AD269" s="289"/>
      <c r="AE269" s="290"/>
      <c r="AF269" s="289"/>
      <c r="AG269" s="290"/>
      <c r="AH269" s="284"/>
      <c r="AI269" s="147"/>
      <c r="AJ269" s="291"/>
      <c r="AK269" s="292"/>
    </row>
    <row r="270" spans="1:37">
      <c r="A270" s="281"/>
      <c r="B270" s="281"/>
      <c r="C270" s="282"/>
      <c r="D270" s="282"/>
      <c r="E270" s="282"/>
      <c r="F270" s="283"/>
      <c r="G270" s="284"/>
      <c r="H270" s="147"/>
      <c r="I270" s="285"/>
      <c r="J270" s="288"/>
      <c r="K270" s="287"/>
      <c r="L270" s="288"/>
      <c r="M270" s="286"/>
      <c r="N270" s="287"/>
      <c r="O270" s="288"/>
      <c r="P270" s="286"/>
      <c r="Q270" s="286"/>
      <c r="R270" s="287"/>
      <c r="S270" s="286"/>
      <c r="T270" s="286"/>
      <c r="U270" s="286"/>
      <c r="V270" s="287"/>
      <c r="W270" s="288"/>
      <c r="X270" s="286"/>
      <c r="Y270" s="286"/>
      <c r="Z270" s="287"/>
      <c r="AA270" s="288"/>
      <c r="AB270" s="286"/>
      <c r="AC270" s="294"/>
      <c r="AD270" s="289"/>
      <c r="AE270" s="290"/>
      <c r="AF270" s="289"/>
      <c r="AG270" s="290"/>
      <c r="AH270" s="284"/>
      <c r="AI270" s="147"/>
      <c r="AJ270" s="291"/>
      <c r="AK270" s="292"/>
    </row>
    <row r="271" spans="1:37">
      <c r="A271" s="281"/>
      <c r="B271" s="281"/>
      <c r="C271" s="282"/>
      <c r="D271" s="282"/>
      <c r="E271" s="282"/>
      <c r="F271" s="283"/>
      <c r="G271" s="284"/>
      <c r="H271" s="147"/>
      <c r="I271" s="285"/>
      <c r="J271" s="288"/>
      <c r="K271" s="287"/>
      <c r="L271" s="288"/>
      <c r="M271" s="286"/>
      <c r="N271" s="287"/>
      <c r="O271" s="288"/>
      <c r="P271" s="286"/>
      <c r="Q271" s="286"/>
      <c r="R271" s="287"/>
      <c r="S271" s="286"/>
      <c r="T271" s="286"/>
      <c r="U271" s="286"/>
      <c r="V271" s="287"/>
      <c r="W271" s="288"/>
      <c r="X271" s="286"/>
      <c r="Y271" s="286"/>
      <c r="Z271" s="287"/>
      <c r="AA271" s="288"/>
      <c r="AB271" s="286"/>
      <c r="AC271" s="294"/>
      <c r="AD271" s="289"/>
      <c r="AE271" s="290"/>
      <c r="AF271" s="289"/>
      <c r="AG271" s="290"/>
      <c r="AH271" s="284"/>
      <c r="AI271" s="147"/>
      <c r="AJ271" s="291"/>
      <c r="AK271" s="292"/>
    </row>
    <row r="272" spans="1:37">
      <c r="A272" s="281"/>
      <c r="B272" s="281"/>
      <c r="C272" s="282"/>
      <c r="D272" s="282"/>
      <c r="E272" s="282"/>
      <c r="F272" s="283"/>
      <c r="G272" s="284"/>
      <c r="H272" s="147"/>
      <c r="I272" s="285"/>
      <c r="J272" s="288"/>
      <c r="K272" s="287"/>
      <c r="L272" s="288"/>
      <c r="M272" s="286"/>
      <c r="N272" s="287"/>
      <c r="O272" s="288"/>
      <c r="P272" s="286"/>
      <c r="Q272" s="286"/>
      <c r="R272" s="287"/>
      <c r="S272" s="286"/>
      <c r="T272" s="286"/>
      <c r="U272" s="286"/>
      <c r="V272" s="287"/>
      <c r="W272" s="288"/>
      <c r="X272" s="286"/>
      <c r="Y272" s="286"/>
      <c r="Z272" s="287"/>
      <c r="AA272" s="288"/>
      <c r="AB272" s="286"/>
      <c r="AC272" s="294"/>
      <c r="AD272" s="289"/>
      <c r="AE272" s="290"/>
      <c r="AF272" s="289"/>
      <c r="AG272" s="290"/>
      <c r="AH272" s="284"/>
      <c r="AI272" s="147"/>
      <c r="AJ272" s="291"/>
      <c r="AK272" s="292"/>
    </row>
    <row r="273" spans="1:37">
      <c r="A273" s="281"/>
      <c r="B273" s="281"/>
      <c r="C273" s="282"/>
      <c r="D273" s="282"/>
      <c r="E273" s="282"/>
      <c r="F273" s="283"/>
      <c r="G273" s="284"/>
      <c r="H273" s="147"/>
      <c r="I273" s="285"/>
      <c r="J273" s="288"/>
      <c r="K273" s="287"/>
      <c r="L273" s="288"/>
      <c r="M273" s="286"/>
      <c r="N273" s="287"/>
      <c r="O273" s="288"/>
      <c r="P273" s="286"/>
      <c r="Q273" s="286"/>
      <c r="R273" s="287"/>
      <c r="S273" s="286"/>
      <c r="T273" s="286"/>
      <c r="U273" s="286"/>
      <c r="V273" s="287"/>
      <c r="W273" s="288"/>
      <c r="X273" s="286"/>
      <c r="Y273" s="286"/>
      <c r="Z273" s="287"/>
      <c r="AA273" s="288"/>
      <c r="AB273" s="286"/>
      <c r="AC273" s="294"/>
      <c r="AD273" s="289"/>
      <c r="AE273" s="290"/>
      <c r="AF273" s="289"/>
      <c r="AG273" s="290"/>
      <c r="AH273" s="284"/>
      <c r="AI273" s="147"/>
      <c r="AJ273" s="291"/>
      <c r="AK273" s="292"/>
    </row>
    <row r="274" spans="1:37">
      <c r="A274" s="281"/>
      <c r="B274" s="281"/>
      <c r="C274" s="282"/>
      <c r="D274" s="282"/>
      <c r="E274" s="282"/>
      <c r="F274" s="283"/>
      <c r="G274" s="284"/>
      <c r="H274" s="147"/>
      <c r="I274" s="285"/>
      <c r="J274" s="288"/>
      <c r="K274" s="287"/>
      <c r="L274" s="288"/>
      <c r="M274" s="286"/>
      <c r="N274" s="287"/>
      <c r="O274" s="288"/>
      <c r="P274" s="286"/>
      <c r="Q274" s="286"/>
      <c r="R274" s="287"/>
      <c r="S274" s="286"/>
      <c r="T274" s="286"/>
      <c r="U274" s="286"/>
      <c r="V274" s="287"/>
      <c r="W274" s="288"/>
      <c r="X274" s="286"/>
      <c r="Y274" s="286"/>
      <c r="Z274" s="287"/>
      <c r="AA274" s="288"/>
      <c r="AB274" s="286"/>
      <c r="AC274" s="294"/>
      <c r="AD274" s="289"/>
      <c r="AE274" s="290"/>
      <c r="AF274" s="289"/>
      <c r="AG274" s="290"/>
      <c r="AH274" s="284"/>
      <c r="AI274" s="147"/>
      <c r="AJ274" s="291"/>
      <c r="AK274" s="292"/>
    </row>
    <row r="275" spans="1:37">
      <c r="A275" s="281"/>
      <c r="B275" s="281"/>
      <c r="C275" s="282"/>
      <c r="D275" s="282"/>
      <c r="E275" s="282"/>
      <c r="F275" s="283"/>
      <c r="G275" s="284"/>
      <c r="H275" s="147"/>
      <c r="I275" s="285"/>
      <c r="J275" s="288"/>
      <c r="K275" s="287"/>
      <c r="L275" s="288"/>
      <c r="M275" s="286"/>
      <c r="N275" s="287"/>
      <c r="O275" s="288"/>
      <c r="P275" s="286"/>
      <c r="Q275" s="286"/>
      <c r="R275" s="287"/>
      <c r="S275" s="286"/>
      <c r="T275" s="286"/>
      <c r="U275" s="286"/>
      <c r="V275" s="287"/>
      <c r="W275" s="288"/>
      <c r="X275" s="286"/>
      <c r="Y275" s="286"/>
      <c r="Z275" s="287"/>
      <c r="AA275" s="288"/>
      <c r="AB275" s="286"/>
      <c r="AC275" s="294"/>
      <c r="AD275" s="289"/>
      <c r="AE275" s="290"/>
      <c r="AF275" s="289"/>
      <c r="AG275" s="290"/>
      <c r="AH275" s="284"/>
      <c r="AI275" s="147"/>
      <c r="AJ275" s="291"/>
      <c r="AK275" s="292"/>
    </row>
    <row r="276" spans="1:37">
      <c r="A276" s="281"/>
      <c r="B276" s="281"/>
      <c r="C276" s="282"/>
      <c r="D276" s="282"/>
      <c r="E276" s="282"/>
      <c r="F276" s="283"/>
      <c r="G276" s="284"/>
      <c r="H276" s="147"/>
      <c r="I276" s="285"/>
      <c r="J276" s="288"/>
      <c r="K276" s="287"/>
      <c r="L276" s="288"/>
      <c r="M276" s="286"/>
      <c r="N276" s="287"/>
      <c r="O276" s="288"/>
      <c r="P276" s="286"/>
      <c r="Q276" s="286"/>
      <c r="R276" s="287"/>
      <c r="S276" s="286"/>
      <c r="T276" s="286"/>
      <c r="U276" s="286"/>
      <c r="V276" s="287"/>
      <c r="W276" s="288"/>
      <c r="X276" s="286"/>
      <c r="Y276" s="286"/>
      <c r="Z276" s="287"/>
      <c r="AA276" s="288"/>
      <c r="AB276" s="286"/>
      <c r="AC276" s="294"/>
      <c r="AD276" s="289"/>
      <c r="AE276" s="290"/>
      <c r="AF276" s="289"/>
      <c r="AG276" s="290"/>
      <c r="AH276" s="284"/>
      <c r="AI276" s="147"/>
      <c r="AJ276" s="291"/>
      <c r="AK276" s="292"/>
    </row>
    <row r="277" spans="1:37">
      <c r="A277" s="281"/>
      <c r="B277" s="281"/>
      <c r="C277" s="282"/>
      <c r="D277" s="282"/>
      <c r="E277" s="282"/>
      <c r="F277" s="283"/>
      <c r="G277" s="284"/>
      <c r="H277" s="147"/>
      <c r="I277" s="285"/>
      <c r="J277" s="288"/>
      <c r="K277" s="287"/>
      <c r="L277" s="288"/>
      <c r="M277" s="286"/>
      <c r="N277" s="287"/>
      <c r="O277" s="288"/>
      <c r="P277" s="286"/>
      <c r="Q277" s="286"/>
      <c r="R277" s="287"/>
      <c r="S277" s="286"/>
      <c r="T277" s="286"/>
      <c r="U277" s="286"/>
      <c r="V277" s="287"/>
      <c r="W277" s="288"/>
      <c r="X277" s="286"/>
      <c r="Y277" s="286"/>
      <c r="Z277" s="287"/>
      <c r="AA277" s="288"/>
      <c r="AB277" s="286"/>
      <c r="AC277" s="294"/>
      <c r="AD277" s="289"/>
      <c r="AE277" s="290"/>
      <c r="AF277" s="289"/>
      <c r="AG277" s="290"/>
      <c r="AH277" s="284"/>
      <c r="AI277" s="147"/>
      <c r="AJ277" s="291"/>
      <c r="AK277" s="292"/>
    </row>
    <row r="278" spans="1:37">
      <c r="A278" s="281"/>
      <c r="B278" s="281"/>
      <c r="C278" s="282"/>
      <c r="D278" s="282"/>
      <c r="E278" s="282"/>
      <c r="F278" s="283"/>
      <c r="G278" s="284"/>
      <c r="H278" s="147"/>
      <c r="I278" s="285"/>
      <c r="J278" s="288"/>
      <c r="K278" s="287"/>
      <c r="L278" s="288"/>
      <c r="M278" s="286"/>
      <c r="N278" s="287"/>
      <c r="O278" s="288"/>
      <c r="P278" s="286"/>
      <c r="Q278" s="286"/>
      <c r="R278" s="287"/>
      <c r="S278" s="286"/>
      <c r="T278" s="286"/>
      <c r="U278" s="286"/>
      <c r="V278" s="287"/>
      <c r="W278" s="288"/>
      <c r="X278" s="286"/>
      <c r="Y278" s="286"/>
      <c r="Z278" s="287"/>
      <c r="AA278" s="288"/>
      <c r="AB278" s="286"/>
      <c r="AC278" s="294"/>
      <c r="AD278" s="289"/>
      <c r="AE278" s="290"/>
      <c r="AF278" s="289"/>
      <c r="AG278" s="290"/>
      <c r="AH278" s="284"/>
      <c r="AI278" s="147"/>
      <c r="AJ278" s="291"/>
      <c r="AK278" s="292"/>
    </row>
    <row r="279" spans="1:37">
      <c r="A279" s="281"/>
      <c r="B279" s="281"/>
      <c r="C279" s="282"/>
      <c r="D279" s="282"/>
      <c r="E279" s="282"/>
      <c r="F279" s="283"/>
      <c r="G279" s="284"/>
      <c r="H279" s="147"/>
      <c r="I279" s="285"/>
      <c r="J279" s="288"/>
      <c r="K279" s="287"/>
      <c r="L279" s="288"/>
      <c r="M279" s="286"/>
      <c r="N279" s="287"/>
      <c r="O279" s="288"/>
      <c r="P279" s="286"/>
      <c r="Q279" s="286"/>
      <c r="R279" s="287"/>
      <c r="S279" s="286"/>
      <c r="T279" s="286"/>
      <c r="U279" s="286"/>
      <c r="V279" s="287"/>
      <c r="W279" s="288"/>
      <c r="X279" s="286"/>
      <c r="Y279" s="286"/>
      <c r="Z279" s="287"/>
      <c r="AA279" s="288"/>
      <c r="AB279" s="286"/>
      <c r="AC279" s="294"/>
      <c r="AD279" s="289"/>
      <c r="AE279" s="290"/>
      <c r="AF279" s="289"/>
      <c r="AG279" s="290"/>
      <c r="AH279" s="284"/>
      <c r="AI279" s="147"/>
      <c r="AJ279" s="291"/>
      <c r="AK279" s="292"/>
    </row>
    <row r="280" spans="1:37">
      <c r="A280" s="281"/>
      <c r="B280" s="281"/>
      <c r="C280" s="282"/>
      <c r="D280" s="282"/>
      <c r="E280" s="282"/>
      <c r="F280" s="283"/>
      <c r="G280" s="284"/>
      <c r="H280" s="147"/>
      <c r="I280" s="285"/>
      <c r="J280" s="288"/>
      <c r="K280" s="287"/>
      <c r="L280" s="288"/>
      <c r="M280" s="286"/>
      <c r="N280" s="287"/>
      <c r="O280" s="288"/>
      <c r="P280" s="286"/>
      <c r="Q280" s="286"/>
      <c r="R280" s="287"/>
      <c r="S280" s="286"/>
      <c r="T280" s="286"/>
      <c r="U280" s="286"/>
      <c r="V280" s="287"/>
      <c r="W280" s="288"/>
      <c r="X280" s="286"/>
      <c r="Y280" s="286"/>
      <c r="Z280" s="287"/>
      <c r="AA280" s="288"/>
      <c r="AB280" s="286"/>
      <c r="AC280" s="294"/>
      <c r="AD280" s="289"/>
      <c r="AE280" s="290"/>
      <c r="AF280" s="289"/>
      <c r="AG280" s="290"/>
      <c r="AH280" s="284"/>
      <c r="AI280" s="147"/>
      <c r="AJ280" s="291"/>
      <c r="AK280" s="292"/>
    </row>
    <row r="281" spans="1:37">
      <c r="A281" s="281"/>
      <c r="B281" s="281"/>
      <c r="C281" s="282"/>
      <c r="D281" s="282"/>
      <c r="E281" s="282"/>
      <c r="F281" s="283"/>
      <c r="G281" s="284"/>
      <c r="H281" s="147"/>
      <c r="I281" s="285"/>
      <c r="J281" s="288"/>
      <c r="K281" s="287"/>
      <c r="L281" s="288"/>
      <c r="M281" s="286"/>
      <c r="N281" s="287"/>
      <c r="O281" s="288"/>
      <c r="P281" s="286"/>
      <c r="Q281" s="286"/>
      <c r="R281" s="287"/>
      <c r="S281" s="286"/>
      <c r="T281" s="286"/>
      <c r="U281" s="286"/>
      <c r="V281" s="287"/>
      <c r="W281" s="288"/>
      <c r="X281" s="286"/>
      <c r="Y281" s="286"/>
      <c r="Z281" s="287"/>
      <c r="AA281" s="288"/>
      <c r="AB281" s="286"/>
      <c r="AC281" s="294"/>
      <c r="AD281" s="289"/>
      <c r="AE281" s="290"/>
      <c r="AF281" s="289"/>
      <c r="AG281" s="290"/>
      <c r="AH281" s="284"/>
      <c r="AI281" s="147"/>
      <c r="AJ281" s="291"/>
      <c r="AK281" s="292"/>
    </row>
    <row r="282" spans="1:37">
      <c r="A282" s="281"/>
      <c r="B282" s="281"/>
      <c r="C282" s="282"/>
      <c r="D282" s="282"/>
      <c r="E282" s="282"/>
      <c r="F282" s="283"/>
      <c r="G282" s="284"/>
      <c r="H282" s="147"/>
      <c r="I282" s="285"/>
      <c r="J282" s="288"/>
      <c r="K282" s="287"/>
      <c r="L282" s="288"/>
      <c r="M282" s="286"/>
      <c r="N282" s="287"/>
      <c r="O282" s="288"/>
      <c r="P282" s="286"/>
      <c r="Q282" s="286"/>
      <c r="R282" s="287"/>
      <c r="S282" s="286"/>
      <c r="T282" s="286"/>
      <c r="U282" s="286"/>
      <c r="V282" s="287"/>
      <c r="W282" s="288"/>
      <c r="X282" s="286"/>
      <c r="Y282" s="286"/>
      <c r="Z282" s="287"/>
      <c r="AA282" s="288"/>
      <c r="AB282" s="286"/>
      <c r="AC282" s="294"/>
      <c r="AD282" s="289"/>
      <c r="AE282" s="290"/>
      <c r="AF282" s="289"/>
      <c r="AG282" s="290"/>
      <c r="AH282" s="284"/>
      <c r="AI282" s="147"/>
      <c r="AJ282" s="291"/>
      <c r="AK282" s="292"/>
    </row>
    <row r="283" spans="1:37">
      <c r="A283" s="281"/>
      <c r="B283" s="281"/>
      <c r="C283" s="282"/>
      <c r="D283" s="282"/>
      <c r="E283" s="282"/>
      <c r="F283" s="283"/>
      <c r="G283" s="284"/>
      <c r="H283" s="147"/>
      <c r="I283" s="285"/>
      <c r="J283" s="288"/>
      <c r="K283" s="287"/>
      <c r="L283" s="288"/>
      <c r="M283" s="286"/>
      <c r="N283" s="287"/>
      <c r="O283" s="288"/>
      <c r="P283" s="286"/>
      <c r="Q283" s="286"/>
      <c r="R283" s="287"/>
      <c r="S283" s="286"/>
      <c r="T283" s="286"/>
      <c r="U283" s="286"/>
      <c r="V283" s="287"/>
      <c r="W283" s="288"/>
      <c r="X283" s="286"/>
      <c r="Y283" s="286"/>
      <c r="Z283" s="287"/>
      <c r="AA283" s="288"/>
      <c r="AB283" s="286"/>
      <c r="AC283" s="294"/>
      <c r="AD283" s="289"/>
      <c r="AE283" s="290"/>
      <c r="AF283" s="289"/>
      <c r="AG283" s="290"/>
      <c r="AH283" s="284"/>
      <c r="AI283" s="147"/>
      <c r="AJ283" s="291"/>
      <c r="AK283" s="292"/>
    </row>
    <row r="284" spans="1:37">
      <c r="A284" s="281"/>
      <c r="B284" s="281"/>
      <c r="C284" s="282"/>
      <c r="D284" s="282"/>
      <c r="E284" s="282"/>
      <c r="F284" s="283"/>
      <c r="G284" s="284"/>
      <c r="H284" s="147"/>
      <c r="I284" s="285"/>
      <c r="J284" s="288"/>
      <c r="K284" s="287"/>
      <c r="L284" s="288"/>
      <c r="M284" s="286"/>
      <c r="N284" s="287"/>
      <c r="O284" s="288"/>
      <c r="P284" s="286"/>
      <c r="Q284" s="286"/>
      <c r="R284" s="287"/>
      <c r="S284" s="286"/>
      <c r="T284" s="286"/>
      <c r="U284" s="286"/>
      <c r="V284" s="287"/>
      <c r="W284" s="288"/>
      <c r="X284" s="286"/>
      <c r="Y284" s="286"/>
      <c r="Z284" s="287"/>
      <c r="AA284" s="288"/>
      <c r="AB284" s="286"/>
      <c r="AC284" s="294"/>
      <c r="AD284" s="289"/>
      <c r="AE284" s="290"/>
      <c r="AF284" s="289"/>
      <c r="AG284" s="290"/>
      <c r="AH284" s="284"/>
      <c r="AI284" s="147"/>
      <c r="AJ284" s="291"/>
      <c r="AK284" s="292"/>
    </row>
    <row r="285" spans="1:37">
      <c r="A285" s="281"/>
      <c r="B285" s="281"/>
      <c r="C285" s="282"/>
      <c r="D285" s="282"/>
      <c r="E285" s="282"/>
      <c r="F285" s="283"/>
      <c r="G285" s="284"/>
      <c r="H285" s="147"/>
      <c r="I285" s="285"/>
      <c r="J285" s="288"/>
      <c r="K285" s="287"/>
      <c r="L285" s="288"/>
      <c r="M285" s="286"/>
      <c r="N285" s="287"/>
      <c r="O285" s="288"/>
      <c r="P285" s="286"/>
      <c r="Q285" s="286"/>
      <c r="R285" s="287"/>
      <c r="S285" s="286"/>
      <c r="T285" s="286"/>
      <c r="U285" s="286"/>
      <c r="V285" s="287"/>
      <c r="W285" s="288"/>
      <c r="X285" s="286"/>
      <c r="Y285" s="286"/>
      <c r="Z285" s="287"/>
      <c r="AA285" s="288"/>
      <c r="AB285" s="286"/>
      <c r="AC285" s="294"/>
      <c r="AD285" s="289"/>
      <c r="AE285" s="290"/>
      <c r="AF285" s="289"/>
      <c r="AG285" s="290"/>
      <c r="AH285" s="284"/>
      <c r="AI285" s="147"/>
      <c r="AJ285" s="291"/>
      <c r="AK285" s="292"/>
    </row>
    <row r="286" spans="1:37">
      <c r="A286" s="281"/>
      <c r="B286" s="281"/>
      <c r="C286" s="282"/>
      <c r="D286" s="282"/>
      <c r="E286" s="282"/>
      <c r="F286" s="283"/>
      <c r="G286" s="284"/>
      <c r="H286" s="147"/>
      <c r="I286" s="285"/>
      <c r="J286" s="288"/>
      <c r="K286" s="287"/>
      <c r="L286" s="288"/>
      <c r="M286" s="286"/>
      <c r="N286" s="287"/>
      <c r="O286" s="288"/>
      <c r="P286" s="286"/>
      <c r="Q286" s="286"/>
      <c r="R286" s="287"/>
      <c r="S286" s="286"/>
      <c r="T286" s="286"/>
      <c r="U286" s="286"/>
      <c r="V286" s="287"/>
      <c r="W286" s="288"/>
      <c r="X286" s="286"/>
      <c r="Y286" s="286"/>
      <c r="Z286" s="287"/>
      <c r="AA286" s="288"/>
      <c r="AB286" s="286"/>
      <c r="AC286" s="294"/>
      <c r="AD286" s="289"/>
      <c r="AE286" s="290"/>
      <c r="AF286" s="289"/>
      <c r="AG286" s="290"/>
      <c r="AH286" s="284"/>
      <c r="AI286" s="147"/>
      <c r="AJ286" s="291"/>
      <c r="AK286" s="292"/>
    </row>
    <row r="287" spans="1:37">
      <c r="A287" s="281"/>
      <c r="B287" s="281"/>
      <c r="C287" s="282"/>
      <c r="D287" s="282"/>
      <c r="E287" s="282"/>
      <c r="F287" s="283"/>
      <c r="G287" s="284"/>
      <c r="H287" s="147"/>
      <c r="I287" s="285"/>
      <c r="J287" s="288"/>
      <c r="K287" s="287"/>
      <c r="L287" s="288"/>
      <c r="M287" s="286"/>
      <c r="N287" s="287"/>
      <c r="O287" s="288"/>
      <c r="P287" s="286"/>
      <c r="Q287" s="286"/>
      <c r="R287" s="287"/>
      <c r="S287" s="286"/>
      <c r="T287" s="286"/>
      <c r="U287" s="286"/>
      <c r="V287" s="287"/>
      <c r="W287" s="288"/>
      <c r="X287" s="286"/>
      <c r="Y287" s="286"/>
      <c r="Z287" s="287"/>
      <c r="AA287" s="288"/>
      <c r="AB287" s="286"/>
      <c r="AC287" s="294"/>
      <c r="AD287" s="289"/>
      <c r="AE287" s="290"/>
      <c r="AF287" s="289"/>
      <c r="AG287" s="290"/>
      <c r="AH287" s="284"/>
      <c r="AI287" s="147"/>
      <c r="AJ287" s="291"/>
      <c r="AK287" s="292"/>
    </row>
    <row r="288" spans="1:37">
      <c r="A288" s="281"/>
      <c r="B288" s="281"/>
      <c r="C288" s="282"/>
      <c r="D288" s="282"/>
      <c r="E288" s="282"/>
      <c r="F288" s="283"/>
      <c r="G288" s="284"/>
      <c r="H288" s="147"/>
      <c r="I288" s="285"/>
      <c r="J288" s="288"/>
      <c r="K288" s="287"/>
      <c r="L288" s="288"/>
      <c r="M288" s="286"/>
      <c r="N288" s="287"/>
      <c r="O288" s="288"/>
      <c r="P288" s="286"/>
      <c r="Q288" s="286"/>
      <c r="R288" s="287"/>
      <c r="S288" s="286"/>
      <c r="T288" s="286"/>
      <c r="U288" s="286"/>
      <c r="V288" s="287"/>
      <c r="W288" s="288"/>
      <c r="X288" s="286"/>
      <c r="Y288" s="286"/>
      <c r="Z288" s="287"/>
      <c r="AA288" s="288"/>
      <c r="AB288" s="286"/>
      <c r="AC288" s="294"/>
      <c r="AD288" s="289"/>
      <c r="AE288" s="290"/>
      <c r="AF288" s="289"/>
      <c r="AG288" s="290"/>
      <c r="AH288" s="284"/>
      <c r="AI288" s="147"/>
      <c r="AJ288" s="291"/>
      <c r="AK288" s="292"/>
    </row>
    <row r="289" spans="1:37">
      <c r="A289" s="281"/>
      <c r="B289" s="281"/>
      <c r="C289" s="282"/>
      <c r="D289" s="282"/>
      <c r="E289" s="282"/>
      <c r="F289" s="283"/>
      <c r="G289" s="284"/>
      <c r="H289" s="147"/>
      <c r="I289" s="285"/>
      <c r="J289" s="288"/>
      <c r="K289" s="287"/>
      <c r="L289" s="288"/>
      <c r="M289" s="286"/>
      <c r="N289" s="287"/>
      <c r="O289" s="288"/>
      <c r="P289" s="286"/>
      <c r="Q289" s="286"/>
      <c r="R289" s="287"/>
      <c r="S289" s="286"/>
      <c r="T289" s="286"/>
      <c r="U289" s="286"/>
      <c r="V289" s="287"/>
      <c r="W289" s="288"/>
      <c r="X289" s="286"/>
      <c r="Y289" s="286"/>
      <c r="Z289" s="287"/>
      <c r="AA289" s="288"/>
      <c r="AB289" s="286"/>
      <c r="AC289" s="294"/>
      <c r="AD289" s="289"/>
      <c r="AE289" s="290"/>
      <c r="AF289" s="289"/>
      <c r="AG289" s="290"/>
      <c r="AH289" s="284"/>
      <c r="AI289" s="147"/>
      <c r="AJ289" s="291"/>
      <c r="AK289" s="292"/>
    </row>
    <row r="290" spans="1:37">
      <c r="A290" s="281"/>
      <c r="B290" s="281"/>
      <c r="C290" s="282"/>
      <c r="D290" s="282"/>
      <c r="E290" s="282"/>
      <c r="F290" s="283"/>
      <c r="G290" s="284"/>
      <c r="H290" s="147"/>
      <c r="I290" s="285"/>
      <c r="J290" s="288"/>
      <c r="K290" s="287"/>
      <c r="L290" s="288"/>
      <c r="M290" s="286"/>
      <c r="N290" s="287"/>
      <c r="O290" s="288"/>
      <c r="P290" s="286"/>
      <c r="Q290" s="286"/>
      <c r="R290" s="287"/>
      <c r="S290" s="286"/>
      <c r="T290" s="286"/>
      <c r="U290" s="286"/>
      <c r="V290" s="287"/>
      <c r="W290" s="288"/>
      <c r="X290" s="286"/>
      <c r="Y290" s="286"/>
      <c r="Z290" s="287"/>
      <c r="AA290" s="288"/>
      <c r="AB290" s="286"/>
      <c r="AC290" s="294"/>
      <c r="AD290" s="289"/>
      <c r="AE290" s="290"/>
      <c r="AF290" s="289"/>
      <c r="AG290" s="290"/>
      <c r="AH290" s="284"/>
      <c r="AI290" s="147"/>
      <c r="AJ290" s="291"/>
      <c r="AK290" s="292"/>
    </row>
    <row r="291" spans="1:37">
      <c r="A291" s="281"/>
      <c r="B291" s="281"/>
      <c r="C291" s="282"/>
      <c r="D291" s="282"/>
      <c r="E291" s="282"/>
      <c r="F291" s="283"/>
      <c r="G291" s="284"/>
      <c r="H291" s="147"/>
      <c r="I291" s="285"/>
      <c r="J291" s="288"/>
      <c r="K291" s="287"/>
      <c r="L291" s="288"/>
      <c r="M291" s="286"/>
      <c r="N291" s="287"/>
      <c r="O291" s="288"/>
      <c r="P291" s="286"/>
      <c r="Q291" s="286"/>
      <c r="R291" s="287"/>
      <c r="S291" s="286"/>
      <c r="T291" s="286"/>
      <c r="U291" s="286"/>
      <c r="V291" s="287"/>
      <c r="W291" s="288"/>
      <c r="X291" s="286"/>
      <c r="Y291" s="286"/>
      <c r="Z291" s="287"/>
      <c r="AA291" s="288"/>
      <c r="AB291" s="286"/>
      <c r="AC291" s="294"/>
      <c r="AD291" s="289"/>
      <c r="AE291" s="290"/>
      <c r="AF291" s="289"/>
      <c r="AG291" s="290"/>
      <c r="AH291" s="284"/>
      <c r="AI291" s="147"/>
      <c r="AJ291" s="291"/>
      <c r="AK291" s="292"/>
    </row>
    <row r="292" spans="1:37">
      <c r="A292" s="281"/>
      <c r="B292" s="281"/>
      <c r="C292" s="282"/>
      <c r="D292" s="282"/>
      <c r="E292" s="282"/>
      <c r="F292" s="283"/>
      <c r="G292" s="284"/>
      <c r="H292" s="147"/>
      <c r="I292" s="285"/>
      <c r="J292" s="288"/>
      <c r="K292" s="287"/>
      <c r="L292" s="288"/>
      <c r="M292" s="286"/>
      <c r="N292" s="287"/>
      <c r="O292" s="288"/>
      <c r="P292" s="286"/>
      <c r="Q292" s="286"/>
      <c r="R292" s="287"/>
      <c r="S292" s="286"/>
      <c r="T292" s="286"/>
      <c r="U292" s="286"/>
      <c r="V292" s="287"/>
      <c r="W292" s="288"/>
      <c r="X292" s="286"/>
      <c r="Y292" s="286"/>
      <c r="Z292" s="287"/>
      <c r="AA292" s="288"/>
      <c r="AB292" s="286"/>
      <c r="AC292" s="294"/>
      <c r="AD292" s="289"/>
      <c r="AE292" s="290"/>
      <c r="AF292" s="289"/>
      <c r="AG292" s="290"/>
      <c r="AH292" s="284"/>
      <c r="AI292" s="147"/>
      <c r="AJ292" s="291"/>
      <c r="AK292" s="292"/>
    </row>
    <row r="293" spans="1:37">
      <c r="A293" s="281"/>
      <c r="B293" s="281"/>
      <c r="C293" s="282"/>
      <c r="D293" s="282"/>
      <c r="E293" s="282"/>
      <c r="F293" s="283"/>
      <c r="G293" s="284"/>
      <c r="H293" s="147"/>
      <c r="I293" s="285"/>
      <c r="J293" s="288"/>
      <c r="K293" s="287"/>
      <c r="L293" s="288"/>
      <c r="M293" s="286"/>
      <c r="N293" s="287"/>
      <c r="O293" s="288"/>
      <c r="P293" s="286"/>
      <c r="Q293" s="286"/>
      <c r="R293" s="287"/>
      <c r="S293" s="286"/>
      <c r="T293" s="286"/>
      <c r="U293" s="286"/>
      <c r="V293" s="287"/>
      <c r="W293" s="288"/>
      <c r="X293" s="286"/>
      <c r="Y293" s="286"/>
      <c r="Z293" s="287"/>
      <c r="AA293" s="288"/>
      <c r="AB293" s="286"/>
      <c r="AC293" s="294"/>
      <c r="AD293" s="289"/>
      <c r="AE293" s="290"/>
      <c r="AF293" s="289"/>
      <c r="AG293" s="290"/>
      <c r="AH293" s="284"/>
      <c r="AI293" s="147"/>
      <c r="AJ293" s="291"/>
      <c r="AK293" s="292"/>
    </row>
    <row r="294" spans="1:37">
      <c r="A294" s="281"/>
      <c r="B294" s="281"/>
      <c r="C294" s="282"/>
      <c r="D294" s="282"/>
      <c r="E294" s="282"/>
      <c r="F294" s="283"/>
      <c r="G294" s="284"/>
      <c r="H294" s="147"/>
      <c r="I294" s="285"/>
      <c r="J294" s="288"/>
      <c r="K294" s="287"/>
      <c r="L294" s="288"/>
      <c r="M294" s="286"/>
      <c r="N294" s="287"/>
      <c r="O294" s="288"/>
      <c r="P294" s="286"/>
      <c r="Q294" s="286"/>
      <c r="R294" s="287"/>
      <c r="S294" s="286"/>
      <c r="T294" s="286"/>
      <c r="U294" s="286"/>
      <c r="V294" s="287"/>
      <c r="W294" s="288"/>
      <c r="X294" s="286"/>
      <c r="Y294" s="286"/>
      <c r="Z294" s="287"/>
      <c r="AA294" s="288"/>
      <c r="AB294" s="286"/>
      <c r="AC294" s="294"/>
      <c r="AD294" s="289"/>
      <c r="AE294" s="290"/>
      <c r="AF294" s="289"/>
      <c r="AG294" s="290"/>
      <c r="AH294" s="284"/>
      <c r="AI294" s="147"/>
      <c r="AJ294" s="291"/>
      <c r="AK294" s="292"/>
    </row>
    <row r="295" spans="1:37">
      <c r="A295" s="281"/>
      <c r="B295" s="281"/>
      <c r="C295" s="282"/>
      <c r="D295" s="282"/>
      <c r="E295" s="282"/>
      <c r="F295" s="283"/>
      <c r="G295" s="284"/>
      <c r="H295" s="147"/>
      <c r="I295" s="285"/>
      <c r="J295" s="288"/>
      <c r="K295" s="287"/>
      <c r="L295" s="288"/>
      <c r="M295" s="286"/>
      <c r="N295" s="287"/>
      <c r="O295" s="288"/>
      <c r="P295" s="286"/>
      <c r="Q295" s="286"/>
      <c r="R295" s="287"/>
      <c r="S295" s="286"/>
      <c r="T295" s="286"/>
      <c r="U295" s="286"/>
      <c r="V295" s="287"/>
      <c r="W295" s="288"/>
      <c r="X295" s="286"/>
      <c r="Y295" s="286"/>
      <c r="Z295" s="287"/>
      <c r="AA295" s="288"/>
      <c r="AB295" s="286"/>
      <c r="AC295" s="294"/>
      <c r="AD295" s="289"/>
      <c r="AE295" s="290"/>
      <c r="AF295" s="289"/>
      <c r="AG295" s="290"/>
      <c r="AH295" s="284"/>
      <c r="AI295" s="147"/>
      <c r="AJ295" s="291"/>
      <c r="AK295" s="292"/>
    </row>
    <row r="296" spans="1:37">
      <c r="A296" s="281"/>
      <c r="B296" s="281"/>
      <c r="C296" s="282"/>
      <c r="D296" s="282"/>
      <c r="E296" s="282"/>
      <c r="F296" s="283"/>
      <c r="G296" s="284"/>
      <c r="H296" s="147"/>
      <c r="I296" s="285"/>
      <c r="J296" s="288"/>
      <c r="K296" s="287"/>
      <c r="L296" s="288"/>
      <c r="M296" s="286"/>
      <c r="N296" s="287"/>
      <c r="O296" s="288"/>
      <c r="P296" s="286"/>
      <c r="Q296" s="286"/>
      <c r="R296" s="287"/>
      <c r="S296" s="286"/>
      <c r="T296" s="286"/>
      <c r="U296" s="286"/>
      <c r="V296" s="287"/>
      <c r="W296" s="288"/>
      <c r="X296" s="286"/>
      <c r="Y296" s="286"/>
      <c r="Z296" s="287"/>
      <c r="AA296" s="288"/>
      <c r="AB296" s="286"/>
      <c r="AC296" s="294"/>
      <c r="AD296" s="289"/>
      <c r="AE296" s="290"/>
      <c r="AF296" s="289"/>
      <c r="AG296" s="290"/>
      <c r="AH296" s="284"/>
      <c r="AI296" s="147"/>
      <c r="AJ296" s="291"/>
      <c r="AK296" s="292"/>
    </row>
    <row r="297" spans="1:37">
      <c r="A297" s="281"/>
      <c r="B297" s="281"/>
      <c r="C297" s="282"/>
      <c r="D297" s="282"/>
      <c r="E297" s="282"/>
      <c r="F297" s="283"/>
      <c r="G297" s="284"/>
      <c r="H297" s="147"/>
      <c r="I297" s="285"/>
      <c r="J297" s="288"/>
      <c r="K297" s="287"/>
      <c r="L297" s="288"/>
      <c r="M297" s="286"/>
      <c r="N297" s="287"/>
      <c r="O297" s="288"/>
      <c r="P297" s="286"/>
      <c r="Q297" s="286"/>
      <c r="R297" s="287"/>
      <c r="S297" s="286"/>
      <c r="T297" s="286"/>
      <c r="U297" s="286"/>
      <c r="V297" s="287"/>
      <c r="W297" s="288"/>
      <c r="X297" s="286"/>
      <c r="Y297" s="286"/>
      <c r="Z297" s="287"/>
      <c r="AA297" s="288"/>
      <c r="AB297" s="286"/>
      <c r="AC297" s="294"/>
      <c r="AD297" s="289"/>
      <c r="AE297" s="290"/>
      <c r="AF297" s="289"/>
      <c r="AG297" s="290"/>
      <c r="AH297" s="284"/>
      <c r="AI297" s="147"/>
      <c r="AJ297" s="291"/>
      <c r="AK297" s="292"/>
    </row>
    <row r="298" spans="1:37">
      <c r="A298" s="281"/>
      <c r="B298" s="281"/>
      <c r="C298" s="282"/>
      <c r="D298" s="282"/>
      <c r="E298" s="282"/>
      <c r="F298" s="283"/>
      <c r="G298" s="284"/>
      <c r="H298" s="147"/>
      <c r="I298" s="285"/>
      <c r="J298" s="288"/>
      <c r="K298" s="287"/>
      <c r="L298" s="288"/>
      <c r="M298" s="286"/>
      <c r="N298" s="287"/>
      <c r="O298" s="288"/>
      <c r="P298" s="286"/>
      <c r="Q298" s="286"/>
      <c r="R298" s="287"/>
      <c r="S298" s="286"/>
      <c r="T298" s="286"/>
      <c r="U298" s="286"/>
      <c r="V298" s="287"/>
      <c r="W298" s="288"/>
      <c r="X298" s="286"/>
      <c r="Y298" s="286"/>
      <c r="Z298" s="287"/>
      <c r="AA298" s="288"/>
      <c r="AB298" s="286"/>
      <c r="AC298" s="294"/>
      <c r="AD298" s="289"/>
      <c r="AE298" s="290"/>
      <c r="AF298" s="289"/>
      <c r="AG298" s="290"/>
      <c r="AH298" s="284"/>
      <c r="AI298" s="147"/>
      <c r="AJ298" s="291"/>
      <c r="AK298" s="292"/>
    </row>
    <row r="299" spans="1:37">
      <c r="A299" s="281"/>
      <c r="B299" s="281"/>
      <c r="C299" s="282"/>
      <c r="D299" s="282"/>
      <c r="E299" s="282"/>
      <c r="F299" s="283"/>
      <c r="G299" s="284"/>
      <c r="H299" s="147"/>
      <c r="I299" s="285"/>
      <c r="J299" s="288"/>
      <c r="K299" s="287"/>
      <c r="L299" s="288"/>
      <c r="M299" s="286"/>
      <c r="N299" s="287"/>
      <c r="O299" s="288"/>
      <c r="P299" s="286"/>
      <c r="Q299" s="286"/>
      <c r="R299" s="287"/>
      <c r="S299" s="286"/>
      <c r="T299" s="286"/>
      <c r="U299" s="286"/>
      <c r="V299" s="287"/>
      <c r="W299" s="288"/>
      <c r="X299" s="286"/>
      <c r="Y299" s="286"/>
      <c r="Z299" s="287"/>
      <c r="AA299" s="288"/>
      <c r="AB299" s="286"/>
      <c r="AC299" s="294"/>
      <c r="AD299" s="289"/>
      <c r="AE299" s="290"/>
      <c r="AF299" s="289"/>
      <c r="AG299" s="290"/>
      <c r="AH299" s="284"/>
      <c r="AI299" s="147"/>
      <c r="AJ299" s="291"/>
      <c r="AK299" s="292"/>
    </row>
    <row r="300" spans="1:37">
      <c r="A300" s="281"/>
      <c r="B300" s="281"/>
      <c r="C300" s="282"/>
      <c r="D300" s="282"/>
      <c r="E300" s="282"/>
      <c r="F300" s="283"/>
      <c r="G300" s="284"/>
      <c r="H300" s="147"/>
      <c r="I300" s="285"/>
      <c r="J300" s="288"/>
      <c r="K300" s="287"/>
      <c r="L300" s="288"/>
      <c r="M300" s="286"/>
      <c r="N300" s="287"/>
      <c r="O300" s="288"/>
      <c r="P300" s="286"/>
      <c r="Q300" s="286"/>
      <c r="R300" s="287"/>
      <c r="S300" s="286"/>
      <c r="T300" s="286"/>
      <c r="U300" s="286"/>
      <c r="V300" s="287"/>
      <c r="W300" s="288"/>
      <c r="X300" s="286"/>
      <c r="Y300" s="286"/>
      <c r="Z300" s="287"/>
      <c r="AA300" s="288"/>
      <c r="AB300" s="286"/>
      <c r="AC300" s="294"/>
      <c r="AD300" s="289"/>
      <c r="AE300" s="290"/>
      <c r="AF300" s="289"/>
      <c r="AG300" s="290"/>
      <c r="AH300" s="284"/>
      <c r="AI300" s="147"/>
      <c r="AJ300" s="291"/>
      <c r="AK300" s="292"/>
    </row>
    <row r="301" spans="1:37">
      <c r="A301" s="281"/>
      <c r="B301" s="281"/>
      <c r="C301" s="282"/>
      <c r="D301" s="282"/>
      <c r="E301" s="282"/>
      <c r="F301" s="283"/>
      <c r="G301" s="284"/>
      <c r="H301" s="147"/>
      <c r="I301" s="285"/>
      <c r="J301" s="288"/>
      <c r="K301" s="287"/>
      <c r="L301" s="288"/>
      <c r="M301" s="286"/>
      <c r="N301" s="287"/>
      <c r="O301" s="288"/>
      <c r="P301" s="286"/>
      <c r="Q301" s="286"/>
      <c r="R301" s="287"/>
      <c r="S301" s="286"/>
      <c r="T301" s="286"/>
      <c r="U301" s="286"/>
      <c r="V301" s="287"/>
      <c r="W301" s="288"/>
      <c r="X301" s="286"/>
      <c r="Y301" s="286"/>
      <c r="Z301" s="287"/>
      <c r="AA301" s="288"/>
      <c r="AB301" s="286"/>
      <c r="AC301" s="294"/>
      <c r="AD301" s="289"/>
      <c r="AE301" s="290"/>
      <c r="AF301" s="289"/>
      <c r="AG301" s="290"/>
      <c r="AH301" s="284"/>
      <c r="AI301" s="147"/>
      <c r="AJ301" s="291"/>
      <c r="AK301" s="292"/>
    </row>
    <row r="302" spans="1:37">
      <c r="A302" s="281"/>
      <c r="B302" s="281"/>
      <c r="C302" s="282"/>
      <c r="D302" s="282"/>
      <c r="E302" s="282"/>
      <c r="F302" s="283"/>
      <c r="G302" s="284"/>
      <c r="H302" s="147"/>
      <c r="I302" s="285"/>
      <c r="J302" s="288"/>
      <c r="K302" s="287"/>
      <c r="L302" s="288"/>
      <c r="M302" s="286"/>
      <c r="N302" s="287"/>
      <c r="O302" s="288"/>
      <c r="P302" s="286"/>
      <c r="Q302" s="286"/>
      <c r="R302" s="287"/>
      <c r="S302" s="286"/>
      <c r="T302" s="286"/>
      <c r="U302" s="286"/>
      <c r="V302" s="287"/>
      <c r="W302" s="288"/>
      <c r="X302" s="286"/>
      <c r="Y302" s="286"/>
      <c r="Z302" s="287"/>
      <c r="AA302" s="288"/>
      <c r="AB302" s="286"/>
      <c r="AC302" s="294"/>
      <c r="AD302" s="289"/>
      <c r="AE302" s="290"/>
      <c r="AF302" s="289"/>
      <c r="AG302" s="290"/>
      <c r="AH302" s="284"/>
      <c r="AI302" s="147"/>
      <c r="AJ302" s="291"/>
      <c r="AK302" s="292"/>
    </row>
    <row r="303" spans="1:37">
      <c r="A303" s="281"/>
      <c r="B303" s="281"/>
      <c r="C303" s="282"/>
      <c r="D303" s="282"/>
      <c r="E303" s="282"/>
      <c r="F303" s="283"/>
      <c r="G303" s="284"/>
      <c r="H303" s="147"/>
      <c r="I303" s="285"/>
      <c r="J303" s="288"/>
      <c r="K303" s="287"/>
      <c r="L303" s="288"/>
      <c r="M303" s="286"/>
      <c r="N303" s="287"/>
      <c r="O303" s="288"/>
      <c r="P303" s="286"/>
      <c r="Q303" s="286"/>
      <c r="R303" s="287"/>
      <c r="S303" s="286"/>
      <c r="T303" s="286"/>
      <c r="U303" s="286"/>
      <c r="V303" s="287"/>
      <c r="W303" s="288"/>
      <c r="X303" s="286"/>
      <c r="Y303" s="286"/>
      <c r="Z303" s="287"/>
      <c r="AA303" s="288"/>
      <c r="AB303" s="286"/>
      <c r="AC303" s="294"/>
      <c r="AD303" s="289"/>
      <c r="AE303" s="290"/>
      <c r="AF303" s="289"/>
      <c r="AG303" s="290"/>
      <c r="AH303" s="284"/>
      <c r="AI303" s="147"/>
      <c r="AJ303" s="291"/>
      <c r="AK303" s="292"/>
    </row>
    <row r="304" spans="1:37">
      <c r="A304" s="281"/>
      <c r="B304" s="281"/>
      <c r="C304" s="282"/>
      <c r="D304" s="282"/>
      <c r="E304" s="282"/>
      <c r="F304" s="283"/>
      <c r="G304" s="284"/>
      <c r="H304" s="147"/>
      <c r="I304" s="285"/>
      <c r="J304" s="288"/>
      <c r="K304" s="287"/>
      <c r="L304" s="288"/>
      <c r="M304" s="286"/>
      <c r="N304" s="287"/>
      <c r="O304" s="288"/>
      <c r="P304" s="286"/>
      <c r="Q304" s="286"/>
      <c r="R304" s="287"/>
      <c r="S304" s="286"/>
      <c r="T304" s="286"/>
      <c r="U304" s="286"/>
      <c r="V304" s="287"/>
      <c r="W304" s="288"/>
      <c r="X304" s="286"/>
      <c r="Y304" s="286"/>
      <c r="Z304" s="287"/>
      <c r="AA304" s="288"/>
      <c r="AB304" s="286"/>
      <c r="AC304" s="294"/>
      <c r="AD304" s="289"/>
      <c r="AE304" s="290"/>
      <c r="AF304" s="289"/>
      <c r="AG304" s="290"/>
      <c r="AH304" s="284"/>
      <c r="AI304" s="147"/>
      <c r="AJ304" s="291"/>
      <c r="AK304" s="292"/>
    </row>
    <row r="305" spans="1:37">
      <c r="A305" s="281"/>
      <c r="B305" s="281"/>
      <c r="C305" s="282"/>
      <c r="D305" s="282"/>
      <c r="E305" s="282"/>
      <c r="F305" s="283"/>
      <c r="G305" s="284"/>
      <c r="H305" s="147"/>
      <c r="I305" s="285"/>
      <c r="J305" s="288"/>
      <c r="K305" s="287"/>
      <c r="L305" s="288"/>
      <c r="M305" s="286"/>
      <c r="N305" s="287"/>
      <c r="O305" s="288"/>
      <c r="P305" s="286"/>
      <c r="Q305" s="286"/>
      <c r="R305" s="287"/>
      <c r="S305" s="286"/>
      <c r="T305" s="286"/>
      <c r="U305" s="286"/>
      <c r="V305" s="287"/>
      <c r="W305" s="288"/>
      <c r="X305" s="286"/>
      <c r="Y305" s="286"/>
      <c r="Z305" s="287"/>
      <c r="AA305" s="288"/>
      <c r="AB305" s="286"/>
      <c r="AC305" s="294"/>
      <c r="AD305" s="289"/>
      <c r="AE305" s="290"/>
      <c r="AF305" s="289"/>
      <c r="AG305" s="290"/>
      <c r="AH305" s="284"/>
      <c r="AI305" s="147"/>
      <c r="AJ305" s="291"/>
      <c r="AK305" s="292"/>
    </row>
    <row r="306" spans="1:37">
      <c r="A306" s="281"/>
      <c r="B306" s="281"/>
      <c r="C306" s="282"/>
      <c r="D306" s="282"/>
      <c r="E306" s="282"/>
      <c r="F306" s="283"/>
      <c r="G306" s="284"/>
      <c r="H306" s="147"/>
      <c r="I306" s="285"/>
      <c r="J306" s="288"/>
      <c r="K306" s="287"/>
      <c r="L306" s="288"/>
      <c r="M306" s="286"/>
      <c r="N306" s="287"/>
      <c r="O306" s="288"/>
      <c r="P306" s="286"/>
      <c r="Q306" s="286"/>
      <c r="R306" s="287"/>
      <c r="S306" s="286"/>
      <c r="T306" s="286"/>
      <c r="U306" s="286"/>
      <c r="V306" s="287"/>
      <c r="W306" s="288"/>
      <c r="X306" s="286"/>
      <c r="Y306" s="286"/>
      <c r="Z306" s="287"/>
      <c r="AA306" s="288"/>
      <c r="AB306" s="286"/>
      <c r="AC306" s="294"/>
      <c r="AD306" s="289"/>
      <c r="AE306" s="290"/>
      <c r="AF306" s="289"/>
      <c r="AG306" s="290"/>
      <c r="AH306" s="284"/>
      <c r="AI306" s="147"/>
      <c r="AJ306" s="291"/>
      <c r="AK306" s="292"/>
    </row>
    <row r="307" spans="1:37">
      <c r="A307" s="281"/>
      <c r="B307" s="281"/>
      <c r="C307" s="282"/>
      <c r="D307" s="282"/>
      <c r="E307" s="282"/>
      <c r="F307" s="283"/>
      <c r="G307" s="284"/>
      <c r="H307" s="147"/>
      <c r="I307" s="285"/>
      <c r="J307" s="288"/>
      <c r="K307" s="287"/>
      <c r="L307" s="288"/>
      <c r="M307" s="286"/>
      <c r="N307" s="287"/>
      <c r="O307" s="288"/>
      <c r="P307" s="286"/>
      <c r="Q307" s="286"/>
      <c r="R307" s="287"/>
      <c r="S307" s="286"/>
      <c r="T307" s="286"/>
      <c r="U307" s="286"/>
      <c r="V307" s="287"/>
      <c r="W307" s="288"/>
      <c r="X307" s="286"/>
      <c r="Y307" s="286"/>
      <c r="Z307" s="287"/>
      <c r="AA307" s="288"/>
      <c r="AB307" s="286"/>
      <c r="AC307" s="294"/>
      <c r="AD307" s="289"/>
      <c r="AE307" s="290"/>
      <c r="AF307" s="289"/>
      <c r="AG307" s="290"/>
      <c r="AH307" s="284"/>
      <c r="AI307" s="147"/>
      <c r="AJ307" s="291"/>
      <c r="AK307" s="292"/>
    </row>
    <row r="308" spans="1:37">
      <c r="A308" s="281"/>
      <c r="B308" s="281"/>
      <c r="C308" s="282"/>
      <c r="D308" s="282"/>
      <c r="E308" s="282"/>
      <c r="F308" s="283"/>
      <c r="G308" s="284"/>
      <c r="H308" s="147"/>
      <c r="I308" s="285"/>
      <c r="J308" s="288"/>
      <c r="K308" s="287"/>
      <c r="L308" s="288"/>
      <c r="M308" s="286"/>
      <c r="N308" s="287"/>
      <c r="O308" s="288"/>
      <c r="P308" s="286"/>
      <c r="Q308" s="286"/>
      <c r="R308" s="287"/>
      <c r="S308" s="286"/>
      <c r="T308" s="286"/>
      <c r="U308" s="286"/>
      <c r="V308" s="287"/>
      <c r="W308" s="288"/>
      <c r="X308" s="286"/>
      <c r="Y308" s="286"/>
      <c r="Z308" s="287"/>
      <c r="AA308" s="288"/>
      <c r="AB308" s="286"/>
      <c r="AC308" s="294"/>
      <c r="AD308" s="289"/>
      <c r="AE308" s="290"/>
      <c r="AF308" s="289"/>
      <c r="AG308" s="290"/>
      <c r="AH308" s="284"/>
      <c r="AI308" s="147"/>
      <c r="AJ308" s="291"/>
      <c r="AK308" s="292"/>
    </row>
    <row r="309" spans="1:37">
      <c r="A309" s="281"/>
      <c r="B309" s="281"/>
      <c r="C309" s="282"/>
      <c r="D309" s="282"/>
      <c r="E309" s="282"/>
      <c r="F309" s="283"/>
      <c r="G309" s="284"/>
      <c r="H309" s="147"/>
      <c r="I309" s="285"/>
      <c r="J309" s="288"/>
      <c r="K309" s="287"/>
      <c r="L309" s="288"/>
      <c r="M309" s="286"/>
      <c r="N309" s="287"/>
      <c r="O309" s="288"/>
      <c r="P309" s="286"/>
      <c r="Q309" s="286"/>
      <c r="R309" s="287"/>
      <c r="S309" s="286"/>
      <c r="T309" s="286"/>
      <c r="U309" s="286"/>
      <c r="V309" s="287"/>
      <c r="W309" s="288"/>
      <c r="X309" s="286"/>
      <c r="Y309" s="286"/>
      <c r="Z309" s="287"/>
      <c r="AA309" s="288"/>
      <c r="AB309" s="286"/>
      <c r="AC309" s="294"/>
      <c r="AD309" s="289"/>
      <c r="AE309" s="290"/>
      <c r="AF309" s="289"/>
      <c r="AG309" s="290"/>
      <c r="AH309" s="284"/>
      <c r="AI309" s="147"/>
      <c r="AJ309" s="291"/>
      <c r="AK309" s="292"/>
    </row>
    <row r="310" spans="1:37">
      <c r="A310" s="281"/>
      <c r="B310" s="281"/>
      <c r="C310" s="282"/>
      <c r="D310" s="282"/>
      <c r="E310" s="282"/>
      <c r="F310" s="283"/>
      <c r="G310" s="284"/>
      <c r="H310" s="147"/>
      <c r="I310" s="285"/>
      <c r="J310" s="288"/>
      <c r="K310" s="287"/>
      <c r="L310" s="288"/>
      <c r="M310" s="286"/>
      <c r="N310" s="287"/>
      <c r="O310" s="288"/>
      <c r="P310" s="286"/>
      <c r="Q310" s="286"/>
      <c r="R310" s="287"/>
      <c r="S310" s="286"/>
      <c r="T310" s="286"/>
      <c r="U310" s="286"/>
      <c r="V310" s="287"/>
      <c r="W310" s="288"/>
      <c r="X310" s="286"/>
      <c r="Y310" s="286"/>
      <c r="Z310" s="287"/>
      <c r="AA310" s="288"/>
      <c r="AB310" s="286"/>
      <c r="AC310" s="294"/>
      <c r="AD310" s="289"/>
      <c r="AE310" s="290"/>
      <c r="AF310" s="289"/>
      <c r="AG310" s="290"/>
      <c r="AH310" s="284"/>
      <c r="AI310" s="147"/>
      <c r="AJ310" s="291"/>
      <c r="AK310" s="292"/>
    </row>
    <row r="311" spans="1:37">
      <c r="A311" s="281"/>
      <c r="B311" s="281"/>
      <c r="C311" s="282"/>
      <c r="D311" s="282"/>
      <c r="E311" s="282"/>
      <c r="F311" s="283"/>
      <c r="G311" s="284"/>
      <c r="H311" s="147"/>
      <c r="I311" s="285"/>
      <c r="J311" s="288"/>
      <c r="K311" s="287"/>
      <c r="L311" s="288"/>
      <c r="M311" s="286"/>
      <c r="N311" s="287"/>
      <c r="O311" s="288"/>
      <c r="P311" s="286"/>
      <c r="Q311" s="286"/>
      <c r="R311" s="287"/>
      <c r="S311" s="286"/>
      <c r="T311" s="286"/>
      <c r="U311" s="286"/>
      <c r="V311" s="287"/>
      <c r="W311" s="288"/>
      <c r="X311" s="286"/>
      <c r="Y311" s="286"/>
      <c r="Z311" s="287"/>
      <c r="AA311" s="288"/>
      <c r="AB311" s="286"/>
      <c r="AC311" s="294"/>
      <c r="AD311" s="289"/>
      <c r="AE311" s="290"/>
      <c r="AF311" s="289"/>
      <c r="AG311" s="290"/>
      <c r="AH311" s="284"/>
      <c r="AI311" s="147"/>
      <c r="AJ311" s="291"/>
      <c r="AK311" s="292"/>
    </row>
    <row r="312" spans="1:37">
      <c r="A312" s="281"/>
      <c r="B312" s="281"/>
      <c r="C312" s="282"/>
      <c r="D312" s="282"/>
      <c r="E312" s="282"/>
      <c r="F312" s="283"/>
      <c r="G312" s="284"/>
      <c r="H312" s="147"/>
      <c r="I312" s="285"/>
      <c r="J312" s="288"/>
      <c r="K312" s="287"/>
      <c r="L312" s="288"/>
      <c r="M312" s="286"/>
      <c r="N312" s="287"/>
      <c r="O312" s="288"/>
      <c r="P312" s="286"/>
      <c r="Q312" s="286"/>
      <c r="R312" s="287"/>
      <c r="S312" s="286"/>
      <c r="T312" s="286"/>
      <c r="U312" s="286"/>
      <c r="V312" s="287"/>
      <c r="W312" s="288"/>
      <c r="X312" s="286"/>
      <c r="Y312" s="286"/>
      <c r="Z312" s="287"/>
      <c r="AA312" s="288"/>
      <c r="AB312" s="286"/>
      <c r="AC312" s="294"/>
      <c r="AD312" s="289"/>
      <c r="AE312" s="290"/>
      <c r="AF312" s="289"/>
      <c r="AG312" s="290"/>
      <c r="AH312" s="284"/>
      <c r="AI312" s="147"/>
      <c r="AJ312" s="291"/>
      <c r="AK312" s="292"/>
    </row>
    <row r="313" spans="1:37">
      <c r="A313" s="281"/>
      <c r="B313" s="281"/>
      <c r="C313" s="282"/>
      <c r="D313" s="282"/>
      <c r="E313" s="282"/>
      <c r="F313" s="283"/>
      <c r="G313" s="284"/>
      <c r="H313" s="147"/>
      <c r="I313" s="285"/>
      <c r="J313" s="288"/>
      <c r="K313" s="287"/>
      <c r="L313" s="288"/>
      <c r="M313" s="286"/>
      <c r="N313" s="287"/>
      <c r="O313" s="288"/>
      <c r="P313" s="286"/>
      <c r="Q313" s="286"/>
      <c r="R313" s="287"/>
      <c r="S313" s="286"/>
      <c r="T313" s="286"/>
      <c r="U313" s="286"/>
      <c r="V313" s="287"/>
      <c r="W313" s="288"/>
      <c r="X313" s="286"/>
      <c r="Y313" s="286"/>
      <c r="Z313" s="287"/>
      <c r="AA313" s="288"/>
      <c r="AB313" s="286"/>
      <c r="AC313" s="294"/>
      <c r="AD313" s="289"/>
      <c r="AE313" s="290"/>
      <c r="AF313" s="289"/>
      <c r="AG313" s="290"/>
      <c r="AH313" s="284"/>
      <c r="AI313" s="147"/>
      <c r="AJ313" s="291"/>
      <c r="AK313" s="292"/>
    </row>
    <row r="314" spans="1:37">
      <c r="A314" s="281"/>
      <c r="B314" s="281"/>
      <c r="C314" s="282"/>
      <c r="D314" s="282"/>
      <c r="E314" s="282"/>
      <c r="F314" s="283"/>
      <c r="G314" s="284"/>
      <c r="H314" s="147"/>
      <c r="I314" s="285"/>
      <c r="J314" s="288"/>
      <c r="K314" s="287"/>
      <c r="L314" s="288"/>
      <c r="M314" s="286"/>
      <c r="N314" s="287"/>
      <c r="O314" s="288"/>
      <c r="P314" s="286"/>
      <c r="Q314" s="286"/>
      <c r="R314" s="287"/>
      <c r="S314" s="286"/>
      <c r="T314" s="286"/>
      <c r="U314" s="286"/>
      <c r="V314" s="287"/>
      <c r="W314" s="288"/>
      <c r="X314" s="286"/>
      <c r="Y314" s="286"/>
      <c r="Z314" s="287"/>
      <c r="AA314" s="288"/>
      <c r="AB314" s="286"/>
      <c r="AC314" s="294"/>
      <c r="AD314" s="289"/>
      <c r="AE314" s="290"/>
      <c r="AF314" s="289"/>
      <c r="AG314" s="290"/>
      <c r="AH314" s="284"/>
      <c r="AI314" s="147"/>
      <c r="AJ314" s="291"/>
      <c r="AK314" s="292"/>
    </row>
    <row r="315" spans="1:37">
      <c r="A315" s="281"/>
      <c r="B315" s="281"/>
      <c r="C315" s="282"/>
      <c r="D315" s="282"/>
      <c r="E315" s="282"/>
      <c r="F315" s="283"/>
      <c r="G315" s="284"/>
      <c r="H315" s="147"/>
      <c r="I315" s="285"/>
      <c r="J315" s="288"/>
      <c r="K315" s="287"/>
      <c r="L315" s="288"/>
      <c r="M315" s="286"/>
      <c r="N315" s="287"/>
      <c r="O315" s="288"/>
      <c r="P315" s="286"/>
      <c r="Q315" s="286"/>
      <c r="R315" s="287"/>
      <c r="S315" s="286"/>
      <c r="T315" s="286"/>
      <c r="U315" s="286"/>
      <c r="V315" s="287"/>
      <c r="W315" s="288"/>
      <c r="X315" s="286"/>
      <c r="Y315" s="286"/>
      <c r="Z315" s="287"/>
      <c r="AA315" s="288"/>
      <c r="AB315" s="286"/>
      <c r="AC315" s="294"/>
      <c r="AD315" s="289"/>
      <c r="AE315" s="290"/>
      <c r="AF315" s="289"/>
      <c r="AG315" s="290"/>
      <c r="AH315" s="284"/>
      <c r="AI315" s="147"/>
      <c r="AJ315" s="291"/>
      <c r="AK315" s="292"/>
    </row>
    <row r="316" spans="1:37">
      <c r="A316" s="281"/>
      <c r="B316" s="281"/>
      <c r="C316" s="282"/>
      <c r="D316" s="282"/>
      <c r="E316" s="282"/>
      <c r="F316" s="283"/>
      <c r="G316" s="284"/>
      <c r="H316" s="147"/>
      <c r="I316" s="285"/>
      <c r="J316" s="288"/>
      <c r="K316" s="287"/>
      <c r="L316" s="288"/>
      <c r="M316" s="286"/>
      <c r="N316" s="287"/>
      <c r="O316" s="288"/>
      <c r="P316" s="286"/>
      <c r="Q316" s="286"/>
      <c r="R316" s="287"/>
      <c r="S316" s="286"/>
      <c r="T316" s="286"/>
      <c r="U316" s="286"/>
      <c r="V316" s="287"/>
      <c r="W316" s="288"/>
      <c r="X316" s="286"/>
      <c r="Y316" s="286"/>
      <c r="Z316" s="287"/>
      <c r="AA316" s="288"/>
      <c r="AB316" s="286"/>
      <c r="AC316" s="294"/>
      <c r="AD316" s="289"/>
      <c r="AE316" s="290"/>
      <c r="AF316" s="289"/>
      <c r="AG316" s="290"/>
      <c r="AH316" s="284"/>
      <c r="AI316" s="147"/>
      <c r="AJ316" s="291"/>
      <c r="AK316" s="292"/>
    </row>
    <row r="317" spans="1:37">
      <c r="A317" s="281"/>
      <c r="B317" s="281"/>
      <c r="C317" s="282"/>
      <c r="D317" s="282"/>
      <c r="E317" s="282"/>
      <c r="F317" s="283"/>
      <c r="G317" s="284"/>
      <c r="H317" s="147"/>
      <c r="I317" s="285"/>
      <c r="J317" s="288"/>
      <c r="K317" s="287"/>
      <c r="L317" s="288"/>
      <c r="M317" s="286"/>
      <c r="N317" s="287"/>
      <c r="O317" s="288"/>
      <c r="P317" s="286"/>
      <c r="Q317" s="286"/>
      <c r="R317" s="287"/>
      <c r="S317" s="286"/>
      <c r="T317" s="286"/>
      <c r="U317" s="286"/>
      <c r="V317" s="287"/>
      <c r="W317" s="288"/>
      <c r="X317" s="286"/>
      <c r="Y317" s="286"/>
      <c r="Z317" s="287"/>
      <c r="AA317" s="288"/>
      <c r="AB317" s="286"/>
      <c r="AC317" s="294"/>
      <c r="AD317" s="289"/>
      <c r="AE317" s="290"/>
      <c r="AF317" s="289"/>
      <c r="AG317" s="290"/>
      <c r="AH317" s="284"/>
      <c r="AI317" s="147"/>
      <c r="AJ317" s="291"/>
      <c r="AK317" s="292"/>
    </row>
    <row r="318" spans="1:37">
      <c r="A318" s="281"/>
      <c r="B318" s="281"/>
      <c r="C318" s="282"/>
      <c r="D318" s="282"/>
      <c r="E318" s="282"/>
      <c r="F318" s="283"/>
      <c r="G318" s="284"/>
      <c r="H318" s="147"/>
      <c r="I318" s="285"/>
      <c r="J318" s="288"/>
      <c r="K318" s="287"/>
      <c r="L318" s="288"/>
      <c r="M318" s="286"/>
      <c r="N318" s="287"/>
      <c r="O318" s="288"/>
      <c r="P318" s="286"/>
      <c r="Q318" s="286"/>
      <c r="R318" s="287"/>
      <c r="S318" s="286"/>
      <c r="T318" s="286"/>
      <c r="U318" s="286"/>
      <c r="V318" s="287"/>
      <c r="W318" s="288"/>
      <c r="X318" s="286"/>
      <c r="Y318" s="286"/>
      <c r="Z318" s="287"/>
      <c r="AA318" s="288"/>
      <c r="AB318" s="286"/>
      <c r="AC318" s="294"/>
      <c r="AD318" s="289"/>
      <c r="AE318" s="290"/>
      <c r="AF318" s="289"/>
      <c r="AG318" s="290"/>
      <c r="AH318" s="284"/>
      <c r="AI318" s="147"/>
      <c r="AJ318" s="291"/>
      <c r="AK318" s="292"/>
    </row>
    <row r="319" spans="1:37">
      <c r="A319" s="281"/>
      <c r="B319" s="281"/>
      <c r="C319" s="282"/>
      <c r="D319" s="282"/>
      <c r="E319" s="282"/>
      <c r="F319" s="283"/>
      <c r="G319" s="284"/>
      <c r="H319" s="147"/>
      <c r="I319" s="285"/>
      <c r="J319" s="288"/>
      <c r="K319" s="287"/>
      <c r="L319" s="288"/>
      <c r="M319" s="286"/>
      <c r="N319" s="287"/>
      <c r="O319" s="288"/>
      <c r="P319" s="286"/>
      <c r="Q319" s="286"/>
      <c r="R319" s="287"/>
      <c r="S319" s="286"/>
      <c r="T319" s="286"/>
      <c r="U319" s="286"/>
      <c r="V319" s="287"/>
      <c r="W319" s="288"/>
      <c r="X319" s="286"/>
      <c r="Y319" s="286"/>
      <c r="Z319" s="287"/>
      <c r="AA319" s="288"/>
      <c r="AB319" s="286"/>
      <c r="AC319" s="294"/>
      <c r="AD319" s="289"/>
      <c r="AE319" s="290"/>
      <c r="AF319" s="289"/>
      <c r="AG319" s="290"/>
      <c r="AH319" s="284"/>
      <c r="AI319" s="147"/>
      <c r="AJ319" s="291"/>
      <c r="AK319" s="292"/>
    </row>
    <row r="320" spans="1:37">
      <c r="A320" s="281"/>
      <c r="B320" s="281"/>
      <c r="C320" s="282"/>
      <c r="D320" s="282"/>
      <c r="E320" s="282"/>
      <c r="F320" s="283"/>
      <c r="G320" s="284"/>
      <c r="H320" s="147"/>
      <c r="I320" s="285"/>
      <c r="J320" s="288"/>
      <c r="K320" s="287"/>
      <c r="L320" s="288"/>
      <c r="M320" s="286"/>
      <c r="N320" s="287"/>
      <c r="O320" s="288"/>
      <c r="P320" s="286"/>
      <c r="Q320" s="286"/>
      <c r="R320" s="287"/>
      <c r="S320" s="286"/>
      <c r="T320" s="286"/>
      <c r="U320" s="286"/>
      <c r="V320" s="287"/>
      <c r="W320" s="288"/>
      <c r="X320" s="286"/>
      <c r="Y320" s="286"/>
      <c r="Z320" s="287"/>
      <c r="AA320" s="288"/>
      <c r="AB320" s="286"/>
      <c r="AC320" s="294"/>
      <c r="AD320" s="289"/>
      <c r="AE320" s="290"/>
      <c r="AF320" s="289"/>
      <c r="AG320" s="290"/>
      <c r="AH320" s="284"/>
      <c r="AI320" s="147"/>
      <c r="AJ320" s="291"/>
      <c r="AK320" s="292"/>
    </row>
    <row r="321" spans="1:37">
      <c r="A321" s="281"/>
      <c r="B321" s="281"/>
      <c r="C321" s="282"/>
      <c r="D321" s="282"/>
      <c r="E321" s="282"/>
      <c r="F321" s="283"/>
      <c r="G321" s="284"/>
      <c r="H321" s="147"/>
      <c r="I321" s="285"/>
      <c r="J321" s="288"/>
      <c r="K321" s="287"/>
      <c r="L321" s="288"/>
      <c r="M321" s="286"/>
      <c r="N321" s="287"/>
      <c r="O321" s="288"/>
      <c r="P321" s="286"/>
      <c r="Q321" s="286"/>
      <c r="R321" s="287"/>
      <c r="S321" s="286"/>
      <c r="T321" s="286"/>
      <c r="U321" s="286"/>
      <c r="V321" s="287"/>
      <c r="W321" s="288"/>
      <c r="X321" s="286"/>
      <c r="Y321" s="286"/>
      <c r="Z321" s="287"/>
      <c r="AA321" s="288"/>
      <c r="AB321" s="286"/>
      <c r="AC321" s="294"/>
      <c r="AD321" s="289"/>
      <c r="AE321" s="290"/>
      <c r="AF321" s="289"/>
      <c r="AG321" s="290"/>
      <c r="AH321" s="284"/>
      <c r="AI321" s="147"/>
      <c r="AJ321" s="291"/>
      <c r="AK321" s="292"/>
    </row>
    <row r="322" spans="1:37">
      <c r="A322" s="281"/>
      <c r="B322" s="281"/>
      <c r="C322" s="282"/>
      <c r="D322" s="282"/>
      <c r="E322" s="282"/>
      <c r="F322" s="283"/>
      <c r="G322" s="284"/>
      <c r="H322" s="147"/>
      <c r="I322" s="285"/>
      <c r="J322" s="288"/>
      <c r="K322" s="287"/>
      <c r="L322" s="288"/>
      <c r="M322" s="286"/>
      <c r="N322" s="287"/>
      <c r="O322" s="288"/>
      <c r="P322" s="286"/>
      <c r="Q322" s="286"/>
      <c r="R322" s="287"/>
      <c r="S322" s="286"/>
      <c r="T322" s="286"/>
      <c r="U322" s="286"/>
      <c r="V322" s="287"/>
      <c r="W322" s="288"/>
      <c r="X322" s="286"/>
      <c r="Y322" s="286"/>
      <c r="Z322" s="287"/>
      <c r="AA322" s="288"/>
      <c r="AB322" s="286"/>
      <c r="AC322" s="294"/>
      <c r="AD322" s="289"/>
      <c r="AE322" s="290"/>
      <c r="AF322" s="289"/>
      <c r="AG322" s="290"/>
      <c r="AH322" s="284"/>
      <c r="AI322" s="147"/>
      <c r="AJ322" s="291"/>
      <c r="AK322" s="292"/>
    </row>
    <row r="323" spans="1:37">
      <c r="A323" s="281"/>
      <c r="B323" s="281"/>
      <c r="C323" s="282"/>
      <c r="D323" s="282"/>
      <c r="E323" s="282"/>
      <c r="F323" s="283"/>
      <c r="G323" s="284"/>
      <c r="H323" s="147"/>
      <c r="I323" s="285"/>
      <c r="J323" s="288"/>
      <c r="K323" s="287"/>
      <c r="L323" s="288"/>
      <c r="M323" s="286"/>
      <c r="N323" s="287"/>
      <c r="O323" s="288"/>
      <c r="P323" s="286"/>
      <c r="Q323" s="286"/>
      <c r="R323" s="287"/>
      <c r="S323" s="286"/>
      <c r="T323" s="286"/>
      <c r="U323" s="286"/>
      <c r="V323" s="287"/>
      <c r="W323" s="288"/>
      <c r="X323" s="286"/>
      <c r="Y323" s="286"/>
      <c r="Z323" s="287"/>
      <c r="AA323" s="288"/>
      <c r="AB323" s="286"/>
      <c r="AC323" s="294"/>
      <c r="AD323" s="289"/>
      <c r="AE323" s="290"/>
      <c r="AF323" s="289"/>
      <c r="AG323" s="290"/>
      <c r="AH323" s="284"/>
      <c r="AI323" s="147"/>
      <c r="AJ323" s="291"/>
      <c r="AK323" s="292"/>
    </row>
    <row r="324" spans="1:37">
      <c r="A324" s="281"/>
      <c r="B324" s="281"/>
      <c r="C324" s="282"/>
      <c r="D324" s="282"/>
      <c r="E324" s="282"/>
      <c r="F324" s="283"/>
      <c r="G324" s="284"/>
      <c r="H324" s="147"/>
      <c r="I324" s="285"/>
      <c r="J324" s="288"/>
      <c r="K324" s="287"/>
      <c r="L324" s="288"/>
      <c r="M324" s="286"/>
      <c r="N324" s="287"/>
      <c r="O324" s="288"/>
      <c r="P324" s="286"/>
      <c r="Q324" s="286"/>
      <c r="R324" s="287"/>
      <c r="S324" s="286"/>
      <c r="T324" s="286"/>
      <c r="U324" s="286"/>
      <c r="V324" s="287"/>
      <c r="W324" s="288"/>
      <c r="X324" s="286"/>
      <c r="Y324" s="286"/>
      <c r="Z324" s="287"/>
      <c r="AA324" s="288"/>
      <c r="AB324" s="286"/>
      <c r="AC324" s="294"/>
      <c r="AD324" s="289"/>
      <c r="AE324" s="290"/>
      <c r="AF324" s="289"/>
      <c r="AG324" s="290"/>
      <c r="AH324" s="284"/>
      <c r="AI324" s="147"/>
      <c r="AJ324" s="291"/>
      <c r="AK324" s="292"/>
    </row>
    <row r="325" spans="1:37">
      <c r="A325" s="281"/>
      <c r="B325" s="281"/>
      <c r="C325" s="282"/>
      <c r="D325" s="282"/>
      <c r="E325" s="282"/>
      <c r="F325" s="283"/>
      <c r="G325" s="284"/>
      <c r="H325" s="147"/>
      <c r="I325" s="285"/>
      <c r="J325" s="288"/>
      <c r="K325" s="287"/>
      <c r="L325" s="288"/>
      <c r="M325" s="286"/>
      <c r="N325" s="287"/>
      <c r="O325" s="288"/>
      <c r="P325" s="286"/>
      <c r="Q325" s="286"/>
      <c r="R325" s="287"/>
      <c r="S325" s="286"/>
      <c r="T325" s="286"/>
      <c r="U325" s="286"/>
      <c r="V325" s="287"/>
      <c r="W325" s="288"/>
      <c r="X325" s="286"/>
      <c r="Y325" s="286"/>
      <c r="Z325" s="287"/>
      <c r="AA325" s="288"/>
      <c r="AB325" s="286"/>
      <c r="AC325" s="294"/>
      <c r="AD325" s="289"/>
      <c r="AE325" s="290"/>
      <c r="AF325" s="289"/>
      <c r="AG325" s="290"/>
      <c r="AH325" s="284"/>
      <c r="AI325" s="147"/>
      <c r="AJ325" s="291"/>
      <c r="AK325" s="292"/>
    </row>
    <row r="326" spans="1:37">
      <c r="A326" s="281"/>
      <c r="B326" s="281"/>
      <c r="C326" s="282"/>
      <c r="D326" s="282"/>
      <c r="E326" s="282"/>
      <c r="F326" s="283"/>
      <c r="G326" s="284"/>
      <c r="H326" s="147"/>
      <c r="I326" s="285"/>
      <c r="J326" s="288"/>
      <c r="K326" s="287"/>
      <c r="L326" s="288"/>
      <c r="M326" s="286"/>
      <c r="N326" s="287"/>
      <c r="O326" s="288"/>
      <c r="P326" s="286"/>
      <c r="Q326" s="286"/>
      <c r="R326" s="287"/>
      <c r="S326" s="286"/>
      <c r="T326" s="286"/>
      <c r="U326" s="286"/>
      <c r="V326" s="287"/>
      <c r="W326" s="288"/>
      <c r="X326" s="286"/>
      <c r="Y326" s="286"/>
      <c r="Z326" s="287"/>
      <c r="AA326" s="288"/>
      <c r="AB326" s="286"/>
      <c r="AC326" s="294"/>
      <c r="AD326" s="289"/>
      <c r="AE326" s="290"/>
      <c r="AF326" s="289"/>
      <c r="AG326" s="290"/>
      <c r="AH326" s="284"/>
      <c r="AI326" s="147"/>
      <c r="AJ326" s="291"/>
      <c r="AK326" s="292"/>
    </row>
    <row r="327" spans="1:37">
      <c r="A327" s="281"/>
      <c r="B327" s="281"/>
      <c r="C327" s="282"/>
      <c r="D327" s="282"/>
      <c r="E327" s="282"/>
      <c r="F327" s="283"/>
      <c r="G327" s="284"/>
      <c r="H327" s="147"/>
      <c r="I327" s="285"/>
      <c r="J327" s="288"/>
      <c r="K327" s="287"/>
      <c r="L327" s="288"/>
      <c r="M327" s="286"/>
      <c r="N327" s="287"/>
      <c r="O327" s="288"/>
      <c r="P327" s="286"/>
      <c r="Q327" s="286"/>
      <c r="R327" s="287"/>
      <c r="S327" s="286"/>
      <c r="T327" s="286"/>
      <c r="U327" s="286"/>
      <c r="V327" s="287"/>
      <c r="W327" s="288"/>
      <c r="X327" s="286"/>
      <c r="Y327" s="286"/>
      <c r="Z327" s="287"/>
      <c r="AA327" s="288"/>
      <c r="AB327" s="286"/>
      <c r="AC327" s="294"/>
      <c r="AD327" s="289"/>
      <c r="AE327" s="290"/>
      <c r="AF327" s="289"/>
      <c r="AG327" s="290"/>
      <c r="AH327" s="284"/>
      <c r="AI327" s="147"/>
      <c r="AJ327" s="291"/>
      <c r="AK327" s="292"/>
    </row>
    <row r="328" spans="1:37">
      <c r="A328" s="281"/>
      <c r="B328" s="281"/>
      <c r="C328" s="282"/>
      <c r="D328" s="282"/>
      <c r="E328" s="282"/>
      <c r="F328" s="283"/>
      <c r="G328" s="284"/>
      <c r="H328" s="147"/>
      <c r="I328" s="285"/>
      <c r="J328" s="288"/>
      <c r="K328" s="287"/>
      <c r="L328" s="288"/>
      <c r="M328" s="286"/>
      <c r="N328" s="287"/>
      <c r="O328" s="288"/>
      <c r="P328" s="286"/>
      <c r="Q328" s="286"/>
      <c r="R328" s="287"/>
      <c r="S328" s="286"/>
      <c r="T328" s="286"/>
      <c r="U328" s="286"/>
      <c r="V328" s="287"/>
      <c r="W328" s="288"/>
      <c r="X328" s="286"/>
      <c r="Y328" s="286"/>
      <c r="Z328" s="287"/>
      <c r="AA328" s="288"/>
      <c r="AB328" s="286"/>
      <c r="AC328" s="294"/>
      <c r="AD328" s="289"/>
      <c r="AE328" s="290"/>
      <c r="AF328" s="289"/>
      <c r="AG328" s="290"/>
      <c r="AH328" s="284"/>
      <c r="AI328" s="147"/>
      <c r="AJ328" s="291"/>
      <c r="AK328" s="292"/>
    </row>
    <row r="329" spans="1:37">
      <c r="A329" s="281"/>
      <c r="B329" s="281"/>
      <c r="C329" s="282"/>
      <c r="D329" s="282"/>
      <c r="E329" s="282"/>
      <c r="F329" s="283"/>
      <c r="G329" s="284"/>
      <c r="H329" s="147"/>
      <c r="I329" s="285"/>
      <c r="J329" s="288"/>
      <c r="K329" s="287"/>
      <c r="L329" s="288"/>
      <c r="M329" s="286"/>
      <c r="N329" s="287"/>
      <c r="O329" s="288"/>
      <c r="P329" s="286"/>
      <c r="Q329" s="286"/>
      <c r="R329" s="287"/>
      <c r="S329" s="286"/>
      <c r="T329" s="286"/>
      <c r="U329" s="286"/>
      <c r="V329" s="287"/>
      <c r="W329" s="288"/>
      <c r="X329" s="286"/>
      <c r="Y329" s="286"/>
      <c r="Z329" s="287"/>
      <c r="AA329" s="288"/>
      <c r="AB329" s="286"/>
      <c r="AC329" s="294"/>
      <c r="AD329" s="289"/>
      <c r="AE329" s="290"/>
      <c r="AF329" s="289"/>
      <c r="AG329" s="290"/>
      <c r="AH329" s="284"/>
      <c r="AI329" s="147"/>
      <c r="AJ329" s="291"/>
      <c r="AK329" s="292"/>
    </row>
    <row r="330" spans="1:37">
      <c r="A330" s="281"/>
      <c r="B330" s="281"/>
      <c r="C330" s="282"/>
      <c r="D330" s="282"/>
      <c r="E330" s="282"/>
      <c r="F330" s="283"/>
      <c r="G330" s="284"/>
      <c r="H330" s="147"/>
      <c r="I330" s="285"/>
      <c r="J330" s="288"/>
      <c r="K330" s="287"/>
      <c r="L330" s="288"/>
      <c r="M330" s="286"/>
      <c r="N330" s="287"/>
      <c r="O330" s="288"/>
      <c r="P330" s="286"/>
      <c r="Q330" s="286"/>
      <c r="R330" s="287"/>
      <c r="S330" s="286"/>
      <c r="T330" s="286"/>
      <c r="U330" s="286"/>
      <c r="V330" s="287"/>
      <c r="W330" s="288"/>
      <c r="X330" s="286"/>
      <c r="Y330" s="286"/>
      <c r="Z330" s="287"/>
      <c r="AA330" s="288"/>
      <c r="AB330" s="286"/>
      <c r="AC330" s="294"/>
      <c r="AD330" s="289"/>
      <c r="AE330" s="290"/>
      <c r="AF330" s="289"/>
      <c r="AG330" s="290"/>
      <c r="AH330" s="284"/>
      <c r="AI330" s="147"/>
      <c r="AJ330" s="291"/>
      <c r="AK330" s="292"/>
    </row>
    <row r="331" spans="1:37">
      <c r="A331" s="281"/>
      <c r="B331" s="281"/>
      <c r="C331" s="282"/>
      <c r="D331" s="282"/>
      <c r="E331" s="282"/>
      <c r="F331" s="283"/>
      <c r="G331" s="284"/>
      <c r="H331" s="147"/>
      <c r="I331" s="285"/>
      <c r="J331" s="288"/>
      <c r="K331" s="287"/>
      <c r="L331" s="288"/>
      <c r="M331" s="286"/>
      <c r="N331" s="287"/>
      <c r="O331" s="288"/>
      <c r="P331" s="286"/>
      <c r="Q331" s="286"/>
      <c r="R331" s="287"/>
      <c r="S331" s="286"/>
      <c r="T331" s="286"/>
      <c r="U331" s="286"/>
      <c r="V331" s="287"/>
      <c r="W331" s="288"/>
      <c r="X331" s="286"/>
      <c r="Y331" s="286"/>
      <c r="Z331" s="287"/>
      <c r="AA331" s="288"/>
      <c r="AB331" s="286"/>
      <c r="AC331" s="294"/>
      <c r="AD331" s="289"/>
      <c r="AE331" s="290"/>
      <c r="AF331" s="289"/>
      <c r="AG331" s="290"/>
      <c r="AH331" s="284"/>
      <c r="AI331" s="147"/>
      <c r="AJ331" s="291"/>
      <c r="AK331" s="292"/>
    </row>
    <row r="332" spans="1:37">
      <c r="A332" s="281"/>
      <c r="B332" s="281"/>
      <c r="C332" s="282"/>
      <c r="D332" s="282"/>
      <c r="E332" s="282"/>
      <c r="F332" s="283"/>
      <c r="G332" s="284"/>
      <c r="H332" s="147"/>
      <c r="I332" s="285"/>
      <c r="J332" s="288"/>
      <c r="K332" s="287"/>
      <c r="L332" s="288"/>
      <c r="M332" s="286"/>
      <c r="N332" s="287"/>
      <c r="O332" s="288"/>
      <c r="P332" s="286"/>
      <c r="Q332" s="286"/>
      <c r="R332" s="287"/>
      <c r="S332" s="286"/>
      <c r="T332" s="286"/>
      <c r="U332" s="286"/>
      <c r="V332" s="287"/>
      <c r="W332" s="288"/>
      <c r="X332" s="286"/>
      <c r="Y332" s="286"/>
      <c r="Z332" s="287"/>
      <c r="AA332" s="288"/>
      <c r="AB332" s="286"/>
      <c r="AC332" s="294"/>
      <c r="AD332" s="289"/>
      <c r="AE332" s="290"/>
      <c r="AF332" s="289"/>
      <c r="AG332" s="290"/>
      <c r="AH332" s="284"/>
      <c r="AI332" s="147"/>
      <c r="AJ332" s="291"/>
      <c r="AK332" s="292"/>
    </row>
    <row r="333" spans="1:37">
      <c r="A333" s="281"/>
      <c r="B333" s="281"/>
      <c r="C333" s="282"/>
      <c r="D333" s="282"/>
      <c r="E333" s="282"/>
      <c r="F333" s="283"/>
      <c r="G333" s="284"/>
      <c r="H333" s="147"/>
      <c r="I333" s="285"/>
      <c r="J333" s="288"/>
      <c r="K333" s="287"/>
      <c r="L333" s="288"/>
      <c r="M333" s="286"/>
      <c r="N333" s="287"/>
      <c r="O333" s="288"/>
      <c r="P333" s="286"/>
      <c r="Q333" s="286"/>
      <c r="R333" s="287"/>
      <c r="S333" s="286"/>
      <c r="T333" s="286"/>
      <c r="U333" s="286"/>
      <c r="V333" s="287"/>
      <c r="W333" s="288"/>
      <c r="X333" s="286"/>
      <c r="Y333" s="286"/>
      <c r="Z333" s="287"/>
      <c r="AA333" s="288"/>
      <c r="AB333" s="286"/>
      <c r="AC333" s="294"/>
      <c r="AD333" s="289"/>
      <c r="AE333" s="290"/>
      <c r="AF333" s="289"/>
      <c r="AG333" s="290"/>
      <c r="AH333" s="284"/>
      <c r="AI333" s="147"/>
      <c r="AJ333" s="291"/>
      <c r="AK333" s="292"/>
    </row>
    <row r="334" spans="1:37">
      <c r="A334" s="281"/>
      <c r="B334" s="281"/>
      <c r="C334" s="282"/>
      <c r="D334" s="282"/>
      <c r="E334" s="282"/>
      <c r="F334" s="283"/>
      <c r="G334" s="284"/>
      <c r="H334" s="147"/>
      <c r="I334" s="285"/>
      <c r="J334" s="288"/>
      <c r="K334" s="287"/>
      <c r="L334" s="288"/>
      <c r="M334" s="286"/>
      <c r="N334" s="287"/>
      <c r="O334" s="288"/>
      <c r="P334" s="286"/>
      <c r="Q334" s="286"/>
      <c r="R334" s="287"/>
      <c r="S334" s="286"/>
      <c r="T334" s="286"/>
      <c r="U334" s="286"/>
      <c r="V334" s="287"/>
      <c r="W334" s="288"/>
      <c r="X334" s="286"/>
      <c r="Y334" s="286"/>
      <c r="Z334" s="287"/>
      <c r="AA334" s="288"/>
      <c r="AB334" s="286"/>
      <c r="AC334" s="294"/>
      <c r="AD334" s="289"/>
      <c r="AE334" s="290"/>
      <c r="AF334" s="289"/>
      <c r="AG334" s="290"/>
      <c r="AH334" s="284"/>
      <c r="AI334" s="147"/>
      <c r="AJ334" s="291"/>
      <c r="AK334" s="292"/>
    </row>
    <row r="335" spans="1:37">
      <c r="A335" s="281"/>
      <c r="B335" s="281"/>
      <c r="C335" s="282"/>
      <c r="D335" s="282"/>
      <c r="E335" s="282"/>
      <c r="F335" s="283"/>
      <c r="G335" s="284"/>
      <c r="H335" s="147"/>
      <c r="I335" s="285"/>
      <c r="J335" s="288"/>
      <c r="K335" s="287"/>
      <c r="L335" s="288"/>
      <c r="M335" s="286"/>
      <c r="N335" s="287"/>
      <c r="O335" s="288"/>
      <c r="P335" s="286"/>
      <c r="Q335" s="286"/>
      <c r="R335" s="287"/>
      <c r="S335" s="286"/>
      <c r="T335" s="286"/>
      <c r="U335" s="286"/>
      <c r="V335" s="287"/>
      <c r="W335" s="288"/>
      <c r="X335" s="286"/>
      <c r="Y335" s="286"/>
      <c r="Z335" s="287"/>
      <c r="AA335" s="288"/>
      <c r="AB335" s="286"/>
      <c r="AC335" s="294"/>
      <c r="AD335" s="289"/>
      <c r="AE335" s="290"/>
      <c r="AF335" s="289"/>
      <c r="AG335" s="290"/>
      <c r="AH335" s="284"/>
      <c r="AI335" s="147"/>
      <c r="AJ335" s="291"/>
      <c r="AK335" s="292"/>
    </row>
    <row r="336" spans="1:37">
      <c r="A336" s="281"/>
      <c r="B336" s="281"/>
      <c r="C336" s="282"/>
      <c r="D336" s="282"/>
      <c r="E336" s="282"/>
      <c r="F336" s="283"/>
      <c r="G336" s="284"/>
      <c r="H336" s="147"/>
      <c r="I336" s="285"/>
      <c r="J336" s="288"/>
      <c r="K336" s="287"/>
      <c r="L336" s="288"/>
      <c r="M336" s="286"/>
      <c r="N336" s="287"/>
      <c r="O336" s="288"/>
      <c r="P336" s="286"/>
      <c r="Q336" s="286"/>
      <c r="R336" s="287"/>
      <c r="S336" s="286"/>
      <c r="T336" s="286"/>
      <c r="U336" s="286"/>
      <c r="V336" s="287"/>
      <c r="W336" s="288"/>
      <c r="X336" s="286"/>
      <c r="Y336" s="286"/>
      <c r="Z336" s="287"/>
      <c r="AA336" s="288"/>
      <c r="AB336" s="286"/>
      <c r="AC336" s="294"/>
      <c r="AD336" s="289"/>
      <c r="AE336" s="290"/>
      <c r="AF336" s="289"/>
      <c r="AG336" s="290"/>
      <c r="AH336" s="284"/>
      <c r="AI336" s="147"/>
      <c r="AJ336" s="291"/>
      <c r="AK336" s="292"/>
    </row>
    <row r="337" spans="1:37">
      <c r="A337" s="281"/>
      <c r="B337" s="281"/>
      <c r="C337" s="282"/>
      <c r="D337" s="282"/>
      <c r="E337" s="282"/>
      <c r="F337" s="283"/>
      <c r="G337" s="284"/>
      <c r="H337" s="147"/>
      <c r="I337" s="285"/>
      <c r="J337" s="288"/>
      <c r="K337" s="287"/>
      <c r="L337" s="288"/>
      <c r="M337" s="286"/>
      <c r="N337" s="287"/>
      <c r="O337" s="288"/>
      <c r="P337" s="286"/>
      <c r="Q337" s="286"/>
      <c r="R337" s="287"/>
      <c r="S337" s="286"/>
      <c r="T337" s="286"/>
      <c r="U337" s="286"/>
      <c r="V337" s="287"/>
      <c r="W337" s="288"/>
      <c r="X337" s="286"/>
      <c r="Y337" s="286"/>
      <c r="Z337" s="287"/>
      <c r="AA337" s="288"/>
      <c r="AB337" s="286"/>
      <c r="AC337" s="294"/>
      <c r="AD337" s="289"/>
      <c r="AE337" s="290"/>
      <c r="AF337" s="289"/>
      <c r="AG337" s="290"/>
      <c r="AH337" s="284"/>
      <c r="AI337" s="147"/>
      <c r="AJ337" s="291"/>
      <c r="AK337" s="292"/>
    </row>
    <row r="338" spans="1:37">
      <c r="A338" s="281"/>
      <c r="B338" s="281"/>
      <c r="C338" s="282"/>
      <c r="D338" s="282"/>
      <c r="E338" s="282"/>
      <c r="F338" s="283"/>
      <c r="G338" s="284"/>
      <c r="H338" s="147"/>
      <c r="I338" s="285"/>
      <c r="J338" s="288"/>
      <c r="K338" s="287"/>
      <c r="L338" s="288"/>
      <c r="M338" s="286"/>
      <c r="N338" s="287"/>
      <c r="O338" s="288"/>
      <c r="P338" s="286"/>
      <c r="Q338" s="286"/>
      <c r="R338" s="287"/>
      <c r="S338" s="286"/>
      <c r="T338" s="286"/>
      <c r="U338" s="286"/>
      <c r="V338" s="287"/>
      <c r="W338" s="288"/>
      <c r="X338" s="286"/>
      <c r="Y338" s="286"/>
      <c r="Z338" s="287"/>
      <c r="AA338" s="288"/>
      <c r="AB338" s="286"/>
      <c r="AC338" s="294"/>
      <c r="AD338" s="289"/>
      <c r="AE338" s="290"/>
      <c r="AF338" s="289"/>
      <c r="AG338" s="290"/>
      <c r="AH338" s="284"/>
      <c r="AI338" s="147"/>
      <c r="AJ338" s="291"/>
      <c r="AK338" s="292"/>
    </row>
    <row r="339" spans="1:37">
      <c r="A339" s="281"/>
      <c r="B339" s="281"/>
      <c r="C339" s="282"/>
      <c r="D339" s="282"/>
      <c r="E339" s="282"/>
      <c r="F339" s="283"/>
      <c r="G339" s="284"/>
      <c r="H339" s="147"/>
      <c r="I339" s="285"/>
      <c r="J339" s="288"/>
      <c r="K339" s="287"/>
      <c r="L339" s="288"/>
      <c r="M339" s="286"/>
      <c r="N339" s="287"/>
      <c r="O339" s="288"/>
      <c r="P339" s="286"/>
      <c r="Q339" s="286"/>
      <c r="R339" s="287"/>
      <c r="S339" s="286"/>
      <c r="T339" s="286"/>
      <c r="U339" s="286"/>
      <c r="V339" s="287"/>
      <c r="W339" s="288"/>
      <c r="X339" s="286"/>
      <c r="Y339" s="286"/>
      <c r="Z339" s="287"/>
      <c r="AA339" s="288"/>
      <c r="AB339" s="286"/>
      <c r="AC339" s="294"/>
      <c r="AD339" s="289"/>
      <c r="AE339" s="290"/>
      <c r="AF339" s="289"/>
      <c r="AG339" s="290"/>
      <c r="AH339" s="284"/>
      <c r="AI339" s="147"/>
      <c r="AJ339" s="291"/>
      <c r="AK339" s="292"/>
    </row>
    <row r="340" spans="1:37">
      <c r="A340" s="281"/>
      <c r="B340" s="281"/>
      <c r="C340" s="282"/>
      <c r="D340" s="282"/>
      <c r="E340" s="282"/>
      <c r="F340" s="283"/>
      <c r="G340" s="284"/>
      <c r="H340" s="147"/>
      <c r="I340" s="285"/>
      <c r="J340" s="288"/>
      <c r="K340" s="287"/>
      <c r="L340" s="288"/>
      <c r="M340" s="286"/>
      <c r="N340" s="287"/>
      <c r="O340" s="288"/>
      <c r="P340" s="286"/>
      <c r="Q340" s="286"/>
      <c r="R340" s="287"/>
      <c r="S340" s="286"/>
      <c r="T340" s="286"/>
      <c r="U340" s="286"/>
      <c r="V340" s="287"/>
      <c r="W340" s="288"/>
      <c r="X340" s="286"/>
      <c r="Y340" s="286"/>
      <c r="Z340" s="287"/>
      <c r="AA340" s="288"/>
      <c r="AB340" s="286"/>
      <c r="AC340" s="294"/>
      <c r="AD340" s="289"/>
      <c r="AE340" s="290"/>
      <c r="AF340" s="289"/>
      <c r="AG340" s="290"/>
      <c r="AH340" s="284"/>
      <c r="AI340" s="147"/>
      <c r="AJ340" s="291"/>
      <c r="AK340" s="292"/>
    </row>
    <row r="341" spans="1:37">
      <c r="A341" s="281"/>
      <c r="B341" s="281"/>
      <c r="C341" s="282"/>
      <c r="D341" s="282"/>
      <c r="E341" s="282"/>
      <c r="F341" s="283"/>
      <c r="G341" s="284"/>
      <c r="H341" s="147"/>
      <c r="I341" s="285"/>
      <c r="J341" s="288"/>
      <c r="K341" s="287"/>
      <c r="L341" s="288"/>
      <c r="M341" s="286"/>
      <c r="N341" s="287"/>
      <c r="O341" s="288"/>
      <c r="P341" s="286"/>
      <c r="Q341" s="286"/>
      <c r="R341" s="287"/>
      <c r="S341" s="286"/>
      <c r="T341" s="286"/>
      <c r="U341" s="286"/>
      <c r="V341" s="287"/>
      <c r="W341" s="288"/>
      <c r="X341" s="286"/>
      <c r="Y341" s="286"/>
      <c r="Z341" s="287"/>
      <c r="AA341" s="288"/>
      <c r="AB341" s="286"/>
      <c r="AC341" s="294"/>
      <c r="AD341" s="289"/>
      <c r="AE341" s="290"/>
      <c r="AF341" s="289"/>
      <c r="AG341" s="290"/>
      <c r="AH341" s="284"/>
      <c r="AI341" s="147"/>
      <c r="AJ341" s="291"/>
      <c r="AK341" s="292"/>
    </row>
    <row r="342" spans="1:37">
      <c r="A342" s="281"/>
      <c r="B342" s="281"/>
      <c r="C342" s="282"/>
      <c r="D342" s="282"/>
      <c r="E342" s="282"/>
      <c r="F342" s="283"/>
      <c r="G342" s="284"/>
      <c r="H342" s="147"/>
      <c r="I342" s="285"/>
      <c r="J342" s="288"/>
      <c r="K342" s="287"/>
      <c r="L342" s="288"/>
      <c r="M342" s="286"/>
      <c r="N342" s="287"/>
      <c r="O342" s="288"/>
      <c r="P342" s="286"/>
      <c r="Q342" s="286"/>
      <c r="R342" s="287"/>
      <c r="S342" s="286"/>
      <c r="T342" s="286"/>
      <c r="U342" s="286"/>
      <c r="V342" s="287"/>
      <c r="W342" s="288"/>
      <c r="X342" s="286"/>
      <c r="Y342" s="286"/>
      <c r="Z342" s="287"/>
      <c r="AA342" s="288"/>
      <c r="AB342" s="286"/>
      <c r="AC342" s="294"/>
      <c r="AD342" s="289"/>
      <c r="AE342" s="290"/>
      <c r="AF342" s="289"/>
      <c r="AG342" s="290"/>
      <c r="AH342" s="284"/>
      <c r="AI342" s="147"/>
      <c r="AJ342" s="291"/>
      <c r="AK342" s="292"/>
    </row>
    <row r="343" spans="1:37">
      <c r="A343" s="281"/>
      <c r="B343" s="281"/>
      <c r="C343" s="282"/>
      <c r="D343" s="282"/>
      <c r="E343" s="282"/>
      <c r="F343" s="283"/>
      <c r="G343" s="284"/>
      <c r="H343" s="147"/>
      <c r="I343" s="285"/>
      <c r="J343" s="288"/>
      <c r="K343" s="287"/>
      <c r="L343" s="288"/>
      <c r="M343" s="286"/>
      <c r="N343" s="287"/>
      <c r="O343" s="288"/>
      <c r="P343" s="286"/>
      <c r="Q343" s="286"/>
      <c r="R343" s="287"/>
      <c r="S343" s="286"/>
      <c r="T343" s="286"/>
      <c r="U343" s="286"/>
      <c r="V343" s="287"/>
      <c r="W343" s="288"/>
      <c r="X343" s="286"/>
      <c r="Y343" s="286"/>
      <c r="Z343" s="287"/>
      <c r="AA343" s="288"/>
      <c r="AB343" s="286"/>
      <c r="AC343" s="294"/>
      <c r="AD343" s="289"/>
      <c r="AE343" s="290"/>
      <c r="AF343" s="289"/>
      <c r="AG343" s="290"/>
      <c r="AH343" s="284"/>
      <c r="AI343" s="147"/>
      <c r="AJ343" s="291"/>
      <c r="AK343" s="292"/>
    </row>
    <row r="344" spans="1:37">
      <c r="A344" s="281"/>
      <c r="B344" s="281"/>
      <c r="C344" s="282"/>
      <c r="D344" s="282"/>
      <c r="E344" s="282"/>
      <c r="F344" s="283"/>
      <c r="G344" s="284"/>
      <c r="H344" s="147"/>
      <c r="I344" s="285"/>
      <c r="J344" s="288"/>
      <c r="K344" s="287"/>
      <c r="L344" s="288"/>
      <c r="M344" s="286"/>
      <c r="N344" s="287"/>
      <c r="O344" s="288"/>
      <c r="P344" s="286"/>
      <c r="Q344" s="286"/>
      <c r="R344" s="287"/>
      <c r="S344" s="286"/>
      <c r="T344" s="286"/>
      <c r="U344" s="286"/>
      <c r="V344" s="287"/>
      <c r="W344" s="288"/>
      <c r="X344" s="286"/>
      <c r="Y344" s="286"/>
      <c r="Z344" s="287"/>
      <c r="AA344" s="288"/>
      <c r="AB344" s="286"/>
      <c r="AC344" s="294"/>
      <c r="AD344" s="289"/>
      <c r="AE344" s="290"/>
      <c r="AF344" s="289"/>
      <c r="AG344" s="290"/>
      <c r="AH344" s="284"/>
      <c r="AI344" s="147"/>
      <c r="AJ344" s="291"/>
      <c r="AK344" s="292"/>
    </row>
    <row r="345" spans="1:37">
      <c r="A345" s="281"/>
      <c r="B345" s="281"/>
      <c r="C345" s="282"/>
      <c r="D345" s="282"/>
      <c r="E345" s="282"/>
      <c r="F345" s="283"/>
      <c r="G345" s="284"/>
      <c r="H345" s="147"/>
      <c r="I345" s="285"/>
      <c r="J345" s="288"/>
      <c r="K345" s="287"/>
      <c r="L345" s="288"/>
      <c r="M345" s="286"/>
      <c r="N345" s="287"/>
      <c r="O345" s="288"/>
      <c r="P345" s="286"/>
      <c r="Q345" s="286"/>
      <c r="R345" s="287"/>
      <c r="S345" s="286"/>
      <c r="T345" s="286"/>
      <c r="U345" s="286"/>
      <c r="V345" s="287"/>
      <c r="W345" s="288"/>
      <c r="X345" s="286"/>
      <c r="Y345" s="286"/>
      <c r="Z345" s="287"/>
      <c r="AA345" s="288"/>
      <c r="AB345" s="286"/>
      <c r="AC345" s="294"/>
      <c r="AD345" s="289"/>
      <c r="AE345" s="290"/>
      <c r="AF345" s="289"/>
      <c r="AG345" s="290"/>
      <c r="AH345" s="284"/>
      <c r="AI345" s="147"/>
      <c r="AJ345" s="291"/>
      <c r="AK345" s="292"/>
    </row>
    <row r="346" spans="1:37">
      <c r="A346" s="281"/>
      <c r="B346" s="281"/>
      <c r="C346" s="282"/>
      <c r="D346" s="282"/>
      <c r="E346" s="282"/>
      <c r="F346" s="283"/>
      <c r="G346" s="284"/>
      <c r="H346" s="147"/>
      <c r="I346" s="285"/>
      <c r="J346" s="288"/>
      <c r="K346" s="287"/>
      <c r="L346" s="288"/>
      <c r="M346" s="286"/>
      <c r="N346" s="287"/>
      <c r="O346" s="288"/>
      <c r="P346" s="286"/>
      <c r="Q346" s="286"/>
      <c r="R346" s="287"/>
      <c r="S346" s="286"/>
      <c r="T346" s="286"/>
      <c r="U346" s="286"/>
      <c r="V346" s="287"/>
      <c r="W346" s="288"/>
      <c r="X346" s="286"/>
      <c r="Y346" s="286"/>
      <c r="Z346" s="287"/>
      <c r="AA346" s="288"/>
      <c r="AB346" s="286"/>
      <c r="AC346" s="294"/>
      <c r="AD346" s="289"/>
      <c r="AE346" s="290"/>
      <c r="AF346" s="289"/>
      <c r="AG346" s="290"/>
      <c r="AH346" s="284"/>
      <c r="AI346" s="147"/>
      <c r="AJ346" s="291"/>
      <c r="AK346" s="292"/>
    </row>
    <row r="347" spans="1:37">
      <c r="A347" s="281"/>
      <c r="B347" s="281"/>
      <c r="C347" s="282"/>
      <c r="D347" s="282"/>
      <c r="E347" s="282"/>
      <c r="F347" s="283"/>
      <c r="G347" s="284"/>
      <c r="H347" s="147"/>
      <c r="I347" s="285"/>
      <c r="J347" s="288"/>
      <c r="K347" s="287"/>
      <c r="L347" s="288"/>
      <c r="M347" s="286"/>
      <c r="N347" s="287"/>
      <c r="O347" s="288"/>
      <c r="P347" s="286"/>
      <c r="Q347" s="286"/>
      <c r="R347" s="287"/>
      <c r="S347" s="286"/>
      <c r="T347" s="286"/>
      <c r="U347" s="286"/>
      <c r="V347" s="287"/>
      <c r="W347" s="288"/>
      <c r="X347" s="286"/>
      <c r="Y347" s="286"/>
      <c r="Z347" s="287"/>
      <c r="AA347" s="288"/>
      <c r="AB347" s="286"/>
      <c r="AC347" s="294"/>
      <c r="AD347" s="289"/>
      <c r="AE347" s="290"/>
      <c r="AF347" s="289"/>
      <c r="AG347" s="290"/>
      <c r="AH347" s="284"/>
      <c r="AI347" s="147"/>
      <c r="AJ347" s="291"/>
      <c r="AK347" s="292"/>
    </row>
    <row r="348" spans="1:37">
      <c r="A348" s="281"/>
      <c r="B348" s="281"/>
      <c r="C348" s="282"/>
      <c r="D348" s="282"/>
      <c r="E348" s="282"/>
      <c r="F348" s="283"/>
      <c r="G348" s="284"/>
      <c r="H348" s="147"/>
      <c r="I348" s="285"/>
      <c r="J348" s="288"/>
      <c r="K348" s="287"/>
      <c r="L348" s="288"/>
      <c r="M348" s="286"/>
      <c r="N348" s="287"/>
      <c r="O348" s="288"/>
      <c r="P348" s="286"/>
      <c r="Q348" s="286"/>
      <c r="R348" s="287"/>
      <c r="S348" s="286"/>
      <c r="T348" s="286"/>
      <c r="U348" s="286"/>
      <c r="V348" s="287"/>
      <c r="W348" s="288"/>
      <c r="X348" s="286"/>
      <c r="Y348" s="286"/>
      <c r="Z348" s="287"/>
      <c r="AA348" s="288"/>
      <c r="AB348" s="286"/>
      <c r="AC348" s="294"/>
      <c r="AD348" s="289"/>
      <c r="AE348" s="290"/>
      <c r="AF348" s="289"/>
      <c r="AG348" s="290"/>
      <c r="AH348" s="284"/>
      <c r="AI348" s="147"/>
      <c r="AJ348" s="291"/>
      <c r="AK348" s="292"/>
    </row>
    <row r="349" spans="1:37">
      <c r="A349" s="281"/>
      <c r="B349" s="281"/>
      <c r="C349" s="282"/>
      <c r="D349" s="282"/>
      <c r="E349" s="282"/>
      <c r="F349" s="283"/>
      <c r="G349" s="284"/>
      <c r="H349" s="147"/>
      <c r="I349" s="285"/>
      <c r="J349" s="288"/>
      <c r="K349" s="287"/>
      <c r="L349" s="288"/>
      <c r="M349" s="286"/>
      <c r="N349" s="287"/>
      <c r="O349" s="288"/>
      <c r="P349" s="286"/>
      <c r="Q349" s="286"/>
      <c r="R349" s="287"/>
      <c r="S349" s="286"/>
      <c r="T349" s="286"/>
      <c r="U349" s="286"/>
      <c r="V349" s="287"/>
      <c r="W349" s="288"/>
      <c r="X349" s="286"/>
      <c r="Y349" s="286"/>
      <c r="Z349" s="287"/>
      <c r="AA349" s="288"/>
      <c r="AB349" s="286"/>
      <c r="AC349" s="294"/>
      <c r="AD349" s="289"/>
      <c r="AE349" s="290"/>
      <c r="AF349" s="289"/>
      <c r="AG349" s="290"/>
      <c r="AH349" s="284"/>
      <c r="AI349" s="147"/>
      <c r="AJ349" s="291"/>
      <c r="AK349" s="292"/>
    </row>
    <row r="350" spans="1:37">
      <c r="A350" s="281"/>
      <c r="B350" s="281"/>
      <c r="C350" s="282"/>
      <c r="D350" s="282"/>
      <c r="E350" s="282"/>
      <c r="F350" s="283"/>
      <c r="G350" s="284"/>
      <c r="H350" s="147"/>
      <c r="I350" s="285"/>
      <c r="J350" s="288"/>
      <c r="K350" s="287"/>
      <c r="L350" s="288"/>
      <c r="M350" s="286"/>
      <c r="N350" s="287"/>
      <c r="O350" s="288"/>
      <c r="P350" s="286"/>
      <c r="Q350" s="286"/>
      <c r="R350" s="287"/>
      <c r="S350" s="286"/>
      <c r="T350" s="286"/>
      <c r="U350" s="286"/>
      <c r="V350" s="287"/>
      <c r="W350" s="288"/>
      <c r="X350" s="286"/>
      <c r="Y350" s="286"/>
      <c r="Z350" s="287"/>
      <c r="AA350" s="288"/>
      <c r="AB350" s="286"/>
      <c r="AC350" s="294"/>
      <c r="AD350" s="289"/>
      <c r="AE350" s="290"/>
      <c r="AF350" s="289"/>
      <c r="AG350" s="290"/>
      <c r="AH350" s="284"/>
      <c r="AI350" s="147"/>
      <c r="AJ350" s="291"/>
      <c r="AK350" s="292"/>
    </row>
    <row r="351" spans="1:37">
      <c r="A351" s="281"/>
      <c r="B351" s="281"/>
      <c r="C351" s="282"/>
      <c r="D351" s="282"/>
      <c r="E351" s="282"/>
      <c r="F351" s="283"/>
      <c r="G351" s="284"/>
      <c r="H351" s="147"/>
      <c r="I351" s="285"/>
      <c r="J351" s="288"/>
      <c r="K351" s="287"/>
      <c r="L351" s="288"/>
      <c r="M351" s="286"/>
      <c r="N351" s="287"/>
      <c r="O351" s="288"/>
      <c r="P351" s="286"/>
      <c r="Q351" s="286"/>
      <c r="R351" s="287"/>
      <c r="S351" s="286"/>
      <c r="T351" s="286"/>
      <c r="U351" s="286"/>
      <c r="V351" s="287"/>
      <c r="W351" s="288"/>
      <c r="X351" s="286"/>
      <c r="Y351" s="286"/>
      <c r="Z351" s="287"/>
      <c r="AA351" s="288"/>
      <c r="AB351" s="286"/>
      <c r="AC351" s="294"/>
      <c r="AD351" s="289"/>
      <c r="AE351" s="290"/>
      <c r="AF351" s="289"/>
      <c r="AG351" s="290"/>
      <c r="AH351" s="284"/>
      <c r="AI351" s="147"/>
      <c r="AJ351" s="291"/>
      <c r="AK351" s="292"/>
    </row>
    <row r="352" spans="1:37">
      <c r="A352" s="281"/>
      <c r="B352" s="281"/>
      <c r="C352" s="282"/>
      <c r="D352" s="282"/>
      <c r="E352" s="282"/>
      <c r="F352" s="283"/>
      <c r="G352" s="284"/>
      <c r="H352" s="147"/>
      <c r="I352" s="285"/>
      <c r="J352" s="288"/>
      <c r="K352" s="287"/>
      <c r="L352" s="288"/>
      <c r="M352" s="286"/>
      <c r="N352" s="287"/>
      <c r="O352" s="288"/>
      <c r="P352" s="286"/>
      <c r="Q352" s="286"/>
      <c r="R352" s="287"/>
      <c r="S352" s="286"/>
      <c r="T352" s="286"/>
      <c r="U352" s="286"/>
      <c r="V352" s="287"/>
      <c r="W352" s="288"/>
      <c r="X352" s="286"/>
      <c r="Y352" s="286"/>
      <c r="Z352" s="287"/>
      <c r="AA352" s="288"/>
      <c r="AB352" s="286"/>
      <c r="AC352" s="294"/>
      <c r="AD352" s="289"/>
      <c r="AE352" s="290"/>
      <c r="AF352" s="289"/>
      <c r="AG352" s="290"/>
      <c r="AH352" s="284"/>
      <c r="AI352" s="147"/>
      <c r="AJ352" s="291"/>
      <c r="AK352" s="292"/>
    </row>
    <row r="353" spans="1:37">
      <c r="A353" s="281"/>
      <c r="B353" s="281"/>
      <c r="C353" s="282"/>
      <c r="D353" s="282"/>
      <c r="E353" s="282"/>
      <c r="F353" s="283"/>
      <c r="G353" s="284"/>
      <c r="H353" s="147"/>
      <c r="I353" s="285"/>
      <c r="J353" s="288"/>
      <c r="K353" s="287"/>
      <c r="L353" s="288"/>
      <c r="M353" s="286"/>
      <c r="N353" s="287"/>
      <c r="O353" s="288"/>
      <c r="P353" s="286"/>
      <c r="Q353" s="286"/>
      <c r="R353" s="287"/>
      <c r="S353" s="286"/>
      <c r="T353" s="286"/>
      <c r="U353" s="286"/>
      <c r="V353" s="287"/>
      <c r="W353" s="288"/>
      <c r="X353" s="286"/>
      <c r="Y353" s="286"/>
      <c r="Z353" s="287"/>
      <c r="AA353" s="288"/>
      <c r="AB353" s="286"/>
      <c r="AC353" s="294"/>
      <c r="AD353" s="289"/>
      <c r="AE353" s="290"/>
      <c r="AF353" s="289"/>
      <c r="AG353" s="290"/>
      <c r="AH353" s="284"/>
      <c r="AI353" s="147"/>
      <c r="AJ353" s="291"/>
      <c r="AK353" s="292"/>
    </row>
    <row r="354" spans="1:37">
      <c r="A354" s="281"/>
      <c r="B354" s="281"/>
      <c r="C354" s="282"/>
      <c r="D354" s="282"/>
      <c r="E354" s="282"/>
      <c r="F354" s="283"/>
      <c r="G354" s="284"/>
      <c r="H354" s="147"/>
      <c r="I354" s="285"/>
      <c r="J354" s="288"/>
      <c r="K354" s="287"/>
      <c r="L354" s="288"/>
      <c r="M354" s="286"/>
      <c r="N354" s="287"/>
      <c r="O354" s="288"/>
      <c r="P354" s="286"/>
      <c r="Q354" s="286"/>
      <c r="R354" s="287"/>
      <c r="S354" s="286"/>
      <c r="T354" s="286"/>
      <c r="U354" s="286"/>
      <c r="V354" s="287"/>
      <c r="W354" s="288"/>
      <c r="X354" s="286"/>
      <c r="Y354" s="286"/>
      <c r="Z354" s="287"/>
      <c r="AA354" s="288"/>
      <c r="AB354" s="286"/>
      <c r="AC354" s="294"/>
      <c r="AD354" s="289"/>
      <c r="AE354" s="290"/>
      <c r="AF354" s="289"/>
      <c r="AG354" s="290"/>
      <c r="AH354" s="284"/>
      <c r="AI354" s="147"/>
      <c r="AJ354" s="291"/>
      <c r="AK354" s="292"/>
    </row>
    <row r="355" spans="1:37">
      <c r="A355" s="281"/>
      <c r="B355" s="281"/>
      <c r="C355" s="282"/>
      <c r="D355" s="282"/>
      <c r="E355" s="282"/>
      <c r="F355" s="283"/>
      <c r="G355" s="284"/>
      <c r="H355" s="147"/>
      <c r="I355" s="285"/>
      <c r="J355" s="288"/>
      <c r="K355" s="287"/>
      <c r="L355" s="288"/>
      <c r="M355" s="286"/>
      <c r="N355" s="287"/>
      <c r="O355" s="288"/>
      <c r="P355" s="286"/>
      <c r="Q355" s="286"/>
      <c r="R355" s="287"/>
      <c r="S355" s="286"/>
      <c r="T355" s="286"/>
      <c r="U355" s="286"/>
      <c r="V355" s="287"/>
      <c r="W355" s="288"/>
      <c r="X355" s="286"/>
      <c r="Y355" s="286"/>
      <c r="Z355" s="287"/>
      <c r="AA355" s="288"/>
      <c r="AB355" s="286"/>
      <c r="AC355" s="294"/>
      <c r="AD355" s="289"/>
      <c r="AE355" s="290"/>
      <c r="AF355" s="289"/>
      <c r="AG355" s="290"/>
      <c r="AH355" s="284"/>
      <c r="AI355" s="147"/>
      <c r="AJ355" s="291"/>
      <c r="AK355" s="292"/>
    </row>
    <row r="356" spans="1:37">
      <c r="A356" s="281"/>
      <c r="B356" s="281"/>
      <c r="C356" s="282"/>
      <c r="D356" s="282"/>
      <c r="E356" s="282"/>
      <c r="F356" s="283"/>
      <c r="G356" s="284"/>
      <c r="H356" s="147"/>
      <c r="I356" s="285"/>
      <c r="J356" s="288"/>
      <c r="K356" s="287"/>
      <c r="L356" s="288"/>
      <c r="M356" s="286"/>
      <c r="N356" s="287"/>
      <c r="O356" s="288"/>
      <c r="P356" s="286"/>
      <c r="Q356" s="286"/>
      <c r="R356" s="287"/>
      <c r="S356" s="286"/>
      <c r="T356" s="286"/>
      <c r="U356" s="286"/>
      <c r="V356" s="287"/>
      <c r="W356" s="288"/>
      <c r="X356" s="286"/>
      <c r="Y356" s="286"/>
      <c r="Z356" s="287"/>
      <c r="AA356" s="288"/>
      <c r="AB356" s="286"/>
      <c r="AC356" s="294"/>
      <c r="AD356" s="289"/>
      <c r="AE356" s="290"/>
      <c r="AF356" s="289"/>
      <c r="AG356" s="290"/>
      <c r="AH356" s="284"/>
      <c r="AI356" s="147"/>
      <c r="AJ356" s="291"/>
      <c r="AK356" s="292"/>
    </row>
    <row r="357" spans="1:37">
      <c r="A357" s="281"/>
      <c r="B357" s="281"/>
      <c r="C357" s="282"/>
      <c r="D357" s="282"/>
      <c r="E357" s="282"/>
      <c r="F357" s="283"/>
      <c r="G357" s="284"/>
      <c r="H357" s="147"/>
      <c r="I357" s="285"/>
      <c r="J357" s="288"/>
      <c r="K357" s="287"/>
      <c r="L357" s="288"/>
      <c r="M357" s="286"/>
      <c r="N357" s="287"/>
      <c r="O357" s="288"/>
      <c r="P357" s="286"/>
      <c r="Q357" s="286"/>
      <c r="R357" s="287"/>
      <c r="S357" s="286"/>
      <c r="T357" s="286"/>
      <c r="U357" s="286"/>
      <c r="V357" s="287"/>
      <c r="W357" s="288"/>
      <c r="X357" s="286"/>
      <c r="Y357" s="286"/>
      <c r="Z357" s="287"/>
      <c r="AA357" s="288"/>
      <c r="AB357" s="286"/>
      <c r="AC357" s="294"/>
      <c r="AD357" s="289"/>
      <c r="AE357" s="290"/>
      <c r="AF357" s="289"/>
      <c r="AG357" s="290"/>
      <c r="AH357" s="284"/>
      <c r="AI357" s="147"/>
      <c r="AJ357" s="291"/>
      <c r="AK357" s="292"/>
    </row>
    <row r="358" spans="1:37">
      <c r="A358" s="281"/>
      <c r="B358" s="281"/>
      <c r="C358" s="282"/>
      <c r="D358" s="282"/>
      <c r="E358" s="282"/>
      <c r="F358" s="283"/>
      <c r="G358" s="284"/>
      <c r="H358" s="147"/>
      <c r="I358" s="285"/>
      <c r="J358" s="288"/>
      <c r="K358" s="287"/>
      <c r="L358" s="288"/>
      <c r="M358" s="286"/>
      <c r="N358" s="287"/>
      <c r="O358" s="288"/>
      <c r="P358" s="286"/>
      <c r="Q358" s="286"/>
      <c r="R358" s="287"/>
      <c r="S358" s="286"/>
      <c r="T358" s="286"/>
      <c r="U358" s="286"/>
      <c r="V358" s="287"/>
      <c r="W358" s="288"/>
      <c r="X358" s="286"/>
      <c r="Y358" s="286"/>
      <c r="Z358" s="287"/>
      <c r="AA358" s="288"/>
      <c r="AB358" s="286"/>
      <c r="AC358" s="294"/>
      <c r="AD358" s="289"/>
      <c r="AE358" s="290"/>
      <c r="AF358" s="289"/>
      <c r="AG358" s="290"/>
      <c r="AH358" s="284"/>
      <c r="AI358" s="147"/>
      <c r="AJ358" s="291"/>
      <c r="AK358" s="292"/>
    </row>
    <row r="359" spans="1:37">
      <c r="A359" s="281"/>
      <c r="B359" s="281"/>
      <c r="C359" s="282"/>
      <c r="D359" s="282"/>
      <c r="E359" s="282"/>
      <c r="F359" s="283"/>
      <c r="G359" s="284"/>
      <c r="H359" s="147"/>
      <c r="I359" s="285"/>
      <c r="J359" s="288"/>
      <c r="K359" s="287"/>
      <c r="L359" s="288"/>
      <c r="M359" s="286"/>
      <c r="N359" s="287"/>
      <c r="O359" s="288"/>
      <c r="P359" s="286"/>
      <c r="Q359" s="286"/>
      <c r="R359" s="287"/>
      <c r="S359" s="286"/>
      <c r="T359" s="286"/>
      <c r="U359" s="286"/>
      <c r="V359" s="287"/>
      <c r="W359" s="288"/>
      <c r="X359" s="286"/>
      <c r="Y359" s="286"/>
      <c r="Z359" s="287"/>
      <c r="AA359" s="288"/>
      <c r="AB359" s="286"/>
      <c r="AC359" s="294"/>
      <c r="AD359" s="289"/>
      <c r="AE359" s="290"/>
      <c r="AF359" s="289"/>
      <c r="AG359" s="290"/>
      <c r="AH359" s="284"/>
      <c r="AI359" s="147"/>
      <c r="AJ359" s="291"/>
      <c r="AK359" s="292"/>
    </row>
    <row r="360" spans="1:37">
      <c r="A360" s="281"/>
      <c r="B360" s="281"/>
      <c r="C360" s="282"/>
      <c r="D360" s="282"/>
      <c r="E360" s="282"/>
      <c r="F360" s="283"/>
      <c r="G360" s="284"/>
      <c r="H360" s="147"/>
      <c r="I360" s="285"/>
      <c r="J360" s="288"/>
      <c r="K360" s="287"/>
      <c r="L360" s="288"/>
      <c r="M360" s="286"/>
      <c r="N360" s="287"/>
      <c r="O360" s="288"/>
      <c r="P360" s="286"/>
      <c r="Q360" s="286"/>
      <c r="R360" s="287"/>
      <c r="S360" s="286"/>
      <c r="T360" s="286"/>
      <c r="U360" s="286"/>
      <c r="V360" s="287"/>
      <c r="W360" s="288"/>
      <c r="X360" s="286"/>
      <c r="Y360" s="286"/>
      <c r="Z360" s="287"/>
      <c r="AA360" s="288"/>
      <c r="AB360" s="286"/>
      <c r="AC360" s="294"/>
      <c r="AD360" s="289"/>
      <c r="AE360" s="290"/>
      <c r="AF360" s="289"/>
      <c r="AG360" s="290"/>
      <c r="AH360" s="284"/>
      <c r="AI360" s="147"/>
      <c r="AJ360" s="291"/>
      <c r="AK360" s="292"/>
    </row>
    <row r="361" spans="1:37">
      <c r="A361" s="281"/>
      <c r="B361" s="281"/>
      <c r="C361" s="282"/>
      <c r="D361" s="282"/>
      <c r="E361" s="282"/>
      <c r="F361" s="283"/>
      <c r="G361" s="284"/>
      <c r="H361" s="147"/>
      <c r="I361" s="285"/>
      <c r="J361" s="288"/>
      <c r="K361" s="287"/>
      <c r="L361" s="288"/>
      <c r="M361" s="286"/>
      <c r="N361" s="287"/>
      <c r="O361" s="288"/>
      <c r="P361" s="286"/>
      <c r="Q361" s="286"/>
      <c r="R361" s="287"/>
      <c r="S361" s="286"/>
      <c r="T361" s="286"/>
      <c r="U361" s="286"/>
      <c r="V361" s="287"/>
      <c r="W361" s="288"/>
      <c r="X361" s="286"/>
      <c r="Y361" s="286"/>
      <c r="Z361" s="287"/>
      <c r="AA361" s="288"/>
      <c r="AB361" s="286"/>
      <c r="AC361" s="294"/>
      <c r="AD361" s="289"/>
      <c r="AE361" s="290"/>
      <c r="AF361" s="289"/>
      <c r="AG361" s="290"/>
      <c r="AH361" s="284"/>
      <c r="AI361" s="147"/>
      <c r="AJ361" s="291"/>
      <c r="AK361" s="292"/>
    </row>
    <row r="362" spans="1:37">
      <c r="A362" s="281"/>
      <c r="B362" s="281"/>
      <c r="C362" s="282"/>
      <c r="D362" s="282"/>
      <c r="E362" s="282"/>
      <c r="F362" s="283"/>
      <c r="G362" s="284"/>
      <c r="H362" s="147"/>
      <c r="I362" s="285"/>
      <c r="J362" s="288"/>
      <c r="K362" s="287"/>
      <c r="L362" s="288"/>
      <c r="M362" s="286"/>
      <c r="N362" s="287"/>
      <c r="O362" s="288"/>
      <c r="P362" s="286"/>
      <c r="Q362" s="286"/>
      <c r="R362" s="287"/>
      <c r="S362" s="286"/>
      <c r="T362" s="286"/>
      <c r="U362" s="286"/>
      <c r="V362" s="287"/>
      <c r="W362" s="288"/>
      <c r="X362" s="286"/>
      <c r="Y362" s="286"/>
      <c r="Z362" s="287"/>
      <c r="AA362" s="288"/>
      <c r="AB362" s="286"/>
      <c r="AC362" s="294"/>
      <c r="AD362" s="289"/>
      <c r="AE362" s="290"/>
      <c r="AF362" s="289"/>
      <c r="AG362" s="290"/>
      <c r="AH362" s="284"/>
      <c r="AI362" s="147"/>
      <c r="AJ362" s="291"/>
      <c r="AK362" s="292"/>
    </row>
    <row r="363" spans="1:37">
      <c r="A363" s="281"/>
      <c r="B363" s="281"/>
      <c r="C363" s="282"/>
      <c r="D363" s="282"/>
      <c r="E363" s="282"/>
      <c r="F363" s="283"/>
      <c r="G363" s="284"/>
      <c r="H363" s="147"/>
      <c r="I363" s="285"/>
      <c r="J363" s="288"/>
      <c r="K363" s="287"/>
      <c r="L363" s="288"/>
      <c r="M363" s="286"/>
      <c r="N363" s="287"/>
      <c r="O363" s="288"/>
      <c r="P363" s="286"/>
      <c r="Q363" s="286"/>
      <c r="R363" s="287"/>
      <c r="S363" s="286"/>
      <c r="T363" s="286"/>
      <c r="U363" s="286"/>
      <c r="V363" s="287"/>
      <c r="W363" s="288"/>
      <c r="X363" s="286"/>
      <c r="Y363" s="286"/>
      <c r="Z363" s="287"/>
      <c r="AA363" s="288"/>
      <c r="AB363" s="286"/>
      <c r="AC363" s="294"/>
      <c r="AD363" s="289"/>
      <c r="AE363" s="290"/>
      <c r="AF363" s="289"/>
      <c r="AG363" s="290"/>
      <c r="AH363" s="284"/>
      <c r="AI363" s="147"/>
      <c r="AJ363" s="291"/>
      <c r="AK363" s="292"/>
    </row>
    <row r="364" spans="1:37">
      <c r="A364" s="281"/>
      <c r="B364" s="281"/>
      <c r="C364" s="282"/>
      <c r="D364" s="282"/>
      <c r="E364" s="282"/>
      <c r="F364" s="283"/>
      <c r="G364" s="284"/>
      <c r="H364" s="147"/>
      <c r="I364" s="285"/>
      <c r="J364" s="288"/>
      <c r="K364" s="287"/>
      <c r="L364" s="288"/>
      <c r="M364" s="286"/>
      <c r="N364" s="287"/>
      <c r="O364" s="288"/>
      <c r="P364" s="286"/>
      <c r="Q364" s="286"/>
      <c r="R364" s="287"/>
      <c r="S364" s="286"/>
      <c r="T364" s="286"/>
      <c r="U364" s="286"/>
      <c r="V364" s="287"/>
      <c r="W364" s="288"/>
      <c r="X364" s="286"/>
      <c r="Y364" s="286"/>
      <c r="Z364" s="287"/>
      <c r="AA364" s="288"/>
      <c r="AB364" s="286"/>
      <c r="AC364" s="294"/>
      <c r="AD364" s="289"/>
      <c r="AE364" s="290"/>
      <c r="AF364" s="289"/>
      <c r="AG364" s="290"/>
      <c r="AH364" s="284"/>
      <c r="AI364" s="147"/>
      <c r="AJ364" s="291"/>
      <c r="AK364" s="292"/>
    </row>
    <row r="365" spans="1:37">
      <c r="A365" s="281"/>
      <c r="B365" s="281"/>
      <c r="C365" s="282"/>
      <c r="D365" s="282"/>
      <c r="E365" s="282"/>
      <c r="F365" s="283"/>
      <c r="G365" s="284"/>
      <c r="H365" s="147"/>
      <c r="I365" s="285"/>
      <c r="J365" s="288"/>
      <c r="K365" s="287"/>
      <c r="L365" s="288"/>
      <c r="M365" s="286"/>
      <c r="N365" s="287"/>
      <c r="O365" s="288"/>
      <c r="P365" s="286"/>
      <c r="Q365" s="286"/>
      <c r="R365" s="287"/>
      <c r="S365" s="286"/>
      <c r="T365" s="286"/>
      <c r="U365" s="286"/>
      <c r="V365" s="287"/>
      <c r="W365" s="288"/>
      <c r="X365" s="286"/>
      <c r="Y365" s="286"/>
      <c r="Z365" s="287"/>
      <c r="AA365" s="288"/>
      <c r="AB365" s="286"/>
      <c r="AC365" s="294"/>
      <c r="AD365" s="289"/>
      <c r="AE365" s="290"/>
      <c r="AF365" s="289"/>
      <c r="AG365" s="290"/>
      <c r="AH365" s="284"/>
      <c r="AI365" s="147"/>
      <c r="AJ365" s="291"/>
      <c r="AK365" s="292"/>
    </row>
    <row r="366" spans="1:37">
      <c r="A366" s="281"/>
      <c r="B366" s="281"/>
      <c r="C366" s="282"/>
      <c r="D366" s="282"/>
      <c r="E366" s="282"/>
      <c r="F366" s="283"/>
      <c r="G366" s="284"/>
      <c r="H366" s="147"/>
      <c r="I366" s="285"/>
      <c r="J366" s="288"/>
      <c r="K366" s="287"/>
      <c r="L366" s="288"/>
      <c r="M366" s="286"/>
      <c r="N366" s="287"/>
      <c r="O366" s="288"/>
      <c r="P366" s="286"/>
      <c r="Q366" s="286"/>
      <c r="R366" s="287"/>
      <c r="S366" s="286"/>
      <c r="T366" s="286"/>
      <c r="U366" s="286"/>
      <c r="V366" s="287"/>
      <c r="W366" s="288"/>
      <c r="X366" s="286"/>
      <c r="Y366" s="286"/>
      <c r="Z366" s="287"/>
      <c r="AA366" s="288"/>
      <c r="AB366" s="286"/>
      <c r="AC366" s="294"/>
      <c r="AD366" s="289"/>
      <c r="AE366" s="290"/>
      <c r="AF366" s="289"/>
      <c r="AG366" s="290"/>
      <c r="AH366" s="284"/>
      <c r="AI366" s="147"/>
      <c r="AJ366" s="291"/>
      <c r="AK366" s="292"/>
    </row>
    <row r="367" spans="1:37">
      <c r="A367" s="281"/>
      <c r="B367" s="281"/>
      <c r="C367" s="282"/>
      <c r="D367" s="282"/>
      <c r="E367" s="282"/>
      <c r="F367" s="283"/>
      <c r="G367" s="284"/>
      <c r="H367" s="147"/>
      <c r="I367" s="285"/>
      <c r="J367" s="288"/>
      <c r="K367" s="287"/>
      <c r="L367" s="288"/>
      <c r="M367" s="286"/>
      <c r="N367" s="287"/>
      <c r="O367" s="288"/>
      <c r="P367" s="286"/>
      <c r="Q367" s="286"/>
      <c r="R367" s="287"/>
      <c r="S367" s="286"/>
      <c r="T367" s="286"/>
      <c r="U367" s="286"/>
      <c r="V367" s="287"/>
      <c r="W367" s="288"/>
      <c r="X367" s="286"/>
      <c r="Y367" s="286"/>
      <c r="Z367" s="287"/>
      <c r="AA367" s="288"/>
      <c r="AB367" s="286"/>
      <c r="AC367" s="294"/>
      <c r="AD367" s="289"/>
      <c r="AE367" s="290"/>
      <c r="AF367" s="289"/>
      <c r="AG367" s="290"/>
      <c r="AH367" s="284"/>
      <c r="AI367" s="147"/>
      <c r="AJ367" s="291"/>
      <c r="AK367" s="292"/>
    </row>
    <row r="368" spans="1:37">
      <c r="A368" s="281"/>
      <c r="B368" s="281"/>
      <c r="C368" s="282"/>
      <c r="D368" s="282"/>
      <c r="E368" s="282"/>
      <c r="F368" s="283"/>
      <c r="G368" s="284"/>
      <c r="H368" s="147"/>
      <c r="I368" s="285"/>
      <c r="J368" s="288"/>
      <c r="K368" s="287"/>
      <c r="L368" s="288"/>
      <c r="M368" s="286"/>
      <c r="N368" s="287"/>
      <c r="O368" s="288"/>
      <c r="P368" s="286"/>
      <c r="Q368" s="286"/>
      <c r="R368" s="287"/>
      <c r="S368" s="286"/>
      <c r="T368" s="286"/>
      <c r="U368" s="286"/>
      <c r="V368" s="287"/>
      <c r="W368" s="288"/>
      <c r="X368" s="286"/>
      <c r="Y368" s="286"/>
      <c r="Z368" s="287"/>
      <c r="AA368" s="288"/>
      <c r="AB368" s="286"/>
      <c r="AC368" s="294"/>
      <c r="AD368" s="289"/>
      <c r="AE368" s="290"/>
      <c r="AF368" s="289"/>
      <c r="AG368" s="290"/>
      <c r="AH368" s="284"/>
      <c r="AI368" s="147"/>
      <c r="AJ368" s="291"/>
      <c r="AK368" s="292"/>
    </row>
    <row r="369" spans="1:37">
      <c r="A369" s="281"/>
      <c r="B369" s="281"/>
      <c r="C369" s="282"/>
      <c r="D369" s="282"/>
      <c r="E369" s="282"/>
      <c r="F369" s="283"/>
      <c r="G369" s="284"/>
      <c r="H369" s="147"/>
      <c r="I369" s="285"/>
      <c r="J369" s="288"/>
      <c r="K369" s="287"/>
      <c r="L369" s="288"/>
      <c r="M369" s="286"/>
      <c r="N369" s="287"/>
      <c r="O369" s="288"/>
      <c r="P369" s="286"/>
      <c r="Q369" s="286"/>
      <c r="R369" s="287"/>
      <c r="S369" s="286"/>
      <c r="T369" s="286"/>
      <c r="U369" s="286"/>
      <c r="V369" s="287"/>
      <c r="W369" s="288"/>
      <c r="X369" s="286"/>
      <c r="Y369" s="286"/>
      <c r="Z369" s="287"/>
      <c r="AA369" s="288"/>
      <c r="AB369" s="286"/>
      <c r="AC369" s="294"/>
      <c r="AD369" s="289"/>
      <c r="AE369" s="290"/>
      <c r="AF369" s="289"/>
      <c r="AG369" s="290"/>
      <c r="AH369" s="284"/>
      <c r="AI369" s="147"/>
      <c r="AJ369" s="291"/>
      <c r="AK369" s="292"/>
    </row>
    <row r="370" spans="1:37">
      <c r="A370" s="281"/>
      <c r="B370" s="281"/>
      <c r="C370" s="282"/>
      <c r="D370" s="282"/>
      <c r="E370" s="282"/>
      <c r="F370" s="283"/>
      <c r="G370" s="284"/>
      <c r="H370" s="147"/>
      <c r="I370" s="285"/>
      <c r="J370" s="288"/>
      <c r="K370" s="287"/>
      <c r="L370" s="288"/>
      <c r="M370" s="286"/>
      <c r="N370" s="287"/>
      <c r="O370" s="288"/>
      <c r="P370" s="286"/>
      <c r="Q370" s="286"/>
      <c r="R370" s="287"/>
      <c r="S370" s="286"/>
      <c r="T370" s="286"/>
      <c r="U370" s="286"/>
      <c r="V370" s="287"/>
      <c r="W370" s="288"/>
      <c r="X370" s="286"/>
      <c r="Y370" s="286"/>
      <c r="Z370" s="287"/>
      <c r="AA370" s="288"/>
      <c r="AB370" s="286"/>
      <c r="AC370" s="294"/>
      <c r="AD370" s="289"/>
      <c r="AE370" s="290"/>
      <c r="AF370" s="289"/>
      <c r="AG370" s="290"/>
      <c r="AH370" s="284"/>
      <c r="AI370" s="147"/>
      <c r="AJ370" s="291"/>
      <c r="AK370" s="292"/>
    </row>
    <row r="371" spans="1:37">
      <c r="A371" s="281"/>
      <c r="B371" s="281"/>
      <c r="C371" s="282"/>
      <c r="D371" s="282"/>
      <c r="E371" s="282"/>
      <c r="F371" s="283"/>
      <c r="G371" s="284"/>
      <c r="H371" s="147"/>
      <c r="I371" s="285"/>
      <c r="J371" s="288"/>
      <c r="K371" s="287"/>
      <c r="L371" s="288"/>
      <c r="M371" s="286"/>
      <c r="N371" s="287"/>
      <c r="O371" s="288"/>
      <c r="P371" s="286"/>
      <c r="Q371" s="286"/>
      <c r="R371" s="287"/>
      <c r="S371" s="286"/>
      <c r="T371" s="286"/>
      <c r="U371" s="286"/>
      <c r="V371" s="287"/>
      <c r="W371" s="288"/>
      <c r="X371" s="286"/>
      <c r="Y371" s="286"/>
      <c r="Z371" s="287"/>
      <c r="AA371" s="288"/>
      <c r="AB371" s="286"/>
      <c r="AC371" s="294"/>
      <c r="AD371" s="289"/>
      <c r="AE371" s="290"/>
      <c r="AF371" s="289"/>
      <c r="AG371" s="290"/>
      <c r="AH371" s="284"/>
      <c r="AI371" s="147"/>
      <c r="AJ371" s="291"/>
      <c r="AK371" s="292"/>
    </row>
    <row r="372" spans="1:37">
      <c r="A372" s="281"/>
      <c r="B372" s="281"/>
      <c r="C372" s="282"/>
      <c r="D372" s="282"/>
      <c r="E372" s="282"/>
      <c r="F372" s="283"/>
      <c r="G372" s="284"/>
      <c r="H372" s="147"/>
      <c r="I372" s="285"/>
      <c r="J372" s="288"/>
      <c r="K372" s="287"/>
      <c r="L372" s="288"/>
      <c r="M372" s="286"/>
      <c r="N372" s="287"/>
      <c r="O372" s="288"/>
      <c r="P372" s="286"/>
      <c r="Q372" s="286"/>
      <c r="R372" s="287"/>
      <c r="S372" s="286"/>
      <c r="T372" s="286"/>
      <c r="U372" s="286"/>
      <c r="V372" s="287"/>
      <c r="W372" s="288"/>
      <c r="X372" s="286"/>
      <c r="Y372" s="286"/>
      <c r="Z372" s="287"/>
      <c r="AA372" s="288"/>
      <c r="AB372" s="286"/>
      <c r="AC372" s="294"/>
      <c r="AD372" s="289"/>
      <c r="AE372" s="290"/>
      <c r="AF372" s="289"/>
      <c r="AG372" s="290"/>
      <c r="AH372" s="284"/>
      <c r="AI372" s="147"/>
      <c r="AJ372" s="291"/>
      <c r="AK372" s="292"/>
    </row>
    <row r="373" spans="1:37">
      <c r="A373" s="281"/>
      <c r="B373" s="281"/>
      <c r="C373" s="282"/>
      <c r="D373" s="282"/>
      <c r="E373" s="282"/>
      <c r="F373" s="283"/>
      <c r="G373" s="284"/>
      <c r="H373" s="147"/>
      <c r="I373" s="285"/>
      <c r="J373" s="288"/>
      <c r="K373" s="287"/>
      <c r="L373" s="288"/>
      <c r="M373" s="286"/>
      <c r="N373" s="287"/>
      <c r="O373" s="288"/>
      <c r="P373" s="286"/>
      <c r="Q373" s="286"/>
      <c r="R373" s="287"/>
      <c r="S373" s="286"/>
      <c r="T373" s="286"/>
      <c r="U373" s="286"/>
      <c r="V373" s="287"/>
      <c r="W373" s="288"/>
      <c r="X373" s="286"/>
      <c r="Y373" s="286"/>
      <c r="Z373" s="287"/>
      <c r="AA373" s="288"/>
      <c r="AB373" s="286"/>
      <c r="AC373" s="294"/>
      <c r="AD373" s="289"/>
      <c r="AE373" s="290"/>
      <c r="AF373" s="289"/>
      <c r="AG373" s="290"/>
      <c r="AH373" s="284"/>
      <c r="AI373" s="147"/>
      <c r="AJ373" s="291"/>
      <c r="AK373" s="292"/>
    </row>
    <row r="374" spans="1:37">
      <c r="A374" s="281"/>
      <c r="B374" s="281"/>
      <c r="C374" s="282"/>
      <c r="D374" s="282"/>
      <c r="E374" s="282"/>
      <c r="F374" s="283"/>
      <c r="G374" s="284"/>
      <c r="H374" s="147"/>
      <c r="I374" s="285"/>
      <c r="J374" s="288"/>
      <c r="K374" s="287"/>
      <c r="L374" s="288"/>
      <c r="M374" s="286"/>
      <c r="N374" s="287"/>
      <c r="O374" s="288"/>
      <c r="P374" s="286"/>
      <c r="Q374" s="286"/>
      <c r="R374" s="287"/>
      <c r="S374" s="286"/>
      <c r="T374" s="286"/>
      <c r="U374" s="286"/>
      <c r="V374" s="287"/>
      <c r="W374" s="288"/>
      <c r="X374" s="286"/>
      <c r="Y374" s="286"/>
      <c r="Z374" s="287"/>
      <c r="AA374" s="288"/>
      <c r="AB374" s="286"/>
      <c r="AC374" s="294"/>
      <c r="AD374" s="289"/>
      <c r="AE374" s="290"/>
      <c r="AF374" s="289"/>
      <c r="AG374" s="290"/>
      <c r="AH374" s="284"/>
      <c r="AI374" s="147"/>
      <c r="AJ374" s="291"/>
      <c r="AK374" s="292"/>
    </row>
    <row r="375" spans="1:37">
      <c r="A375" s="281"/>
      <c r="B375" s="281"/>
      <c r="C375" s="282"/>
      <c r="D375" s="282"/>
      <c r="E375" s="282"/>
      <c r="F375" s="283"/>
      <c r="G375" s="284"/>
      <c r="H375" s="147"/>
      <c r="I375" s="285"/>
      <c r="J375" s="288"/>
      <c r="K375" s="287"/>
      <c r="L375" s="288"/>
      <c r="M375" s="286"/>
      <c r="N375" s="287"/>
      <c r="O375" s="288"/>
      <c r="P375" s="286"/>
      <c r="Q375" s="286"/>
      <c r="R375" s="287"/>
      <c r="S375" s="286"/>
      <c r="T375" s="286"/>
      <c r="U375" s="286"/>
      <c r="V375" s="287"/>
      <c r="W375" s="288"/>
      <c r="X375" s="286"/>
      <c r="Y375" s="286"/>
      <c r="Z375" s="287"/>
      <c r="AA375" s="288"/>
      <c r="AB375" s="286"/>
      <c r="AC375" s="294"/>
      <c r="AD375" s="289"/>
      <c r="AE375" s="290"/>
      <c r="AF375" s="289"/>
      <c r="AG375" s="290"/>
      <c r="AH375" s="284"/>
      <c r="AI375" s="147"/>
      <c r="AJ375" s="291"/>
      <c r="AK375" s="292"/>
    </row>
    <row r="376" spans="1:37">
      <c r="A376" s="281"/>
      <c r="B376" s="281"/>
      <c r="C376" s="282"/>
      <c r="D376" s="282"/>
      <c r="E376" s="282"/>
      <c r="F376" s="283"/>
      <c r="G376" s="284"/>
      <c r="H376" s="147"/>
      <c r="I376" s="285"/>
      <c r="J376" s="288"/>
      <c r="K376" s="287"/>
      <c r="L376" s="288"/>
      <c r="M376" s="286"/>
      <c r="N376" s="287"/>
      <c r="O376" s="288"/>
      <c r="P376" s="286"/>
      <c r="Q376" s="286"/>
      <c r="R376" s="287"/>
      <c r="S376" s="286"/>
      <c r="T376" s="286"/>
      <c r="U376" s="286"/>
      <c r="V376" s="287"/>
      <c r="W376" s="288"/>
      <c r="X376" s="286"/>
      <c r="Y376" s="286"/>
      <c r="Z376" s="287"/>
      <c r="AA376" s="288"/>
      <c r="AB376" s="286"/>
      <c r="AC376" s="294"/>
      <c r="AD376" s="289"/>
      <c r="AE376" s="290"/>
      <c r="AF376" s="289"/>
      <c r="AG376" s="290"/>
      <c r="AH376" s="284"/>
      <c r="AI376" s="147"/>
      <c r="AJ376" s="291"/>
      <c r="AK376" s="292"/>
    </row>
    <row r="377" spans="1:37">
      <c r="A377" s="281"/>
      <c r="B377" s="281"/>
      <c r="C377" s="282"/>
      <c r="D377" s="282"/>
      <c r="E377" s="282"/>
      <c r="F377" s="283"/>
      <c r="G377" s="284"/>
      <c r="H377" s="147"/>
      <c r="I377" s="285"/>
      <c r="J377" s="288"/>
      <c r="K377" s="287"/>
      <c r="L377" s="288"/>
      <c r="M377" s="286"/>
      <c r="N377" s="287"/>
      <c r="O377" s="288"/>
      <c r="P377" s="286"/>
      <c r="Q377" s="286"/>
      <c r="R377" s="287"/>
      <c r="S377" s="286"/>
      <c r="T377" s="286"/>
      <c r="U377" s="286"/>
      <c r="V377" s="287"/>
      <c r="W377" s="288"/>
      <c r="X377" s="286"/>
      <c r="Y377" s="286"/>
      <c r="Z377" s="287"/>
      <c r="AA377" s="288"/>
      <c r="AB377" s="286"/>
      <c r="AC377" s="294"/>
      <c r="AD377" s="289"/>
      <c r="AE377" s="290"/>
      <c r="AF377" s="289"/>
      <c r="AG377" s="290"/>
      <c r="AH377" s="284"/>
      <c r="AI377" s="147"/>
      <c r="AJ377" s="291"/>
      <c r="AK377" s="292"/>
    </row>
    <row r="378" spans="1:37">
      <c r="A378" s="281"/>
      <c r="B378" s="281"/>
      <c r="C378" s="282"/>
      <c r="D378" s="282"/>
      <c r="E378" s="282"/>
      <c r="F378" s="283"/>
      <c r="G378" s="284"/>
      <c r="H378" s="147"/>
      <c r="I378" s="285"/>
      <c r="J378" s="288"/>
      <c r="K378" s="287"/>
      <c r="L378" s="288"/>
      <c r="M378" s="286"/>
      <c r="N378" s="287"/>
      <c r="O378" s="288"/>
      <c r="P378" s="286"/>
      <c r="Q378" s="286"/>
      <c r="R378" s="287"/>
      <c r="S378" s="286"/>
      <c r="T378" s="286"/>
      <c r="U378" s="286"/>
      <c r="V378" s="287"/>
      <c r="W378" s="288"/>
      <c r="X378" s="286"/>
      <c r="Y378" s="286"/>
      <c r="Z378" s="287"/>
      <c r="AA378" s="288"/>
      <c r="AB378" s="286"/>
      <c r="AC378" s="294"/>
      <c r="AD378" s="289"/>
      <c r="AE378" s="290"/>
      <c r="AF378" s="289"/>
      <c r="AG378" s="290"/>
      <c r="AH378" s="284"/>
      <c r="AI378" s="147"/>
      <c r="AJ378" s="291"/>
      <c r="AK378" s="292"/>
    </row>
    <row r="379" spans="1:37">
      <c r="A379" s="281"/>
      <c r="B379" s="281"/>
      <c r="C379" s="282"/>
      <c r="D379" s="282"/>
      <c r="E379" s="282"/>
      <c r="F379" s="283"/>
      <c r="G379" s="284"/>
      <c r="H379" s="147"/>
      <c r="I379" s="285"/>
      <c r="J379" s="288"/>
      <c r="K379" s="287"/>
      <c r="L379" s="288"/>
      <c r="M379" s="286"/>
      <c r="N379" s="287"/>
      <c r="O379" s="288"/>
      <c r="P379" s="286"/>
      <c r="Q379" s="286"/>
      <c r="R379" s="287"/>
      <c r="S379" s="286"/>
      <c r="T379" s="286"/>
      <c r="U379" s="286"/>
      <c r="V379" s="287"/>
      <c r="W379" s="288"/>
      <c r="X379" s="286"/>
      <c r="Y379" s="286"/>
      <c r="Z379" s="287"/>
      <c r="AA379" s="288"/>
      <c r="AB379" s="286"/>
      <c r="AC379" s="294"/>
      <c r="AD379" s="289"/>
      <c r="AE379" s="290"/>
      <c r="AF379" s="289"/>
      <c r="AG379" s="290"/>
      <c r="AH379" s="284"/>
      <c r="AI379" s="147"/>
      <c r="AJ379" s="291"/>
      <c r="AK379" s="292"/>
    </row>
    <row r="380" spans="1:37">
      <c r="A380" s="281"/>
      <c r="B380" s="281"/>
      <c r="C380" s="282"/>
      <c r="D380" s="282"/>
      <c r="E380" s="282"/>
      <c r="F380" s="283"/>
      <c r="G380" s="284"/>
      <c r="H380" s="147"/>
      <c r="I380" s="285"/>
      <c r="J380" s="288"/>
      <c r="K380" s="287"/>
      <c r="L380" s="288"/>
      <c r="M380" s="286"/>
      <c r="N380" s="287"/>
      <c r="O380" s="288"/>
      <c r="P380" s="286"/>
      <c r="Q380" s="286"/>
      <c r="R380" s="287"/>
      <c r="S380" s="286"/>
      <c r="T380" s="286"/>
      <c r="U380" s="286"/>
      <c r="V380" s="287"/>
      <c r="W380" s="288"/>
      <c r="X380" s="286"/>
      <c r="Y380" s="286"/>
      <c r="Z380" s="287"/>
      <c r="AA380" s="288"/>
      <c r="AB380" s="286"/>
      <c r="AC380" s="294"/>
      <c r="AD380" s="289"/>
      <c r="AE380" s="290"/>
      <c r="AF380" s="289"/>
      <c r="AG380" s="290"/>
      <c r="AH380" s="284"/>
      <c r="AI380" s="147"/>
      <c r="AJ380" s="291"/>
      <c r="AK380" s="292"/>
    </row>
    <row r="381" spans="1:37">
      <c r="A381" s="281"/>
      <c r="B381" s="281"/>
      <c r="C381" s="282"/>
      <c r="D381" s="282"/>
      <c r="E381" s="282"/>
      <c r="F381" s="283"/>
      <c r="G381" s="284"/>
      <c r="H381" s="147"/>
      <c r="I381" s="285"/>
      <c r="J381" s="288"/>
      <c r="K381" s="287"/>
      <c r="L381" s="288"/>
      <c r="M381" s="286"/>
      <c r="N381" s="287"/>
      <c r="O381" s="288"/>
      <c r="P381" s="286"/>
      <c r="Q381" s="286"/>
      <c r="R381" s="287"/>
      <c r="S381" s="286"/>
      <c r="T381" s="286"/>
      <c r="U381" s="286"/>
      <c r="V381" s="287"/>
      <c r="W381" s="288"/>
      <c r="X381" s="286"/>
      <c r="Y381" s="286"/>
      <c r="Z381" s="287"/>
      <c r="AA381" s="288"/>
      <c r="AB381" s="286"/>
      <c r="AC381" s="294"/>
      <c r="AD381" s="289"/>
      <c r="AE381" s="290"/>
      <c r="AF381" s="289"/>
      <c r="AG381" s="290"/>
      <c r="AH381" s="284"/>
      <c r="AI381" s="147"/>
      <c r="AJ381" s="291"/>
      <c r="AK381" s="292"/>
    </row>
    <row r="382" spans="1:37">
      <c r="A382" s="281"/>
      <c r="B382" s="281"/>
      <c r="C382" s="282"/>
      <c r="D382" s="282"/>
      <c r="E382" s="282"/>
      <c r="F382" s="283"/>
      <c r="G382" s="284"/>
      <c r="H382" s="147"/>
      <c r="I382" s="285"/>
      <c r="J382" s="288"/>
      <c r="K382" s="287"/>
      <c r="L382" s="288"/>
      <c r="M382" s="286"/>
      <c r="N382" s="287"/>
      <c r="O382" s="288"/>
      <c r="P382" s="286"/>
      <c r="Q382" s="286"/>
      <c r="R382" s="287"/>
      <c r="S382" s="286"/>
      <c r="T382" s="286"/>
      <c r="U382" s="286"/>
      <c r="V382" s="287"/>
      <c r="W382" s="288"/>
      <c r="X382" s="286"/>
      <c r="Y382" s="286"/>
      <c r="Z382" s="287"/>
      <c r="AA382" s="288"/>
      <c r="AB382" s="286"/>
      <c r="AC382" s="294"/>
      <c r="AD382" s="289"/>
      <c r="AE382" s="290"/>
      <c r="AF382" s="289"/>
      <c r="AG382" s="290"/>
      <c r="AH382" s="284"/>
      <c r="AI382" s="147"/>
      <c r="AJ382" s="291"/>
      <c r="AK382" s="292"/>
    </row>
    <row r="383" spans="1:37">
      <c r="A383" s="281"/>
      <c r="B383" s="281"/>
      <c r="C383" s="282"/>
      <c r="D383" s="282"/>
      <c r="E383" s="282"/>
      <c r="F383" s="283"/>
      <c r="G383" s="284"/>
      <c r="H383" s="147"/>
      <c r="I383" s="285"/>
      <c r="J383" s="288"/>
      <c r="K383" s="287"/>
      <c r="L383" s="288"/>
      <c r="M383" s="286"/>
      <c r="N383" s="287"/>
      <c r="O383" s="288"/>
      <c r="P383" s="286"/>
      <c r="Q383" s="286"/>
      <c r="R383" s="287"/>
      <c r="S383" s="286"/>
      <c r="T383" s="286"/>
      <c r="U383" s="286"/>
      <c r="V383" s="287"/>
      <c r="W383" s="288"/>
      <c r="X383" s="286"/>
      <c r="Y383" s="286"/>
      <c r="Z383" s="287"/>
      <c r="AA383" s="288"/>
      <c r="AB383" s="286"/>
      <c r="AC383" s="294"/>
      <c r="AD383" s="289"/>
      <c r="AE383" s="290"/>
      <c r="AF383" s="289"/>
      <c r="AG383" s="290"/>
      <c r="AH383" s="284"/>
      <c r="AI383" s="147"/>
      <c r="AJ383" s="291"/>
      <c r="AK383" s="292"/>
    </row>
    <row r="384" spans="1:37">
      <c r="A384" s="281"/>
      <c r="B384" s="281"/>
      <c r="C384" s="282"/>
      <c r="D384" s="282"/>
      <c r="E384" s="282"/>
      <c r="F384" s="283"/>
      <c r="G384" s="284"/>
      <c r="H384" s="147"/>
      <c r="I384" s="285"/>
      <c r="J384" s="288"/>
      <c r="K384" s="287"/>
      <c r="L384" s="288"/>
      <c r="M384" s="286"/>
      <c r="N384" s="287"/>
      <c r="O384" s="288"/>
      <c r="P384" s="286"/>
      <c r="Q384" s="286"/>
      <c r="R384" s="287"/>
      <c r="S384" s="286"/>
      <c r="T384" s="286"/>
      <c r="U384" s="286"/>
      <c r="V384" s="287"/>
      <c r="W384" s="288"/>
      <c r="X384" s="286"/>
      <c r="Y384" s="286"/>
      <c r="Z384" s="287"/>
      <c r="AA384" s="288"/>
      <c r="AB384" s="286"/>
      <c r="AC384" s="294"/>
      <c r="AD384" s="289"/>
      <c r="AE384" s="290"/>
      <c r="AF384" s="289"/>
      <c r="AG384" s="290"/>
      <c r="AH384" s="284"/>
      <c r="AI384" s="147"/>
      <c r="AJ384" s="291"/>
      <c r="AK384" s="292"/>
    </row>
    <row r="385" spans="1:37">
      <c r="A385" s="281"/>
      <c r="B385" s="281"/>
      <c r="C385" s="282"/>
      <c r="D385" s="282"/>
      <c r="E385" s="282"/>
      <c r="F385" s="283"/>
      <c r="G385" s="284"/>
      <c r="H385" s="147"/>
      <c r="I385" s="285"/>
      <c r="J385" s="288"/>
      <c r="K385" s="287"/>
      <c r="L385" s="288"/>
      <c r="M385" s="286"/>
      <c r="N385" s="287"/>
      <c r="O385" s="288"/>
      <c r="P385" s="286"/>
      <c r="Q385" s="286"/>
      <c r="R385" s="287"/>
      <c r="S385" s="286"/>
      <c r="T385" s="286"/>
      <c r="U385" s="286"/>
      <c r="V385" s="287"/>
      <c r="W385" s="288"/>
      <c r="X385" s="286"/>
      <c r="Y385" s="286"/>
      <c r="Z385" s="287"/>
      <c r="AA385" s="288"/>
      <c r="AB385" s="286"/>
      <c r="AC385" s="294"/>
      <c r="AD385" s="289"/>
      <c r="AE385" s="290"/>
      <c r="AF385" s="289"/>
      <c r="AG385" s="290"/>
      <c r="AH385" s="284"/>
      <c r="AI385" s="147"/>
      <c r="AJ385" s="291"/>
      <c r="AK385" s="292"/>
    </row>
    <row r="386" spans="1:37">
      <c r="A386" s="281"/>
      <c r="B386" s="281"/>
      <c r="C386" s="282"/>
      <c r="D386" s="282"/>
      <c r="E386" s="282"/>
      <c r="F386" s="283"/>
      <c r="G386" s="284"/>
      <c r="H386" s="147"/>
      <c r="I386" s="285"/>
      <c r="J386" s="288"/>
      <c r="K386" s="287"/>
      <c r="L386" s="288"/>
      <c r="M386" s="286"/>
      <c r="N386" s="287"/>
      <c r="O386" s="288"/>
      <c r="P386" s="286"/>
      <c r="Q386" s="286"/>
      <c r="R386" s="287"/>
      <c r="S386" s="286"/>
      <c r="T386" s="286"/>
      <c r="U386" s="286"/>
      <c r="V386" s="287"/>
      <c r="W386" s="288"/>
      <c r="X386" s="286"/>
      <c r="Y386" s="286"/>
      <c r="Z386" s="287"/>
      <c r="AA386" s="288"/>
      <c r="AB386" s="286"/>
      <c r="AC386" s="294"/>
      <c r="AD386" s="289"/>
      <c r="AE386" s="290"/>
      <c r="AF386" s="289"/>
      <c r="AG386" s="290"/>
      <c r="AH386" s="284"/>
      <c r="AI386" s="147"/>
      <c r="AJ386" s="291"/>
      <c r="AK386" s="292"/>
    </row>
    <row r="387" spans="1:37">
      <c r="A387" s="281"/>
      <c r="B387" s="281"/>
      <c r="C387" s="282"/>
      <c r="D387" s="282"/>
      <c r="E387" s="282"/>
      <c r="F387" s="283"/>
      <c r="G387" s="284"/>
      <c r="H387" s="147"/>
      <c r="I387" s="285"/>
      <c r="J387" s="288"/>
      <c r="K387" s="287"/>
      <c r="L387" s="288"/>
      <c r="M387" s="286"/>
      <c r="N387" s="287"/>
      <c r="O387" s="288"/>
      <c r="P387" s="286"/>
      <c r="Q387" s="286"/>
      <c r="R387" s="287"/>
      <c r="S387" s="286"/>
      <c r="T387" s="286"/>
      <c r="U387" s="286"/>
      <c r="V387" s="287"/>
      <c r="W387" s="288"/>
      <c r="X387" s="286"/>
      <c r="Y387" s="286"/>
      <c r="Z387" s="287"/>
      <c r="AA387" s="288"/>
      <c r="AB387" s="286"/>
      <c r="AC387" s="294"/>
      <c r="AD387" s="289"/>
      <c r="AE387" s="290"/>
      <c r="AF387" s="289"/>
      <c r="AG387" s="290"/>
      <c r="AH387" s="284"/>
      <c r="AI387" s="147"/>
      <c r="AJ387" s="291"/>
      <c r="AK387" s="292"/>
    </row>
    <row r="388" spans="1:37">
      <c r="A388" s="281"/>
      <c r="B388" s="281"/>
      <c r="C388" s="282"/>
      <c r="D388" s="282"/>
      <c r="E388" s="282"/>
      <c r="F388" s="283"/>
      <c r="G388" s="284"/>
      <c r="H388" s="147"/>
      <c r="I388" s="285"/>
      <c r="J388" s="288"/>
      <c r="K388" s="287"/>
      <c r="L388" s="288"/>
      <c r="M388" s="286"/>
      <c r="N388" s="287"/>
      <c r="O388" s="288"/>
      <c r="P388" s="286"/>
      <c r="Q388" s="286"/>
      <c r="R388" s="287"/>
      <c r="S388" s="286"/>
      <c r="T388" s="286"/>
      <c r="U388" s="286"/>
      <c r="V388" s="287"/>
      <c r="W388" s="288"/>
      <c r="X388" s="286"/>
      <c r="Y388" s="286"/>
      <c r="Z388" s="287"/>
      <c r="AA388" s="288"/>
      <c r="AB388" s="286"/>
      <c r="AC388" s="294"/>
      <c r="AD388" s="289"/>
      <c r="AE388" s="290"/>
      <c r="AF388" s="289"/>
      <c r="AG388" s="290"/>
      <c r="AH388" s="284"/>
      <c r="AI388" s="147"/>
      <c r="AJ388" s="291"/>
      <c r="AK388" s="292"/>
    </row>
    <row r="389" spans="1:37">
      <c r="A389" s="281"/>
      <c r="B389" s="281"/>
      <c r="C389" s="282"/>
      <c r="D389" s="282"/>
      <c r="E389" s="282"/>
      <c r="F389" s="283"/>
      <c r="G389" s="284"/>
      <c r="H389" s="147"/>
      <c r="I389" s="285"/>
      <c r="J389" s="288"/>
      <c r="K389" s="287"/>
      <c r="L389" s="288"/>
      <c r="M389" s="286"/>
      <c r="N389" s="287"/>
      <c r="O389" s="288"/>
      <c r="P389" s="286"/>
      <c r="Q389" s="286"/>
      <c r="R389" s="287"/>
      <c r="S389" s="286"/>
      <c r="T389" s="286"/>
      <c r="U389" s="286"/>
      <c r="V389" s="287"/>
      <c r="W389" s="288"/>
      <c r="X389" s="286"/>
      <c r="Y389" s="286"/>
      <c r="Z389" s="287"/>
      <c r="AA389" s="288"/>
      <c r="AB389" s="286"/>
      <c r="AC389" s="294"/>
      <c r="AD389" s="289"/>
      <c r="AE389" s="290"/>
      <c r="AF389" s="289"/>
      <c r="AG389" s="290"/>
      <c r="AH389" s="284"/>
      <c r="AI389" s="147"/>
      <c r="AJ389" s="291"/>
      <c r="AK389" s="292"/>
    </row>
    <row r="390" spans="1:37">
      <c r="A390" s="281"/>
      <c r="B390" s="281"/>
      <c r="C390" s="282"/>
      <c r="D390" s="282"/>
      <c r="E390" s="282"/>
      <c r="F390" s="283"/>
      <c r="G390" s="284"/>
      <c r="H390" s="147"/>
      <c r="I390" s="285"/>
      <c r="J390" s="288"/>
      <c r="K390" s="287"/>
      <c r="L390" s="288"/>
      <c r="M390" s="286"/>
      <c r="N390" s="287"/>
      <c r="O390" s="288"/>
      <c r="P390" s="286"/>
      <c r="Q390" s="286"/>
      <c r="R390" s="287"/>
      <c r="S390" s="286"/>
      <c r="T390" s="286"/>
      <c r="U390" s="286"/>
      <c r="V390" s="287"/>
      <c r="W390" s="288"/>
      <c r="X390" s="286"/>
      <c r="Y390" s="286"/>
      <c r="Z390" s="287"/>
      <c r="AA390" s="288"/>
      <c r="AB390" s="286"/>
      <c r="AC390" s="294"/>
      <c r="AD390" s="289"/>
      <c r="AE390" s="290"/>
      <c r="AF390" s="289"/>
      <c r="AG390" s="290"/>
      <c r="AH390" s="284"/>
      <c r="AI390" s="147"/>
      <c r="AJ390" s="291"/>
      <c r="AK390" s="292"/>
    </row>
    <row r="391" spans="1:37">
      <c r="A391" s="281"/>
      <c r="B391" s="281"/>
      <c r="C391" s="282"/>
      <c r="D391" s="282"/>
      <c r="E391" s="282"/>
      <c r="F391" s="283"/>
      <c r="G391" s="284"/>
      <c r="H391" s="147"/>
      <c r="I391" s="285"/>
      <c r="J391" s="288"/>
      <c r="K391" s="287"/>
      <c r="L391" s="288"/>
      <c r="M391" s="286"/>
      <c r="N391" s="287"/>
      <c r="O391" s="288"/>
      <c r="P391" s="286"/>
      <c r="Q391" s="286"/>
      <c r="R391" s="287"/>
      <c r="S391" s="286"/>
      <c r="T391" s="286"/>
      <c r="U391" s="286"/>
      <c r="V391" s="287"/>
      <c r="W391" s="288"/>
      <c r="X391" s="286"/>
      <c r="Y391" s="286"/>
      <c r="Z391" s="287"/>
      <c r="AA391" s="288"/>
      <c r="AB391" s="286"/>
      <c r="AC391" s="294"/>
      <c r="AD391" s="289"/>
      <c r="AE391" s="290"/>
      <c r="AF391" s="289"/>
      <c r="AG391" s="290"/>
      <c r="AH391" s="284"/>
      <c r="AI391" s="147"/>
      <c r="AJ391" s="291"/>
      <c r="AK391" s="292"/>
    </row>
    <row r="392" spans="1:37">
      <c r="A392" s="281"/>
      <c r="B392" s="281"/>
      <c r="C392" s="282"/>
      <c r="D392" s="282"/>
      <c r="E392" s="282"/>
      <c r="F392" s="283"/>
      <c r="G392" s="284"/>
      <c r="H392" s="147"/>
      <c r="I392" s="285"/>
      <c r="J392" s="288"/>
      <c r="K392" s="287"/>
      <c r="L392" s="288"/>
      <c r="M392" s="286"/>
      <c r="N392" s="287"/>
      <c r="O392" s="288"/>
      <c r="P392" s="286"/>
      <c r="Q392" s="286"/>
      <c r="R392" s="287"/>
      <c r="S392" s="286"/>
      <c r="T392" s="286"/>
      <c r="U392" s="286"/>
      <c r="V392" s="287"/>
      <c r="W392" s="288"/>
      <c r="X392" s="286"/>
      <c r="Y392" s="286"/>
      <c r="Z392" s="287"/>
      <c r="AA392" s="288"/>
      <c r="AB392" s="286"/>
      <c r="AC392" s="294"/>
      <c r="AD392" s="289"/>
      <c r="AE392" s="290"/>
      <c r="AF392" s="289"/>
      <c r="AG392" s="290"/>
      <c r="AH392" s="284"/>
      <c r="AI392" s="147"/>
      <c r="AJ392" s="291"/>
      <c r="AK392" s="292"/>
    </row>
    <row r="393" spans="1:37">
      <c r="A393" s="281"/>
      <c r="B393" s="281"/>
      <c r="C393" s="282"/>
      <c r="D393" s="282"/>
      <c r="E393" s="282"/>
      <c r="F393" s="283"/>
      <c r="G393" s="284"/>
      <c r="H393" s="147"/>
      <c r="I393" s="285"/>
      <c r="J393" s="288"/>
      <c r="K393" s="287"/>
      <c r="L393" s="288"/>
      <c r="M393" s="286"/>
      <c r="N393" s="287"/>
      <c r="O393" s="288"/>
      <c r="P393" s="286"/>
      <c r="Q393" s="286"/>
      <c r="R393" s="287"/>
      <c r="S393" s="286"/>
      <c r="T393" s="286"/>
      <c r="U393" s="286"/>
      <c r="V393" s="287"/>
      <c r="W393" s="288"/>
      <c r="X393" s="286"/>
      <c r="Y393" s="286"/>
      <c r="Z393" s="287"/>
      <c r="AA393" s="288"/>
      <c r="AB393" s="286"/>
      <c r="AC393" s="294"/>
      <c r="AD393" s="289"/>
      <c r="AE393" s="290"/>
      <c r="AF393" s="289"/>
      <c r="AG393" s="290"/>
      <c r="AH393" s="284"/>
      <c r="AI393" s="147"/>
      <c r="AJ393" s="291"/>
      <c r="AK393" s="292"/>
    </row>
    <row r="394" spans="1:37">
      <c r="A394" s="281"/>
      <c r="B394" s="281"/>
      <c r="C394" s="282"/>
      <c r="D394" s="282"/>
      <c r="E394" s="282"/>
      <c r="F394" s="283"/>
      <c r="G394" s="284"/>
      <c r="H394" s="147"/>
      <c r="I394" s="285"/>
      <c r="J394" s="288"/>
      <c r="K394" s="287"/>
      <c r="L394" s="288"/>
      <c r="M394" s="286"/>
      <c r="N394" s="287"/>
      <c r="O394" s="288"/>
      <c r="P394" s="286"/>
      <c r="Q394" s="286"/>
      <c r="R394" s="287"/>
      <c r="S394" s="286"/>
      <c r="T394" s="286"/>
      <c r="U394" s="286"/>
      <c r="V394" s="287"/>
      <c r="W394" s="288"/>
      <c r="X394" s="286"/>
      <c r="Y394" s="286"/>
      <c r="Z394" s="287"/>
      <c r="AA394" s="288"/>
      <c r="AB394" s="286"/>
      <c r="AC394" s="294"/>
      <c r="AD394" s="289"/>
      <c r="AE394" s="290"/>
      <c r="AF394" s="289"/>
      <c r="AG394" s="290"/>
      <c r="AH394" s="284"/>
      <c r="AI394" s="147"/>
      <c r="AJ394" s="291"/>
      <c r="AK394" s="292"/>
    </row>
    <row r="395" spans="1:37">
      <c r="A395" s="281"/>
      <c r="B395" s="281"/>
      <c r="C395" s="282"/>
      <c r="D395" s="282"/>
      <c r="E395" s="282"/>
      <c r="F395" s="283"/>
      <c r="G395" s="284"/>
      <c r="H395" s="147"/>
      <c r="I395" s="285"/>
      <c r="J395" s="288"/>
      <c r="K395" s="287"/>
      <c r="L395" s="288"/>
      <c r="M395" s="286"/>
      <c r="N395" s="287"/>
      <c r="O395" s="288"/>
      <c r="P395" s="286"/>
      <c r="Q395" s="286"/>
      <c r="R395" s="287"/>
      <c r="S395" s="286"/>
      <c r="T395" s="286"/>
      <c r="U395" s="286"/>
      <c r="V395" s="287"/>
      <c r="W395" s="288"/>
      <c r="X395" s="286"/>
      <c r="Y395" s="286"/>
      <c r="Z395" s="287"/>
      <c r="AA395" s="288"/>
      <c r="AB395" s="286"/>
      <c r="AC395" s="294"/>
      <c r="AD395" s="289"/>
      <c r="AE395" s="290"/>
      <c r="AF395" s="289"/>
      <c r="AG395" s="290"/>
      <c r="AH395" s="284"/>
      <c r="AI395" s="147"/>
      <c r="AJ395" s="291"/>
      <c r="AK395" s="292"/>
    </row>
    <row r="396" spans="1:37">
      <c r="A396" s="281"/>
      <c r="B396" s="281"/>
      <c r="C396" s="282"/>
      <c r="D396" s="282"/>
      <c r="E396" s="282"/>
      <c r="F396" s="283"/>
      <c r="G396" s="284"/>
      <c r="H396" s="147"/>
      <c r="I396" s="285"/>
      <c r="J396" s="288"/>
      <c r="K396" s="287"/>
      <c r="L396" s="288"/>
      <c r="M396" s="286"/>
      <c r="N396" s="287"/>
      <c r="O396" s="288"/>
      <c r="P396" s="286"/>
      <c r="Q396" s="286"/>
      <c r="R396" s="287"/>
      <c r="S396" s="286"/>
      <c r="T396" s="286"/>
      <c r="U396" s="286"/>
      <c r="V396" s="287"/>
      <c r="W396" s="288"/>
      <c r="X396" s="286"/>
      <c r="Y396" s="286"/>
      <c r="Z396" s="287"/>
      <c r="AA396" s="288"/>
      <c r="AB396" s="286"/>
      <c r="AC396" s="294"/>
      <c r="AD396" s="289"/>
      <c r="AE396" s="290"/>
      <c r="AF396" s="289"/>
      <c r="AG396" s="290"/>
      <c r="AH396" s="284"/>
      <c r="AI396" s="147"/>
      <c r="AJ396" s="291"/>
      <c r="AK396" s="292"/>
    </row>
    <row r="397" spans="1:37">
      <c r="A397" s="281"/>
      <c r="B397" s="281"/>
      <c r="C397" s="282"/>
      <c r="D397" s="282"/>
      <c r="E397" s="282"/>
      <c r="F397" s="283"/>
      <c r="G397" s="284"/>
      <c r="H397" s="147"/>
      <c r="I397" s="285"/>
      <c r="J397" s="288"/>
      <c r="K397" s="287"/>
      <c r="L397" s="288"/>
      <c r="M397" s="286"/>
      <c r="N397" s="287"/>
      <c r="O397" s="288"/>
      <c r="P397" s="286"/>
      <c r="Q397" s="286"/>
      <c r="R397" s="287"/>
      <c r="S397" s="286"/>
      <c r="T397" s="286"/>
      <c r="U397" s="286"/>
      <c r="V397" s="287"/>
      <c r="W397" s="288"/>
      <c r="X397" s="286"/>
      <c r="Y397" s="286"/>
      <c r="Z397" s="287"/>
      <c r="AA397" s="288"/>
      <c r="AB397" s="286"/>
      <c r="AC397" s="294"/>
      <c r="AD397" s="289"/>
      <c r="AE397" s="290"/>
      <c r="AF397" s="289"/>
      <c r="AG397" s="290"/>
      <c r="AH397" s="284"/>
      <c r="AI397" s="147"/>
      <c r="AJ397" s="291"/>
      <c r="AK397" s="292"/>
    </row>
    <row r="398" spans="1:37">
      <c r="A398" s="281"/>
      <c r="B398" s="281"/>
      <c r="C398" s="282"/>
      <c r="D398" s="282"/>
      <c r="E398" s="282"/>
      <c r="F398" s="283"/>
      <c r="G398" s="284"/>
      <c r="H398" s="147"/>
      <c r="I398" s="285"/>
      <c r="J398" s="288"/>
      <c r="K398" s="287"/>
      <c r="L398" s="288"/>
      <c r="M398" s="286"/>
      <c r="N398" s="287"/>
      <c r="O398" s="288"/>
      <c r="P398" s="286"/>
      <c r="Q398" s="286"/>
      <c r="R398" s="287"/>
      <c r="S398" s="286"/>
      <c r="T398" s="286"/>
      <c r="U398" s="286"/>
      <c r="V398" s="287"/>
      <c r="W398" s="288"/>
      <c r="X398" s="286"/>
      <c r="Y398" s="286"/>
      <c r="Z398" s="287"/>
      <c r="AA398" s="288"/>
      <c r="AB398" s="286"/>
      <c r="AC398" s="294"/>
      <c r="AD398" s="289"/>
      <c r="AE398" s="290"/>
      <c r="AF398" s="289"/>
      <c r="AG398" s="290"/>
      <c r="AH398" s="284"/>
      <c r="AI398" s="147"/>
      <c r="AJ398" s="291"/>
      <c r="AK398" s="292"/>
    </row>
    <row r="399" spans="1:37">
      <c r="A399" s="281"/>
      <c r="B399" s="281"/>
      <c r="C399" s="282"/>
      <c r="D399" s="282"/>
      <c r="E399" s="282"/>
      <c r="F399" s="283"/>
      <c r="G399" s="284"/>
      <c r="H399" s="147"/>
      <c r="I399" s="285"/>
      <c r="J399" s="288"/>
      <c r="K399" s="287"/>
      <c r="L399" s="288"/>
      <c r="M399" s="286"/>
      <c r="N399" s="287"/>
      <c r="O399" s="288"/>
      <c r="P399" s="286"/>
      <c r="Q399" s="286"/>
      <c r="R399" s="287"/>
      <c r="S399" s="286"/>
      <c r="T399" s="286"/>
      <c r="U399" s="286"/>
      <c r="V399" s="287"/>
      <c r="W399" s="288"/>
      <c r="X399" s="286"/>
      <c r="Y399" s="286"/>
      <c r="Z399" s="287"/>
      <c r="AA399" s="288"/>
      <c r="AB399" s="286"/>
      <c r="AC399" s="294"/>
      <c r="AD399" s="289"/>
      <c r="AE399" s="290"/>
      <c r="AF399" s="289"/>
      <c r="AG399" s="290"/>
      <c r="AH399" s="284"/>
      <c r="AI399" s="147"/>
      <c r="AJ399" s="291"/>
      <c r="AK399" s="292"/>
    </row>
    <row r="400" spans="1:37">
      <c r="A400" s="281"/>
      <c r="B400" s="281"/>
      <c r="C400" s="282"/>
      <c r="D400" s="282"/>
      <c r="E400" s="282"/>
      <c r="F400" s="283"/>
      <c r="G400" s="284"/>
      <c r="H400" s="147"/>
      <c r="I400" s="285"/>
      <c r="J400" s="288"/>
      <c r="K400" s="287"/>
      <c r="L400" s="288"/>
      <c r="M400" s="286"/>
      <c r="N400" s="287"/>
      <c r="O400" s="288"/>
      <c r="P400" s="286"/>
      <c r="Q400" s="286"/>
      <c r="R400" s="287"/>
      <c r="S400" s="286"/>
      <c r="T400" s="286"/>
      <c r="U400" s="286"/>
      <c r="V400" s="287"/>
      <c r="W400" s="288"/>
      <c r="X400" s="286"/>
      <c r="Y400" s="286"/>
      <c r="Z400" s="287"/>
      <c r="AA400" s="288"/>
      <c r="AB400" s="286"/>
      <c r="AC400" s="294"/>
      <c r="AD400" s="289"/>
      <c r="AE400" s="290"/>
      <c r="AF400" s="289"/>
      <c r="AG400" s="290"/>
      <c r="AH400" s="284"/>
      <c r="AI400" s="147"/>
      <c r="AJ400" s="291"/>
      <c r="AK400" s="292"/>
    </row>
    <row r="401" spans="1:37">
      <c r="A401" s="281"/>
      <c r="B401" s="281"/>
      <c r="C401" s="282"/>
      <c r="D401" s="282"/>
      <c r="E401" s="282"/>
      <c r="F401" s="283"/>
      <c r="G401" s="284"/>
      <c r="H401" s="147"/>
      <c r="I401" s="285"/>
      <c r="J401" s="288"/>
      <c r="K401" s="287"/>
      <c r="L401" s="288"/>
      <c r="M401" s="286"/>
      <c r="N401" s="287"/>
      <c r="O401" s="288"/>
      <c r="P401" s="286"/>
      <c r="Q401" s="286"/>
      <c r="R401" s="287"/>
      <c r="S401" s="286"/>
      <c r="T401" s="286"/>
      <c r="U401" s="286"/>
      <c r="V401" s="287"/>
      <c r="W401" s="288"/>
      <c r="X401" s="286"/>
      <c r="Y401" s="286"/>
      <c r="Z401" s="287"/>
      <c r="AA401" s="288"/>
      <c r="AB401" s="286"/>
      <c r="AC401" s="294"/>
      <c r="AD401" s="289"/>
      <c r="AE401" s="290"/>
      <c r="AF401" s="289"/>
      <c r="AG401" s="290"/>
      <c r="AH401" s="284"/>
      <c r="AI401" s="147"/>
      <c r="AJ401" s="291"/>
      <c r="AK401" s="292"/>
    </row>
    <row r="402" spans="1:37">
      <c r="A402" s="281"/>
      <c r="B402" s="281"/>
      <c r="C402" s="282"/>
      <c r="D402" s="282"/>
      <c r="E402" s="282"/>
      <c r="F402" s="283"/>
      <c r="G402" s="284"/>
      <c r="H402" s="147"/>
      <c r="I402" s="285"/>
      <c r="J402" s="288"/>
      <c r="K402" s="287"/>
      <c r="L402" s="288"/>
      <c r="M402" s="286"/>
      <c r="N402" s="287"/>
      <c r="O402" s="288"/>
      <c r="P402" s="286"/>
      <c r="Q402" s="286"/>
      <c r="R402" s="287"/>
      <c r="S402" s="286"/>
      <c r="T402" s="286"/>
      <c r="U402" s="286"/>
      <c r="V402" s="287"/>
      <c r="W402" s="288"/>
      <c r="X402" s="286"/>
      <c r="Y402" s="286"/>
      <c r="Z402" s="287"/>
      <c r="AA402" s="288"/>
      <c r="AB402" s="286"/>
      <c r="AC402" s="294"/>
      <c r="AD402" s="289"/>
      <c r="AE402" s="290"/>
      <c r="AF402" s="289"/>
      <c r="AG402" s="290"/>
      <c r="AH402" s="284"/>
      <c r="AI402" s="147"/>
      <c r="AJ402" s="291"/>
      <c r="AK402" s="292"/>
    </row>
    <row r="403" spans="1:37">
      <c r="A403" s="281"/>
      <c r="B403" s="281"/>
      <c r="C403" s="282"/>
      <c r="D403" s="282"/>
      <c r="E403" s="282"/>
      <c r="F403" s="283"/>
      <c r="G403" s="284"/>
      <c r="H403" s="147"/>
      <c r="I403" s="285"/>
      <c r="J403" s="288"/>
      <c r="K403" s="287"/>
      <c r="L403" s="288"/>
      <c r="M403" s="286"/>
      <c r="N403" s="287"/>
      <c r="O403" s="288"/>
      <c r="P403" s="286"/>
      <c r="Q403" s="286"/>
      <c r="R403" s="287"/>
      <c r="S403" s="286"/>
      <c r="T403" s="286"/>
      <c r="U403" s="286"/>
      <c r="V403" s="287"/>
      <c r="W403" s="288"/>
      <c r="X403" s="286"/>
      <c r="Y403" s="286"/>
      <c r="Z403" s="287"/>
      <c r="AA403" s="288"/>
      <c r="AB403" s="286"/>
      <c r="AC403" s="294"/>
      <c r="AD403" s="289"/>
      <c r="AE403" s="290"/>
      <c r="AF403" s="289"/>
      <c r="AG403" s="290"/>
      <c r="AH403" s="284"/>
      <c r="AI403" s="147"/>
      <c r="AJ403" s="291"/>
      <c r="AK403" s="292"/>
    </row>
    <row r="404" spans="1:37">
      <c r="A404" s="281"/>
      <c r="B404" s="281"/>
      <c r="C404" s="282"/>
      <c r="D404" s="282"/>
      <c r="E404" s="282"/>
      <c r="F404" s="283"/>
      <c r="G404" s="284"/>
      <c r="H404" s="147"/>
      <c r="I404" s="285"/>
      <c r="J404" s="288"/>
      <c r="K404" s="287"/>
      <c r="L404" s="288"/>
      <c r="M404" s="286"/>
      <c r="N404" s="287"/>
      <c r="O404" s="288"/>
      <c r="P404" s="286"/>
      <c r="Q404" s="286"/>
      <c r="R404" s="287"/>
      <c r="S404" s="286"/>
      <c r="T404" s="286"/>
      <c r="U404" s="286"/>
      <c r="V404" s="287"/>
      <c r="W404" s="288"/>
      <c r="X404" s="286"/>
      <c r="Y404" s="286"/>
      <c r="Z404" s="287"/>
      <c r="AA404" s="288"/>
      <c r="AB404" s="286"/>
      <c r="AC404" s="294"/>
      <c r="AD404" s="289"/>
      <c r="AE404" s="290"/>
      <c r="AF404" s="289"/>
      <c r="AG404" s="290"/>
      <c r="AH404" s="284"/>
      <c r="AI404" s="147"/>
      <c r="AJ404" s="291"/>
      <c r="AK404" s="292"/>
    </row>
    <row r="405" spans="1:37">
      <c r="A405" s="281"/>
      <c r="B405" s="281"/>
      <c r="C405" s="282"/>
      <c r="D405" s="282"/>
      <c r="E405" s="282"/>
      <c r="F405" s="283"/>
      <c r="G405" s="284"/>
      <c r="H405" s="147"/>
      <c r="I405" s="285"/>
      <c r="J405" s="288"/>
      <c r="K405" s="287"/>
      <c r="L405" s="288"/>
      <c r="M405" s="286"/>
      <c r="N405" s="287"/>
      <c r="O405" s="288"/>
      <c r="P405" s="286"/>
      <c r="Q405" s="286"/>
      <c r="R405" s="287"/>
      <c r="S405" s="286"/>
      <c r="T405" s="286"/>
      <c r="U405" s="286"/>
      <c r="V405" s="287"/>
      <c r="W405" s="288"/>
      <c r="X405" s="286"/>
      <c r="Y405" s="286"/>
      <c r="Z405" s="287"/>
      <c r="AA405" s="288"/>
      <c r="AB405" s="286"/>
      <c r="AC405" s="294"/>
      <c r="AD405" s="289"/>
      <c r="AE405" s="290"/>
      <c r="AF405" s="289"/>
      <c r="AG405" s="290"/>
      <c r="AH405" s="284"/>
      <c r="AI405" s="147"/>
      <c r="AJ405" s="291"/>
      <c r="AK405" s="292"/>
    </row>
    <row r="406" spans="1:37">
      <c r="A406" s="281"/>
      <c r="B406" s="281"/>
      <c r="C406" s="282"/>
      <c r="D406" s="282"/>
      <c r="E406" s="282"/>
      <c r="F406" s="283"/>
      <c r="G406" s="284"/>
      <c r="H406" s="147"/>
      <c r="I406" s="285"/>
      <c r="J406" s="288"/>
      <c r="K406" s="287"/>
      <c r="L406" s="288"/>
      <c r="M406" s="286"/>
      <c r="N406" s="287"/>
      <c r="O406" s="288"/>
      <c r="P406" s="286"/>
      <c r="Q406" s="286"/>
      <c r="R406" s="287"/>
      <c r="S406" s="286"/>
      <c r="T406" s="286"/>
      <c r="U406" s="286"/>
      <c r="V406" s="287"/>
      <c r="W406" s="288"/>
      <c r="X406" s="286"/>
      <c r="Y406" s="286"/>
      <c r="Z406" s="287"/>
      <c r="AA406" s="288"/>
      <c r="AB406" s="286"/>
      <c r="AC406" s="294"/>
      <c r="AD406" s="289"/>
      <c r="AE406" s="290"/>
      <c r="AF406" s="289"/>
      <c r="AG406" s="290"/>
      <c r="AH406" s="284"/>
      <c r="AI406" s="147"/>
      <c r="AJ406" s="291"/>
      <c r="AK406" s="292"/>
    </row>
    <row r="407" spans="1:37">
      <c r="A407" s="281"/>
      <c r="B407" s="281"/>
      <c r="C407" s="282"/>
      <c r="D407" s="282"/>
      <c r="E407" s="282"/>
      <c r="F407" s="283"/>
      <c r="G407" s="284"/>
      <c r="H407" s="147"/>
      <c r="I407" s="285"/>
      <c r="J407" s="288"/>
      <c r="K407" s="287"/>
      <c r="L407" s="288"/>
      <c r="M407" s="286"/>
      <c r="N407" s="287"/>
      <c r="O407" s="288"/>
      <c r="P407" s="286"/>
      <c r="Q407" s="286"/>
      <c r="R407" s="287"/>
      <c r="S407" s="286"/>
      <c r="T407" s="286"/>
      <c r="U407" s="286"/>
      <c r="V407" s="287"/>
      <c r="W407" s="288"/>
      <c r="X407" s="286"/>
      <c r="Y407" s="286"/>
      <c r="Z407" s="287"/>
      <c r="AA407" s="288"/>
      <c r="AB407" s="286"/>
      <c r="AC407" s="294"/>
      <c r="AD407" s="289"/>
      <c r="AE407" s="290"/>
      <c r="AF407" s="289"/>
      <c r="AG407" s="290"/>
      <c r="AH407" s="284"/>
      <c r="AI407" s="147"/>
      <c r="AJ407" s="291"/>
      <c r="AK407" s="292"/>
    </row>
    <row r="408" spans="1:37">
      <c r="A408" s="281"/>
      <c r="B408" s="281"/>
      <c r="C408" s="282"/>
      <c r="D408" s="282"/>
      <c r="E408" s="282"/>
      <c r="F408" s="283"/>
      <c r="G408" s="284"/>
      <c r="H408" s="147"/>
      <c r="I408" s="285"/>
      <c r="J408" s="288"/>
      <c r="K408" s="287"/>
      <c r="L408" s="288"/>
      <c r="M408" s="286"/>
      <c r="N408" s="287"/>
      <c r="O408" s="288"/>
      <c r="P408" s="286"/>
      <c r="Q408" s="286"/>
      <c r="R408" s="287"/>
      <c r="S408" s="286"/>
      <c r="T408" s="286"/>
      <c r="U408" s="286"/>
      <c r="V408" s="287"/>
      <c r="W408" s="288"/>
      <c r="X408" s="286"/>
      <c r="Y408" s="286"/>
      <c r="Z408" s="287"/>
      <c r="AA408" s="288"/>
      <c r="AB408" s="286"/>
      <c r="AC408" s="294"/>
      <c r="AD408" s="289"/>
      <c r="AE408" s="290"/>
      <c r="AF408" s="289"/>
      <c r="AG408" s="290"/>
      <c r="AH408" s="284"/>
      <c r="AI408" s="147"/>
      <c r="AJ408" s="291"/>
      <c r="AK408" s="292"/>
    </row>
    <row r="409" spans="1:37">
      <c r="A409" s="281"/>
      <c r="B409" s="281"/>
      <c r="C409" s="282"/>
      <c r="D409" s="282"/>
      <c r="E409" s="282"/>
      <c r="F409" s="283"/>
      <c r="G409" s="284"/>
      <c r="H409" s="147"/>
      <c r="I409" s="285"/>
      <c r="J409" s="288"/>
      <c r="K409" s="287"/>
      <c r="L409" s="288"/>
      <c r="M409" s="286"/>
      <c r="N409" s="287"/>
      <c r="O409" s="288"/>
      <c r="P409" s="286"/>
      <c r="Q409" s="286"/>
      <c r="R409" s="287"/>
      <c r="S409" s="286"/>
      <c r="T409" s="286"/>
      <c r="U409" s="286"/>
      <c r="V409" s="287"/>
      <c r="W409" s="288"/>
      <c r="X409" s="286"/>
      <c r="Y409" s="286"/>
      <c r="Z409" s="287"/>
      <c r="AA409" s="288"/>
      <c r="AB409" s="286"/>
      <c r="AC409" s="294"/>
      <c r="AD409" s="289"/>
      <c r="AE409" s="290"/>
      <c r="AF409" s="289"/>
      <c r="AG409" s="290"/>
      <c r="AH409" s="284"/>
      <c r="AI409" s="147"/>
      <c r="AJ409" s="291"/>
      <c r="AK409" s="292"/>
    </row>
    <row r="410" spans="1:37">
      <c r="A410" s="281"/>
      <c r="B410" s="281"/>
      <c r="C410" s="282"/>
      <c r="D410" s="282"/>
      <c r="E410" s="282"/>
      <c r="F410" s="283"/>
      <c r="G410" s="284"/>
      <c r="H410" s="147"/>
      <c r="I410" s="285"/>
      <c r="J410" s="288"/>
      <c r="K410" s="287"/>
      <c r="L410" s="288"/>
      <c r="M410" s="286"/>
      <c r="N410" s="287"/>
      <c r="O410" s="288"/>
      <c r="P410" s="286"/>
      <c r="Q410" s="286"/>
      <c r="R410" s="287"/>
      <c r="S410" s="286"/>
      <c r="T410" s="286"/>
      <c r="U410" s="286"/>
      <c r="V410" s="287"/>
      <c r="W410" s="288"/>
      <c r="X410" s="286"/>
      <c r="Y410" s="286"/>
      <c r="Z410" s="287"/>
      <c r="AA410" s="288"/>
      <c r="AB410" s="286"/>
      <c r="AC410" s="294"/>
      <c r="AD410" s="289"/>
      <c r="AE410" s="290"/>
      <c r="AF410" s="289"/>
      <c r="AG410" s="290"/>
      <c r="AH410" s="284"/>
      <c r="AI410" s="147"/>
      <c r="AJ410" s="291"/>
      <c r="AK410" s="292"/>
    </row>
    <row r="411" spans="1:37">
      <c r="A411" s="281"/>
      <c r="B411" s="281"/>
      <c r="C411" s="282"/>
      <c r="D411" s="282"/>
      <c r="E411" s="282"/>
      <c r="F411" s="283"/>
      <c r="G411" s="284"/>
      <c r="H411" s="147"/>
      <c r="I411" s="285"/>
      <c r="J411" s="288"/>
      <c r="K411" s="287"/>
      <c r="L411" s="288"/>
      <c r="M411" s="286"/>
      <c r="N411" s="287"/>
      <c r="O411" s="288"/>
      <c r="P411" s="286"/>
      <c r="Q411" s="286"/>
      <c r="R411" s="287"/>
      <c r="S411" s="286"/>
      <c r="T411" s="286"/>
      <c r="U411" s="286"/>
      <c r="V411" s="287"/>
      <c r="W411" s="288"/>
      <c r="X411" s="286"/>
      <c r="Y411" s="286"/>
      <c r="Z411" s="287"/>
      <c r="AA411" s="288"/>
      <c r="AB411" s="286"/>
      <c r="AC411" s="294"/>
      <c r="AD411" s="289"/>
      <c r="AE411" s="290"/>
      <c r="AF411" s="289"/>
      <c r="AG411" s="290"/>
      <c r="AH411" s="284"/>
      <c r="AI411" s="147"/>
      <c r="AJ411" s="291"/>
      <c r="AK411" s="292"/>
    </row>
    <row r="412" spans="1:37">
      <c r="A412" s="281"/>
      <c r="B412" s="281"/>
      <c r="C412" s="282"/>
      <c r="D412" s="282"/>
      <c r="E412" s="282"/>
      <c r="F412" s="283"/>
      <c r="G412" s="284"/>
      <c r="H412" s="147"/>
      <c r="I412" s="285"/>
      <c r="J412" s="288"/>
      <c r="K412" s="287"/>
      <c r="L412" s="288"/>
      <c r="M412" s="286"/>
      <c r="N412" s="287"/>
      <c r="O412" s="288"/>
      <c r="P412" s="286"/>
      <c r="Q412" s="286"/>
      <c r="R412" s="287"/>
      <c r="S412" s="286"/>
      <c r="T412" s="286"/>
      <c r="U412" s="286"/>
      <c r="V412" s="287"/>
      <c r="W412" s="288"/>
      <c r="X412" s="286"/>
      <c r="Y412" s="286"/>
      <c r="Z412" s="287"/>
      <c r="AA412" s="288"/>
      <c r="AB412" s="286"/>
      <c r="AC412" s="294"/>
      <c r="AD412" s="289"/>
      <c r="AE412" s="290"/>
      <c r="AF412" s="289"/>
      <c r="AG412" s="290"/>
      <c r="AH412" s="284"/>
      <c r="AI412" s="147"/>
      <c r="AJ412" s="291"/>
      <c r="AK412" s="292"/>
    </row>
    <row r="413" spans="1:37">
      <c r="A413" s="281"/>
      <c r="B413" s="281"/>
      <c r="C413" s="282"/>
      <c r="D413" s="282"/>
      <c r="E413" s="282"/>
      <c r="F413" s="283"/>
      <c r="G413" s="284"/>
      <c r="H413" s="147"/>
      <c r="I413" s="285"/>
      <c r="J413" s="288"/>
      <c r="K413" s="287"/>
      <c r="L413" s="288"/>
      <c r="M413" s="286"/>
      <c r="N413" s="287"/>
      <c r="O413" s="288"/>
      <c r="P413" s="286"/>
      <c r="Q413" s="286"/>
      <c r="R413" s="287"/>
      <c r="S413" s="286"/>
      <c r="T413" s="286"/>
      <c r="U413" s="286"/>
      <c r="V413" s="287"/>
      <c r="W413" s="288"/>
      <c r="X413" s="286"/>
      <c r="Y413" s="286"/>
      <c r="Z413" s="287"/>
      <c r="AA413" s="288"/>
      <c r="AB413" s="286"/>
      <c r="AC413" s="294"/>
      <c r="AD413" s="289"/>
      <c r="AE413" s="290"/>
      <c r="AF413" s="289"/>
      <c r="AG413" s="290"/>
      <c r="AH413" s="284"/>
      <c r="AI413" s="147"/>
      <c r="AJ413" s="291"/>
      <c r="AK413" s="292"/>
    </row>
    <row r="414" spans="1:37">
      <c r="A414" s="281"/>
      <c r="B414" s="281"/>
      <c r="C414" s="282"/>
      <c r="D414" s="282"/>
      <c r="E414" s="282"/>
      <c r="F414" s="283"/>
      <c r="G414" s="284"/>
      <c r="H414" s="147"/>
      <c r="I414" s="285"/>
      <c r="J414" s="288"/>
      <c r="K414" s="287"/>
      <c r="L414" s="288"/>
      <c r="M414" s="286"/>
      <c r="N414" s="287"/>
      <c r="O414" s="288"/>
      <c r="P414" s="286"/>
      <c r="Q414" s="286"/>
      <c r="R414" s="287"/>
      <c r="S414" s="286"/>
      <c r="T414" s="286"/>
      <c r="U414" s="286"/>
      <c r="V414" s="287"/>
      <c r="W414" s="288"/>
      <c r="X414" s="286"/>
      <c r="Y414" s="286"/>
      <c r="Z414" s="287"/>
      <c r="AA414" s="288"/>
      <c r="AB414" s="286"/>
      <c r="AC414" s="294"/>
      <c r="AD414" s="289"/>
      <c r="AE414" s="290"/>
      <c r="AF414" s="289"/>
      <c r="AG414" s="290"/>
      <c r="AH414" s="284"/>
      <c r="AI414" s="147"/>
      <c r="AJ414" s="291"/>
      <c r="AK414" s="292"/>
    </row>
    <row r="415" spans="1:37">
      <c r="A415" s="281"/>
      <c r="B415" s="281"/>
      <c r="C415" s="282"/>
      <c r="D415" s="282"/>
      <c r="E415" s="282"/>
      <c r="F415" s="283"/>
      <c r="G415" s="284"/>
      <c r="H415" s="147"/>
      <c r="I415" s="285"/>
      <c r="J415" s="288"/>
      <c r="K415" s="287"/>
      <c r="L415" s="288"/>
      <c r="M415" s="286"/>
      <c r="N415" s="287"/>
      <c r="O415" s="288"/>
      <c r="P415" s="286"/>
      <c r="Q415" s="286"/>
      <c r="R415" s="287"/>
      <c r="S415" s="286"/>
      <c r="T415" s="286"/>
      <c r="U415" s="286"/>
      <c r="V415" s="287"/>
      <c r="W415" s="288"/>
      <c r="X415" s="286"/>
      <c r="Y415" s="286"/>
      <c r="Z415" s="287"/>
      <c r="AA415" s="288"/>
      <c r="AB415" s="286"/>
      <c r="AC415" s="294"/>
      <c r="AD415" s="289"/>
      <c r="AE415" s="290"/>
      <c r="AF415" s="289"/>
      <c r="AG415" s="290"/>
      <c r="AH415" s="284"/>
      <c r="AI415" s="147"/>
      <c r="AJ415" s="291"/>
      <c r="AK415" s="292"/>
    </row>
    <row r="416" spans="1:37">
      <c r="A416" s="281"/>
      <c r="B416" s="281"/>
      <c r="C416" s="282"/>
      <c r="D416" s="282"/>
      <c r="E416" s="282"/>
      <c r="F416" s="283"/>
      <c r="G416" s="284"/>
      <c r="H416" s="147"/>
      <c r="I416" s="285"/>
      <c r="J416" s="288"/>
      <c r="K416" s="287"/>
      <c r="L416" s="288"/>
      <c r="M416" s="286"/>
      <c r="N416" s="287"/>
      <c r="O416" s="288"/>
      <c r="P416" s="286"/>
      <c r="Q416" s="286"/>
      <c r="R416" s="287"/>
      <c r="S416" s="286"/>
      <c r="T416" s="286"/>
      <c r="U416" s="286"/>
      <c r="V416" s="287"/>
      <c r="W416" s="288"/>
      <c r="X416" s="286"/>
      <c r="Y416" s="286"/>
      <c r="Z416" s="287"/>
      <c r="AA416" s="288"/>
      <c r="AB416" s="286"/>
      <c r="AC416" s="294"/>
      <c r="AD416" s="289"/>
      <c r="AE416" s="290"/>
      <c r="AF416" s="289"/>
      <c r="AG416" s="290"/>
      <c r="AH416" s="284"/>
      <c r="AI416" s="147"/>
      <c r="AJ416" s="291"/>
      <c r="AK416" s="292"/>
    </row>
    <row r="417" spans="1:37">
      <c r="A417" s="281"/>
      <c r="B417" s="281"/>
      <c r="C417" s="282"/>
      <c r="D417" s="282"/>
      <c r="E417" s="282"/>
      <c r="F417" s="283"/>
      <c r="G417" s="284"/>
      <c r="H417" s="147"/>
      <c r="I417" s="285"/>
      <c r="J417" s="288"/>
      <c r="K417" s="287"/>
      <c r="L417" s="288"/>
      <c r="M417" s="286"/>
      <c r="N417" s="287"/>
      <c r="O417" s="288"/>
      <c r="P417" s="286"/>
      <c r="Q417" s="286"/>
      <c r="R417" s="287"/>
      <c r="S417" s="286"/>
      <c r="T417" s="286"/>
      <c r="U417" s="286"/>
      <c r="V417" s="287"/>
      <c r="W417" s="288"/>
      <c r="X417" s="286"/>
      <c r="Y417" s="286"/>
      <c r="Z417" s="287"/>
      <c r="AA417" s="288"/>
      <c r="AB417" s="286"/>
      <c r="AC417" s="294"/>
      <c r="AD417" s="289"/>
      <c r="AE417" s="290"/>
      <c r="AF417" s="289"/>
      <c r="AG417" s="290"/>
      <c r="AH417" s="284"/>
      <c r="AI417" s="147"/>
      <c r="AJ417" s="291"/>
      <c r="AK417" s="292"/>
    </row>
    <row r="418" spans="1:37">
      <c r="A418" s="281"/>
      <c r="B418" s="281"/>
      <c r="C418" s="282"/>
      <c r="D418" s="282"/>
      <c r="E418" s="282"/>
      <c r="F418" s="283"/>
      <c r="G418" s="284"/>
      <c r="H418" s="147"/>
      <c r="I418" s="285"/>
      <c r="J418" s="288"/>
      <c r="K418" s="287"/>
      <c r="L418" s="288"/>
      <c r="M418" s="286"/>
      <c r="N418" s="287"/>
      <c r="O418" s="288"/>
      <c r="P418" s="286"/>
      <c r="Q418" s="286"/>
      <c r="R418" s="287"/>
      <c r="S418" s="286"/>
      <c r="T418" s="286"/>
      <c r="U418" s="286"/>
      <c r="V418" s="287"/>
      <c r="W418" s="288"/>
      <c r="X418" s="286"/>
      <c r="Y418" s="286"/>
      <c r="Z418" s="287"/>
      <c r="AA418" s="288"/>
      <c r="AB418" s="286"/>
      <c r="AC418" s="294"/>
      <c r="AD418" s="289"/>
      <c r="AE418" s="290"/>
      <c r="AF418" s="289"/>
      <c r="AG418" s="290"/>
      <c r="AH418" s="284"/>
      <c r="AI418" s="147"/>
      <c r="AJ418" s="291"/>
      <c r="AK418" s="292"/>
    </row>
    <row r="419" spans="1:37">
      <c r="A419" s="281"/>
      <c r="B419" s="281"/>
      <c r="C419" s="282"/>
      <c r="D419" s="282"/>
      <c r="E419" s="282"/>
      <c r="F419" s="283"/>
      <c r="G419" s="284"/>
      <c r="H419" s="147"/>
      <c r="I419" s="285"/>
      <c r="J419" s="288"/>
      <c r="K419" s="287"/>
      <c r="L419" s="288"/>
      <c r="M419" s="286"/>
      <c r="N419" s="287"/>
      <c r="O419" s="288"/>
      <c r="P419" s="286"/>
      <c r="Q419" s="286"/>
      <c r="R419" s="287"/>
      <c r="S419" s="286"/>
      <c r="T419" s="286"/>
      <c r="U419" s="286"/>
      <c r="V419" s="287"/>
      <c r="W419" s="288"/>
      <c r="X419" s="286"/>
      <c r="Y419" s="286"/>
      <c r="Z419" s="287"/>
      <c r="AA419" s="288"/>
      <c r="AB419" s="286"/>
      <c r="AC419" s="294"/>
      <c r="AD419" s="289"/>
      <c r="AE419" s="290"/>
      <c r="AF419" s="289"/>
      <c r="AG419" s="290"/>
      <c r="AH419" s="284"/>
      <c r="AI419" s="147"/>
      <c r="AJ419" s="291"/>
      <c r="AK419" s="292"/>
    </row>
    <row r="420" spans="1:37">
      <c r="A420" s="281"/>
      <c r="B420" s="281"/>
      <c r="C420" s="282"/>
      <c r="D420" s="282"/>
      <c r="E420" s="282"/>
      <c r="F420" s="283"/>
      <c r="G420" s="284"/>
      <c r="H420" s="147"/>
      <c r="I420" s="285"/>
      <c r="J420" s="288"/>
      <c r="K420" s="287"/>
      <c r="L420" s="288"/>
      <c r="M420" s="286"/>
      <c r="N420" s="287"/>
      <c r="O420" s="288"/>
      <c r="P420" s="286"/>
      <c r="Q420" s="286"/>
      <c r="R420" s="287"/>
      <c r="S420" s="286"/>
      <c r="T420" s="286"/>
      <c r="U420" s="286"/>
      <c r="V420" s="287"/>
      <c r="W420" s="288"/>
      <c r="X420" s="286"/>
      <c r="Y420" s="286"/>
      <c r="Z420" s="287"/>
      <c r="AA420" s="288"/>
      <c r="AB420" s="286"/>
      <c r="AC420" s="294"/>
      <c r="AD420" s="289"/>
      <c r="AE420" s="290"/>
      <c r="AF420" s="289"/>
      <c r="AG420" s="290"/>
      <c r="AH420" s="284"/>
      <c r="AI420" s="147"/>
      <c r="AJ420" s="291"/>
      <c r="AK420" s="292"/>
    </row>
    <row r="421" spans="1:37">
      <c r="A421" s="281"/>
      <c r="B421" s="281"/>
      <c r="C421" s="282"/>
      <c r="D421" s="282"/>
      <c r="E421" s="282"/>
      <c r="F421" s="283"/>
      <c r="G421" s="284"/>
      <c r="H421" s="147"/>
      <c r="I421" s="285"/>
      <c r="J421" s="288"/>
      <c r="K421" s="287"/>
      <c r="L421" s="288"/>
      <c r="M421" s="286"/>
      <c r="N421" s="287"/>
      <c r="O421" s="288"/>
      <c r="P421" s="286"/>
      <c r="Q421" s="286"/>
      <c r="R421" s="287"/>
      <c r="S421" s="286"/>
      <c r="T421" s="286"/>
      <c r="U421" s="286"/>
      <c r="V421" s="287"/>
      <c r="W421" s="288"/>
      <c r="X421" s="286"/>
      <c r="Y421" s="286"/>
      <c r="Z421" s="287"/>
      <c r="AA421" s="288"/>
      <c r="AB421" s="286"/>
      <c r="AC421" s="294"/>
      <c r="AD421" s="289"/>
      <c r="AE421" s="290"/>
      <c r="AF421" s="289"/>
      <c r="AG421" s="290"/>
      <c r="AH421" s="284"/>
      <c r="AI421" s="147"/>
      <c r="AJ421" s="291"/>
      <c r="AK421" s="292"/>
    </row>
    <row r="422" spans="1:37">
      <c r="A422" s="281"/>
      <c r="B422" s="281"/>
      <c r="C422" s="282"/>
      <c r="D422" s="282"/>
      <c r="E422" s="282"/>
      <c r="F422" s="283"/>
      <c r="G422" s="284"/>
      <c r="H422" s="147"/>
      <c r="I422" s="285"/>
      <c r="J422" s="288"/>
      <c r="K422" s="287"/>
      <c r="L422" s="288"/>
      <c r="M422" s="286"/>
      <c r="N422" s="287"/>
      <c r="O422" s="288"/>
      <c r="P422" s="286"/>
      <c r="Q422" s="286"/>
      <c r="R422" s="287"/>
      <c r="S422" s="286"/>
      <c r="T422" s="286"/>
      <c r="U422" s="286"/>
      <c r="V422" s="287"/>
      <c r="W422" s="288"/>
      <c r="X422" s="286"/>
      <c r="Y422" s="286"/>
      <c r="Z422" s="287"/>
      <c r="AA422" s="288"/>
      <c r="AB422" s="286"/>
      <c r="AC422" s="294"/>
      <c r="AD422" s="289"/>
      <c r="AE422" s="290"/>
      <c r="AF422" s="289"/>
      <c r="AG422" s="290"/>
      <c r="AH422" s="284"/>
      <c r="AI422" s="147"/>
      <c r="AJ422" s="291"/>
      <c r="AK422" s="292"/>
    </row>
    <row r="423" spans="1:37">
      <c r="A423" s="281"/>
      <c r="B423" s="281"/>
      <c r="C423" s="282"/>
      <c r="D423" s="282"/>
      <c r="E423" s="282"/>
      <c r="F423" s="283"/>
      <c r="G423" s="284"/>
      <c r="H423" s="147"/>
      <c r="I423" s="285"/>
      <c r="J423" s="288"/>
      <c r="K423" s="287"/>
      <c r="L423" s="288"/>
      <c r="M423" s="286"/>
      <c r="N423" s="287"/>
      <c r="O423" s="288"/>
      <c r="P423" s="286"/>
      <c r="Q423" s="286"/>
      <c r="R423" s="287"/>
      <c r="S423" s="286"/>
      <c r="T423" s="286"/>
      <c r="U423" s="286"/>
      <c r="V423" s="287"/>
      <c r="W423" s="288"/>
      <c r="X423" s="286"/>
      <c r="Y423" s="286"/>
      <c r="Z423" s="287"/>
      <c r="AA423" s="288"/>
      <c r="AB423" s="286"/>
      <c r="AC423" s="294"/>
      <c r="AD423" s="289"/>
      <c r="AE423" s="290"/>
      <c r="AF423" s="289"/>
      <c r="AG423" s="290"/>
      <c r="AH423" s="284"/>
      <c r="AI423" s="147"/>
      <c r="AJ423" s="291"/>
      <c r="AK423" s="292"/>
    </row>
    <row r="424" spans="1:37">
      <c r="A424" s="281"/>
      <c r="B424" s="281"/>
      <c r="C424" s="282"/>
      <c r="D424" s="282"/>
      <c r="E424" s="282"/>
      <c r="F424" s="283"/>
      <c r="G424" s="284"/>
      <c r="H424" s="147"/>
      <c r="I424" s="285"/>
      <c r="J424" s="288"/>
      <c r="K424" s="287"/>
      <c r="L424" s="288"/>
      <c r="M424" s="286"/>
      <c r="N424" s="287"/>
      <c r="O424" s="288"/>
      <c r="P424" s="286"/>
      <c r="Q424" s="286"/>
      <c r="R424" s="287"/>
      <c r="S424" s="286"/>
      <c r="T424" s="286"/>
      <c r="U424" s="286"/>
      <c r="V424" s="287"/>
      <c r="W424" s="288"/>
      <c r="X424" s="286"/>
      <c r="Y424" s="286"/>
      <c r="Z424" s="287"/>
      <c r="AA424" s="288"/>
      <c r="AB424" s="286"/>
      <c r="AC424" s="294"/>
      <c r="AD424" s="289"/>
      <c r="AE424" s="290"/>
      <c r="AF424" s="289"/>
      <c r="AG424" s="290"/>
      <c r="AH424" s="284"/>
      <c r="AI424" s="147"/>
      <c r="AJ424" s="291"/>
      <c r="AK424" s="292"/>
    </row>
    <row r="425" spans="1:37">
      <c r="A425" s="281"/>
      <c r="B425" s="281"/>
      <c r="C425" s="282"/>
      <c r="D425" s="282"/>
      <c r="E425" s="282"/>
      <c r="F425" s="283"/>
      <c r="G425" s="284"/>
      <c r="H425" s="147"/>
      <c r="I425" s="285"/>
      <c r="J425" s="288"/>
      <c r="K425" s="287"/>
      <c r="L425" s="288"/>
      <c r="M425" s="286"/>
      <c r="N425" s="287"/>
      <c r="O425" s="288"/>
      <c r="P425" s="286"/>
      <c r="Q425" s="286"/>
      <c r="R425" s="287"/>
      <c r="S425" s="286"/>
      <c r="T425" s="286"/>
      <c r="U425" s="286"/>
      <c r="V425" s="287"/>
      <c r="W425" s="288"/>
      <c r="X425" s="286"/>
      <c r="Y425" s="286"/>
      <c r="Z425" s="287"/>
      <c r="AA425" s="288"/>
      <c r="AB425" s="286"/>
      <c r="AC425" s="294"/>
      <c r="AD425" s="289"/>
      <c r="AE425" s="290"/>
      <c r="AF425" s="289"/>
      <c r="AG425" s="290"/>
      <c r="AH425" s="284"/>
      <c r="AI425" s="147"/>
      <c r="AJ425" s="291"/>
      <c r="AK425" s="292"/>
    </row>
    <row r="426" spans="1:37">
      <c r="A426" s="281"/>
      <c r="B426" s="281"/>
      <c r="C426" s="282"/>
      <c r="D426" s="282"/>
      <c r="E426" s="282"/>
      <c r="F426" s="283"/>
      <c r="G426" s="284"/>
      <c r="H426" s="147"/>
      <c r="I426" s="285"/>
      <c r="J426" s="288"/>
      <c r="K426" s="287"/>
      <c r="L426" s="288"/>
      <c r="M426" s="286"/>
      <c r="N426" s="287"/>
      <c r="O426" s="288"/>
      <c r="P426" s="286"/>
      <c r="Q426" s="286"/>
      <c r="R426" s="287"/>
      <c r="S426" s="286"/>
      <c r="T426" s="286"/>
      <c r="U426" s="286"/>
      <c r="V426" s="287"/>
      <c r="W426" s="288"/>
      <c r="X426" s="286"/>
      <c r="Y426" s="286"/>
      <c r="Z426" s="287"/>
      <c r="AA426" s="288"/>
      <c r="AB426" s="286"/>
      <c r="AC426" s="294"/>
      <c r="AD426" s="289"/>
      <c r="AE426" s="290"/>
      <c r="AF426" s="289"/>
      <c r="AG426" s="290"/>
      <c r="AH426" s="284"/>
      <c r="AI426" s="147"/>
      <c r="AJ426" s="291"/>
      <c r="AK426" s="292"/>
    </row>
    <row r="427" spans="1:37">
      <c r="A427" s="281"/>
      <c r="B427" s="281"/>
      <c r="C427" s="282"/>
      <c r="D427" s="282"/>
      <c r="E427" s="282"/>
      <c r="F427" s="283"/>
      <c r="G427" s="284"/>
      <c r="H427" s="147"/>
      <c r="I427" s="285"/>
      <c r="J427" s="288"/>
      <c r="K427" s="287"/>
      <c r="L427" s="288"/>
      <c r="M427" s="286"/>
      <c r="N427" s="287"/>
      <c r="O427" s="288"/>
      <c r="P427" s="286"/>
      <c r="Q427" s="286"/>
      <c r="R427" s="287"/>
      <c r="S427" s="286"/>
      <c r="T427" s="286"/>
      <c r="U427" s="286"/>
      <c r="V427" s="287"/>
      <c r="W427" s="288"/>
      <c r="X427" s="286"/>
      <c r="Y427" s="286"/>
      <c r="Z427" s="287"/>
      <c r="AA427" s="288"/>
      <c r="AB427" s="286"/>
      <c r="AC427" s="294"/>
      <c r="AD427" s="289"/>
      <c r="AE427" s="290"/>
      <c r="AF427" s="289"/>
      <c r="AG427" s="290"/>
      <c r="AH427" s="284"/>
      <c r="AI427" s="147"/>
      <c r="AJ427" s="291"/>
      <c r="AK427" s="292"/>
    </row>
    <row r="428" spans="1:37">
      <c r="A428" s="281"/>
      <c r="B428" s="281"/>
      <c r="C428" s="282"/>
      <c r="D428" s="282"/>
      <c r="E428" s="282"/>
      <c r="F428" s="283"/>
      <c r="G428" s="284"/>
      <c r="H428" s="147"/>
      <c r="I428" s="285"/>
      <c r="J428" s="288"/>
      <c r="K428" s="287"/>
      <c r="L428" s="288"/>
      <c r="M428" s="286"/>
      <c r="N428" s="287"/>
      <c r="O428" s="288"/>
      <c r="P428" s="286"/>
      <c r="Q428" s="286"/>
      <c r="R428" s="287"/>
      <c r="S428" s="286"/>
      <c r="T428" s="286"/>
      <c r="U428" s="286"/>
      <c r="V428" s="287"/>
      <c r="W428" s="288"/>
      <c r="X428" s="286"/>
      <c r="Y428" s="286"/>
      <c r="Z428" s="287"/>
      <c r="AA428" s="288"/>
      <c r="AB428" s="286"/>
      <c r="AC428" s="294"/>
      <c r="AD428" s="289"/>
      <c r="AE428" s="290"/>
      <c r="AF428" s="289"/>
      <c r="AG428" s="290"/>
      <c r="AH428" s="284"/>
      <c r="AI428" s="147"/>
      <c r="AJ428" s="291"/>
      <c r="AK428" s="292"/>
    </row>
    <row r="429" spans="1:37">
      <c r="A429" s="281"/>
      <c r="B429" s="281"/>
      <c r="C429" s="282"/>
      <c r="D429" s="282"/>
      <c r="E429" s="282"/>
      <c r="F429" s="283"/>
      <c r="G429" s="284"/>
      <c r="H429" s="147"/>
      <c r="I429" s="285"/>
      <c r="J429" s="288"/>
      <c r="K429" s="287"/>
      <c r="L429" s="288"/>
      <c r="M429" s="286"/>
      <c r="N429" s="287"/>
      <c r="O429" s="288"/>
      <c r="P429" s="286"/>
      <c r="Q429" s="286"/>
      <c r="R429" s="287"/>
      <c r="S429" s="286"/>
      <c r="T429" s="286"/>
      <c r="U429" s="286"/>
      <c r="V429" s="287"/>
      <c r="W429" s="288"/>
      <c r="X429" s="286"/>
      <c r="Y429" s="286"/>
      <c r="Z429" s="287"/>
      <c r="AA429" s="288"/>
      <c r="AB429" s="286"/>
      <c r="AC429" s="294"/>
      <c r="AD429" s="289"/>
      <c r="AE429" s="290"/>
      <c r="AF429" s="289"/>
      <c r="AG429" s="290"/>
      <c r="AH429" s="284"/>
      <c r="AI429" s="147"/>
      <c r="AJ429" s="291"/>
      <c r="AK429" s="292"/>
    </row>
    <row r="430" spans="1:37">
      <c r="A430" s="281"/>
      <c r="B430" s="281"/>
      <c r="C430" s="282"/>
      <c r="D430" s="282"/>
      <c r="E430" s="282"/>
      <c r="F430" s="283"/>
      <c r="G430" s="284"/>
      <c r="H430" s="147"/>
      <c r="I430" s="285"/>
      <c r="J430" s="288"/>
      <c r="K430" s="287"/>
      <c r="L430" s="288"/>
      <c r="M430" s="286"/>
      <c r="N430" s="287"/>
      <c r="O430" s="288"/>
      <c r="P430" s="286"/>
      <c r="Q430" s="286"/>
      <c r="R430" s="287"/>
      <c r="S430" s="286"/>
      <c r="T430" s="286"/>
      <c r="U430" s="286"/>
      <c r="V430" s="287"/>
      <c r="W430" s="288"/>
      <c r="X430" s="286"/>
      <c r="Y430" s="286"/>
      <c r="Z430" s="287"/>
      <c r="AA430" s="288"/>
      <c r="AB430" s="286"/>
      <c r="AC430" s="294"/>
      <c r="AD430" s="289"/>
      <c r="AE430" s="290"/>
      <c r="AF430" s="289"/>
      <c r="AG430" s="290"/>
      <c r="AH430" s="284"/>
      <c r="AI430" s="147"/>
      <c r="AJ430" s="291"/>
      <c r="AK430" s="292"/>
    </row>
    <row r="431" spans="1:37">
      <c r="A431" s="281"/>
      <c r="B431" s="281"/>
      <c r="C431" s="282"/>
      <c r="D431" s="282"/>
      <c r="E431" s="282"/>
      <c r="F431" s="283"/>
      <c r="G431" s="284"/>
      <c r="H431" s="147"/>
      <c r="I431" s="285"/>
      <c r="J431" s="288"/>
      <c r="K431" s="287"/>
      <c r="L431" s="288"/>
      <c r="M431" s="286"/>
      <c r="N431" s="287"/>
      <c r="O431" s="288"/>
      <c r="P431" s="286"/>
      <c r="Q431" s="286"/>
      <c r="R431" s="287"/>
      <c r="S431" s="286"/>
      <c r="T431" s="286"/>
      <c r="U431" s="286"/>
      <c r="V431" s="287"/>
      <c r="W431" s="288"/>
      <c r="X431" s="286"/>
      <c r="Y431" s="286"/>
      <c r="Z431" s="287"/>
      <c r="AA431" s="288"/>
      <c r="AB431" s="286"/>
      <c r="AC431" s="294"/>
      <c r="AD431" s="289"/>
      <c r="AE431" s="290"/>
      <c r="AF431" s="289"/>
      <c r="AG431" s="290"/>
      <c r="AH431" s="284"/>
      <c r="AI431" s="147"/>
      <c r="AJ431" s="291"/>
      <c r="AK431" s="292"/>
    </row>
    <row r="432" spans="1:37">
      <c r="A432" s="281"/>
      <c r="B432" s="281"/>
      <c r="C432" s="282"/>
      <c r="D432" s="282"/>
      <c r="E432" s="282"/>
      <c r="F432" s="283"/>
      <c r="G432" s="284"/>
      <c r="H432" s="147"/>
      <c r="I432" s="285"/>
      <c r="J432" s="288"/>
      <c r="K432" s="287"/>
      <c r="L432" s="288"/>
      <c r="M432" s="286"/>
      <c r="N432" s="287"/>
      <c r="O432" s="288"/>
      <c r="P432" s="286"/>
      <c r="Q432" s="286"/>
      <c r="R432" s="287"/>
      <c r="S432" s="286"/>
      <c r="T432" s="286"/>
      <c r="U432" s="286"/>
      <c r="V432" s="287"/>
      <c r="W432" s="288"/>
      <c r="X432" s="286"/>
      <c r="Y432" s="286"/>
      <c r="Z432" s="287"/>
      <c r="AA432" s="288"/>
      <c r="AB432" s="286"/>
      <c r="AC432" s="294"/>
      <c r="AD432" s="289"/>
      <c r="AE432" s="290"/>
      <c r="AF432" s="289"/>
      <c r="AG432" s="290"/>
      <c r="AH432" s="284"/>
      <c r="AI432" s="147"/>
      <c r="AJ432" s="291"/>
      <c r="AK432" s="292"/>
    </row>
    <row r="433" spans="1:37">
      <c r="A433" s="281"/>
      <c r="B433" s="281"/>
      <c r="C433" s="282"/>
      <c r="D433" s="282"/>
      <c r="E433" s="282"/>
      <c r="F433" s="283"/>
      <c r="G433" s="284"/>
      <c r="H433" s="147"/>
      <c r="I433" s="285"/>
      <c r="J433" s="288"/>
      <c r="K433" s="287"/>
      <c r="L433" s="288"/>
      <c r="M433" s="286"/>
      <c r="N433" s="287"/>
      <c r="O433" s="288"/>
      <c r="P433" s="286"/>
      <c r="Q433" s="286"/>
      <c r="R433" s="287"/>
      <c r="S433" s="286"/>
      <c r="T433" s="286"/>
      <c r="U433" s="286"/>
      <c r="V433" s="287"/>
      <c r="W433" s="288"/>
      <c r="X433" s="286"/>
      <c r="Y433" s="286"/>
      <c r="Z433" s="287"/>
      <c r="AA433" s="288"/>
      <c r="AB433" s="286"/>
      <c r="AC433" s="294"/>
      <c r="AD433" s="289"/>
      <c r="AE433" s="290"/>
      <c r="AF433" s="289"/>
      <c r="AG433" s="290"/>
      <c r="AH433" s="284"/>
      <c r="AI433" s="147"/>
      <c r="AJ433" s="291"/>
      <c r="AK433" s="292"/>
    </row>
    <row r="434" spans="1:37">
      <c r="A434" s="281"/>
      <c r="B434" s="281"/>
      <c r="C434" s="282"/>
      <c r="D434" s="282"/>
      <c r="E434" s="282"/>
      <c r="F434" s="283"/>
      <c r="G434" s="284"/>
      <c r="H434" s="147"/>
      <c r="I434" s="285"/>
      <c r="J434" s="288"/>
      <c r="K434" s="287"/>
      <c r="L434" s="288"/>
      <c r="M434" s="286"/>
      <c r="N434" s="287"/>
      <c r="O434" s="288"/>
      <c r="P434" s="286"/>
      <c r="Q434" s="286"/>
      <c r="R434" s="287"/>
      <c r="S434" s="286"/>
      <c r="T434" s="286"/>
      <c r="U434" s="286"/>
      <c r="V434" s="287"/>
      <c r="W434" s="288"/>
      <c r="X434" s="286"/>
      <c r="Y434" s="286"/>
      <c r="Z434" s="287"/>
      <c r="AA434" s="288"/>
      <c r="AB434" s="286"/>
      <c r="AC434" s="294"/>
      <c r="AD434" s="289"/>
      <c r="AE434" s="290"/>
      <c r="AF434" s="289"/>
      <c r="AG434" s="290"/>
      <c r="AH434" s="284"/>
      <c r="AI434" s="147"/>
      <c r="AJ434" s="291"/>
      <c r="AK434" s="292"/>
    </row>
    <row r="435" spans="1:37">
      <c r="A435" s="281"/>
      <c r="B435" s="281"/>
      <c r="C435" s="282"/>
      <c r="D435" s="282"/>
      <c r="E435" s="282"/>
      <c r="F435" s="283"/>
      <c r="G435" s="284"/>
      <c r="H435" s="147"/>
      <c r="I435" s="285"/>
      <c r="J435" s="288"/>
      <c r="K435" s="287"/>
      <c r="L435" s="288"/>
      <c r="M435" s="286"/>
      <c r="N435" s="287"/>
      <c r="O435" s="288"/>
      <c r="P435" s="286"/>
      <c r="Q435" s="286"/>
      <c r="R435" s="287"/>
      <c r="S435" s="286"/>
      <c r="T435" s="286"/>
      <c r="U435" s="286"/>
      <c r="V435" s="287"/>
      <c r="W435" s="288"/>
      <c r="X435" s="286"/>
      <c r="Y435" s="286"/>
      <c r="Z435" s="287"/>
      <c r="AA435" s="288"/>
      <c r="AB435" s="286"/>
      <c r="AC435" s="294"/>
      <c r="AD435" s="289"/>
      <c r="AE435" s="290"/>
      <c r="AF435" s="289"/>
      <c r="AG435" s="290"/>
      <c r="AH435" s="284"/>
      <c r="AI435" s="147"/>
      <c r="AJ435" s="291"/>
      <c r="AK435" s="292"/>
    </row>
    <row r="436" spans="1:37">
      <c r="A436" s="281"/>
      <c r="B436" s="281"/>
      <c r="C436" s="282"/>
      <c r="D436" s="282"/>
      <c r="E436" s="282"/>
      <c r="F436" s="283"/>
      <c r="G436" s="284"/>
      <c r="H436" s="147"/>
      <c r="I436" s="285"/>
      <c r="J436" s="288"/>
      <c r="K436" s="287"/>
      <c r="L436" s="288"/>
      <c r="M436" s="286"/>
      <c r="N436" s="287"/>
      <c r="O436" s="288"/>
      <c r="P436" s="286"/>
      <c r="Q436" s="286"/>
      <c r="R436" s="287"/>
      <c r="S436" s="286"/>
      <c r="T436" s="286"/>
      <c r="U436" s="286"/>
      <c r="V436" s="287"/>
      <c r="W436" s="288"/>
      <c r="X436" s="286"/>
      <c r="Y436" s="286"/>
      <c r="Z436" s="287"/>
      <c r="AA436" s="288"/>
      <c r="AB436" s="286"/>
      <c r="AC436" s="294"/>
      <c r="AD436" s="289"/>
      <c r="AE436" s="290"/>
      <c r="AF436" s="289"/>
      <c r="AG436" s="290"/>
      <c r="AH436" s="284"/>
      <c r="AI436" s="147"/>
      <c r="AJ436" s="291"/>
      <c r="AK436" s="292"/>
    </row>
    <row r="437" spans="1:37">
      <c r="A437" s="281"/>
      <c r="B437" s="281"/>
      <c r="C437" s="282"/>
      <c r="D437" s="282"/>
      <c r="E437" s="282"/>
      <c r="F437" s="283"/>
      <c r="G437" s="284"/>
      <c r="H437" s="147"/>
      <c r="I437" s="285"/>
      <c r="J437" s="288"/>
      <c r="K437" s="287"/>
      <c r="L437" s="288"/>
      <c r="M437" s="286"/>
      <c r="N437" s="287"/>
      <c r="O437" s="288"/>
      <c r="P437" s="286"/>
      <c r="Q437" s="286"/>
      <c r="R437" s="287"/>
      <c r="S437" s="286"/>
      <c r="T437" s="286"/>
      <c r="U437" s="286"/>
      <c r="V437" s="287"/>
      <c r="W437" s="288"/>
      <c r="X437" s="286"/>
      <c r="Y437" s="286"/>
      <c r="Z437" s="287"/>
      <c r="AA437" s="288"/>
      <c r="AB437" s="286"/>
      <c r="AC437" s="294"/>
      <c r="AD437" s="289"/>
      <c r="AE437" s="290"/>
      <c r="AF437" s="289"/>
      <c r="AG437" s="290"/>
      <c r="AH437" s="284"/>
      <c r="AI437" s="147"/>
      <c r="AJ437" s="291"/>
      <c r="AK437" s="292"/>
    </row>
    <row r="438" spans="1:37">
      <c r="A438" s="281"/>
      <c r="B438" s="281"/>
      <c r="C438" s="282"/>
      <c r="D438" s="282"/>
      <c r="E438" s="282"/>
      <c r="F438" s="283"/>
      <c r="G438" s="284"/>
      <c r="H438" s="147"/>
      <c r="I438" s="285"/>
      <c r="J438" s="288"/>
      <c r="K438" s="287"/>
      <c r="L438" s="288"/>
      <c r="M438" s="286"/>
      <c r="N438" s="287"/>
      <c r="O438" s="288"/>
      <c r="P438" s="286"/>
      <c r="Q438" s="286"/>
      <c r="R438" s="287"/>
      <c r="S438" s="286"/>
      <c r="T438" s="286"/>
      <c r="U438" s="286"/>
      <c r="V438" s="287"/>
      <c r="W438" s="288"/>
      <c r="X438" s="286"/>
      <c r="Y438" s="286"/>
      <c r="Z438" s="287"/>
      <c r="AA438" s="288"/>
      <c r="AB438" s="286"/>
      <c r="AC438" s="294"/>
      <c r="AD438" s="289"/>
      <c r="AE438" s="290"/>
      <c r="AF438" s="289"/>
      <c r="AG438" s="290"/>
      <c r="AH438" s="284"/>
      <c r="AI438" s="147"/>
      <c r="AJ438" s="291"/>
      <c r="AK438" s="292"/>
    </row>
    <row r="439" spans="1:37">
      <c r="A439" s="281"/>
      <c r="B439" s="281"/>
      <c r="C439" s="282"/>
      <c r="D439" s="282"/>
      <c r="E439" s="282"/>
      <c r="F439" s="283"/>
      <c r="G439" s="284"/>
      <c r="H439" s="147"/>
      <c r="I439" s="285"/>
      <c r="J439" s="288"/>
      <c r="K439" s="287"/>
      <c r="L439" s="288"/>
      <c r="M439" s="286"/>
      <c r="N439" s="287"/>
      <c r="O439" s="288"/>
      <c r="P439" s="286"/>
      <c r="Q439" s="286"/>
      <c r="R439" s="287"/>
      <c r="S439" s="286"/>
      <c r="T439" s="286"/>
      <c r="U439" s="286"/>
      <c r="V439" s="287"/>
      <c r="W439" s="288"/>
      <c r="X439" s="286"/>
      <c r="Y439" s="286"/>
      <c r="Z439" s="287"/>
      <c r="AA439" s="288"/>
      <c r="AB439" s="286"/>
      <c r="AC439" s="294"/>
      <c r="AD439" s="289"/>
      <c r="AE439" s="290"/>
      <c r="AF439" s="289"/>
      <c r="AG439" s="290"/>
      <c r="AH439" s="284"/>
      <c r="AI439" s="147"/>
      <c r="AJ439" s="291"/>
      <c r="AK439" s="292"/>
    </row>
    <row r="440" spans="1:37">
      <c r="A440" s="281"/>
      <c r="B440" s="281"/>
      <c r="C440" s="282"/>
      <c r="D440" s="282"/>
      <c r="E440" s="282"/>
      <c r="F440" s="283"/>
      <c r="G440" s="284"/>
      <c r="H440" s="147"/>
      <c r="I440" s="285"/>
      <c r="J440" s="288"/>
      <c r="K440" s="287"/>
      <c r="L440" s="288"/>
      <c r="M440" s="286"/>
      <c r="N440" s="287"/>
      <c r="O440" s="288"/>
      <c r="P440" s="286"/>
      <c r="Q440" s="286"/>
      <c r="R440" s="287"/>
      <c r="S440" s="286"/>
      <c r="T440" s="286"/>
      <c r="U440" s="286"/>
      <c r="V440" s="287"/>
      <c r="W440" s="288"/>
      <c r="X440" s="286"/>
      <c r="Y440" s="286"/>
      <c r="Z440" s="287"/>
      <c r="AA440" s="288"/>
      <c r="AB440" s="286"/>
      <c r="AC440" s="294"/>
      <c r="AD440" s="289"/>
      <c r="AE440" s="290"/>
      <c r="AF440" s="289"/>
      <c r="AG440" s="290"/>
      <c r="AH440" s="284"/>
      <c r="AI440" s="147"/>
      <c r="AJ440" s="291"/>
      <c r="AK440" s="292"/>
    </row>
    <row r="441" spans="1:37">
      <c r="A441" s="281"/>
      <c r="B441" s="281"/>
      <c r="C441" s="282"/>
      <c r="D441" s="282"/>
      <c r="E441" s="282"/>
      <c r="F441" s="283"/>
      <c r="G441" s="284"/>
      <c r="H441" s="147"/>
      <c r="I441" s="285"/>
      <c r="J441" s="288"/>
      <c r="K441" s="287"/>
      <c r="L441" s="288"/>
      <c r="M441" s="286"/>
      <c r="N441" s="287"/>
      <c r="O441" s="288"/>
      <c r="P441" s="286"/>
      <c r="Q441" s="286"/>
      <c r="R441" s="287"/>
      <c r="S441" s="286"/>
      <c r="T441" s="286"/>
      <c r="U441" s="286"/>
      <c r="V441" s="287"/>
      <c r="W441" s="288"/>
      <c r="X441" s="286"/>
      <c r="Y441" s="286"/>
      <c r="Z441" s="287"/>
      <c r="AA441" s="288"/>
      <c r="AB441" s="286"/>
      <c r="AC441" s="294"/>
      <c r="AD441" s="289"/>
      <c r="AE441" s="290"/>
      <c r="AF441" s="289"/>
      <c r="AG441" s="290"/>
      <c r="AH441" s="284"/>
      <c r="AI441" s="147"/>
      <c r="AJ441" s="291"/>
      <c r="AK441" s="292"/>
    </row>
    <row r="442" spans="1:37">
      <c r="A442" s="281"/>
      <c r="B442" s="281"/>
      <c r="C442" s="282"/>
      <c r="D442" s="282"/>
      <c r="E442" s="282"/>
      <c r="F442" s="283"/>
      <c r="G442" s="284"/>
      <c r="H442" s="147"/>
      <c r="I442" s="285"/>
      <c r="J442" s="288"/>
      <c r="K442" s="287"/>
      <c r="L442" s="288"/>
      <c r="M442" s="286"/>
      <c r="N442" s="287"/>
      <c r="O442" s="288"/>
      <c r="P442" s="286"/>
      <c r="Q442" s="286"/>
      <c r="R442" s="287"/>
      <c r="S442" s="286"/>
      <c r="T442" s="286"/>
      <c r="U442" s="286"/>
      <c r="V442" s="287"/>
      <c r="W442" s="288"/>
      <c r="X442" s="286"/>
      <c r="Y442" s="286"/>
      <c r="Z442" s="287"/>
      <c r="AA442" s="288"/>
      <c r="AB442" s="286"/>
      <c r="AC442" s="294"/>
      <c r="AD442" s="289"/>
      <c r="AE442" s="290"/>
      <c r="AF442" s="289"/>
      <c r="AG442" s="290"/>
      <c r="AH442" s="284"/>
      <c r="AI442" s="147"/>
      <c r="AJ442" s="291"/>
      <c r="AK442" s="292"/>
    </row>
    <row r="443" spans="1:37">
      <c r="A443" s="281"/>
      <c r="B443" s="281"/>
      <c r="C443" s="282"/>
      <c r="D443" s="282"/>
      <c r="E443" s="282"/>
      <c r="F443" s="283"/>
      <c r="G443" s="284"/>
      <c r="H443" s="147"/>
      <c r="I443" s="285"/>
      <c r="J443" s="288"/>
      <c r="K443" s="287"/>
      <c r="L443" s="288"/>
      <c r="M443" s="286"/>
      <c r="N443" s="287"/>
      <c r="O443" s="288"/>
      <c r="P443" s="286"/>
      <c r="Q443" s="286"/>
      <c r="R443" s="287"/>
      <c r="S443" s="286"/>
      <c r="T443" s="286"/>
      <c r="U443" s="286"/>
      <c r="V443" s="287"/>
      <c r="W443" s="288"/>
      <c r="X443" s="286"/>
      <c r="Y443" s="286"/>
      <c r="Z443" s="287"/>
      <c r="AA443" s="288"/>
      <c r="AB443" s="286"/>
      <c r="AC443" s="294"/>
      <c r="AD443" s="289"/>
      <c r="AE443" s="290"/>
      <c r="AF443" s="289"/>
      <c r="AG443" s="290"/>
      <c r="AH443" s="284"/>
      <c r="AI443" s="147"/>
      <c r="AJ443" s="291"/>
      <c r="AK443" s="292"/>
    </row>
    <row r="444" spans="1:37">
      <c r="A444" s="281"/>
      <c r="B444" s="281"/>
      <c r="C444" s="282"/>
      <c r="D444" s="282"/>
      <c r="E444" s="282"/>
      <c r="F444" s="283"/>
      <c r="G444" s="284"/>
      <c r="H444" s="147"/>
      <c r="I444" s="285"/>
      <c r="J444" s="288"/>
      <c r="K444" s="287"/>
      <c r="L444" s="288"/>
      <c r="M444" s="286"/>
      <c r="N444" s="287"/>
      <c r="O444" s="288"/>
      <c r="P444" s="286"/>
      <c r="Q444" s="286"/>
      <c r="R444" s="287"/>
      <c r="S444" s="286"/>
      <c r="T444" s="286"/>
      <c r="U444" s="286"/>
      <c r="V444" s="287"/>
      <c r="W444" s="288"/>
      <c r="X444" s="286"/>
      <c r="Y444" s="286"/>
      <c r="Z444" s="287"/>
      <c r="AA444" s="288"/>
      <c r="AB444" s="286"/>
      <c r="AC444" s="294"/>
      <c r="AD444" s="289"/>
      <c r="AE444" s="290"/>
      <c r="AF444" s="289"/>
      <c r="AG444" s="290"/>
      <c r="AH444" s="284"/>
      <c r="AI444" s="147"/>
      <c r="AJ444" s="291"/>
      <c r="AK444" s="292"/>
    </row>
    <row r="445" spans="1:37">
      <c r="A445" s="281"/>
      <c r="B445" s="281"/>
      <c r="C445" s="282"/>
      <c r="D445" s="282"/>
      <c r="E445" s="282"/>
      <c r="F445" s="283"/>
      <c r="G445" s="284"/>
      <c r="H445" s="147"/>
      <c r="I445" s="285"/>
      <c r="J445" s="288"/>
      <c r="K445" s="287"/>
      <c r="L445" s="288"/>
      <c r="M445" s="286"/>
      <c r="N445" s="287"/>
      <c r="O445" s="288"/>
      <c r="P445" s="286"/>
      <c r="Q445" s="286"/>
      <c r="R445" s="287"/>
      <c r="S445" s="286"/>
      <c r="T445" s="286"/>
      <c r="U445" s="286"/>
      <c r="V445" s="287"/>
      <c r="W445" s="288"/>
      <c r="X445" s="286"/>
      <c r="Y445" s="286"/>
      <c r="Z445" s="287"/>
      <c r="AA445" s="288"/>
      <c r="AB445" s="286"/>
      <c r="AC445" s="294"/>
      <c r="AD445" s="289"/>
      <c r="AE445" s="290"/>
      <c r="AF445" s="289"/>
      <c r="AG445" s="290"/>
      <c r="AH445" s="284"/>
      <c r="AI445" s="147"/>
      <c r="AJ445" s="291"/>
      <c r="AK445" s="292"/>
    </row>
    <row r="446" spans="1:37">
      <c r="A446" s="281"/>
      <c r="B446" s="281"/>
      <c r="C446" s="282"/>
      <c r="D446" s="282"/>
      <c r="E446" s="282"/>
      <c r="F446" s="283"/>
      <c r="G446" s="284"/>
      <c r="H446" s="147"/>
      <c r="I446" s="285"/>
      <c r="J446" s="288"/>
      <c r="K446" s="287"/>
      <c r="L446" s="288"/>
      <c r="M446" s="286"/>
      <c r="N446" s="287"/>
      <c r="O446" s="288"/>
      <c r="P446" s="286"/>
      <c r="Q446" s="286"/>
      <c r="R446" s="287"/>
      <c r="S446" s="286"/>
      <c r="T446" s="286"/>
      <c r="U446" s="286"/>
      <c r="V446" s="287"/>
      <c r="W446" s="288"/>
      <c r="X446" s="286"/>
      <c r="Y446" s="286"/>
      <c r="Z446" s="287"/>
      <c r="AA446" s="288"/>
      <c r="AB446" s="286"/>
      <c r="AC446" s="294"/>
      <c r="AD446" s="289"/>
      <c r="AE446" s="290"/>
      <c r="AF446" s="289"/>
      <c r="AG446" s="290"/>
      <c r="AH446" s="284"/>
      <c r="AI446" s="147"/>
      <c r="AJ446" s="291"/>
      <c r="AK446" s="292"/>
    </row>
    <row r="447" spans="1:37">
      <c r="A447" s="281"/>
      <c r="B447" s="281"/>
      <c r="C447" s="282"/>
      <c r="D447" s="282"/>
      <c r="E447" s="282"/>
      <c r="F447" s="283"/>
      <c r="G447" s="284"/>
      <c r="H447" s="147"/>
      <c r="I447" s="285"/>
      <c r="J447" s="288"/>
      <c r="K447" s="287"/>
      <c r="L447" s="288"/>
      <c r="M447" s="286"/>
      <c r="N447" s="287"/>
      <c r="O447" s="288"/>
      <c r="P447" s="286"/>
      <c r="Q447" s="286"/>
      <c r="R447" s="287"/>
      <c r="S447" s="286"/>
      <c r="T447" s="286"/>
      <c r="U447" s="286"/>
      <c r="V447" s="287"/>
      <c r="W447" s="288"/>
      <c r="X447" s="286"/>
      <c r="Y447" s="286"/>
      <c r="Z447" s="287"/>
      <c r="AA447" s="288"/>
      <c r="AB447" s="286"/>
      <c r="AC447" s="294"/>
      <c r="AD447" s="289"/>
      <c r="AE447" s="290"/>
      <c r="AF447" s="289"/>
      <c r="AG447" s="290"/>
      <c r="AH447" s="284"/>
      <c r="AI447" s="147"/>
      <c r="AJ447" s="291"/>
      <c r="AK447" s="292"/>
    </row>
    <row r="448" spans="1:37">
      <c r="A448" s="281"/>
      <c r="B448" s="281"/>
      <c r="C448" s="282"/>
      <c r="D448" s="282"/>
      <c r="E448" s="282"/>
      <c r="F448" s="283"/>
      <c r="G448" s="284"/>
      <c r="H448" s="147"/>
      <c r="I448" s="285"/>
      <c r="J448" s="288"/>
      <c r="K448" s="287"/>
      <c r="L448" s="288"/>
      <c r="M448" s="286"/>
      <c r="N448" s="287"/>
      <c r="O448" s="288"/>
      <c r="P448" s="286"/>
      <c r="Q448" s="286"/>
      <c r="R448" s="287"/>
      <c r="S448" s="286"/>
      <c r="T448" s="286"/>
      <c r="U448" s="286"/>
      <c r="V448" s="287"/>
      <c r="W448" s="288"/>
      <c r="X448" s="286"/>
      <c r="Y448" s="286"/>
      <c r="Z448" s="287"/>
      <c r="AA448" s="288"/>
      <c r="AB448" s="286"/>
      <c r="AC448" s="294"/>
      <c r="AD448" s="289"/>
      <c r="AE448" s="290"/>
      <c r="AF448" s="289"/>
      <c r="AG448" s="290"/>
      <c r="AH448" s="284"/>
      <c r="AI448" s="147"/>
      <c r="AJ448" s="291"/>
      <c r="AK448" s="292"/>
    </row>
    <row r="449" spans="1:37">
      <c r="A449" s="281"/>
      <c r="B449" s="281"/>
      <c r="C449" s="282"/>
      <c r="D449" s="282"/>
      <c r="E449" s="282"/>
      <c r="F449" s="283"/>
      <c r="G449" s="284"/>
      <c r="H449" s="147"/>
      <c r="I449" s="285"/>
      <c r="J449" s="288"/>
      <c r="K449" s="287"/>
      <c r="L449" s="288"/>
      <c r="M449" s="286"/>
      <c r="N449" s="287"/>
      <c r="O449" s="288"/>
      <c r="P449" s="286"/>
      <c r="Q449" s="286"/>
      <c r="R449" s="287"/>
      <c r="S449" s="286"/>
      <c r="T449" s="286"/>
      <c r="U449" s="286"/>
      <c r="V449" s="287"/>
      <c r="W449" s="288"/>
      <c r="X449" s="286"/>
      <c r="Y449" s="286"/>
      <c r="Z449" s="287"/>
      <c r="AA449" s="288"/>
      <c r="AB449" s="286"/>
      <c r="AC449" s="294"/>
      <c r="AD449" s="289"/>
      <c r="AE449" s="290"/>
      <c r="AF449" s="289"/>
      <c r="AG449" s="290"/>
      <c r="AH449" s="284"/>
      <c r="AI449" s="147"/>
      <c r="AJ449" s="291"/>
      <c r="AK449" s="292"/>
    </row>
    <row r="450" spans="1:37">
      <c r="A450" s="281"/>
      <c r="B450" s="281"/>
      <c r="C450" s="282"/>
      <c r="D450" s="282"/>
      <c r="E450" s="282"/>
      <c r="F450" s="283"/>
      <c r="G450" s="284"/>
      <c r="H450" s="147"/>
      <c r="I450" s="285"/>
      <c r="J450" s="288"/>
      <c r="K450" s="287"/>
      <c r="L450" s="288"/>
      <c r="M450" s="286"/>
      <c r="N450" s="287"/>
      <c r="O450" s="288"/>
      <c r="P450" s="286"/>
      <c r="Q450" s="286"/>
      <c r="R450" s="287"/>
      <c r="S450" s="286"/>
      <c r="T450" s="286"/>
      <c r="U450" s="286"/>
      <c r="V450" s="287"/>
      <c r="W450" s="288"/>
      <c r="X450" s="286"/>
      <c r="Y450" s="286"/>
      <c r="Z450" s="287"/>
      <c r="AA450" s="288"/>
      <c r="AB450" s="286"/>
      <c r="AC450" s="294"/>
      <c r="AD450" s="289"/>
      <c r="AE450" s="290"/>
      <c r="AF450" s="289"/>
      <c r="AG450" s="290"/>
      <c r="AH450" s="284"/>
      <c r="AI450" s="147"/>
      <c r="AJ450" s="291"/>
      <c r="AK450" s="292"/>
    </row>
    <row r="451" spans="1:37">
      <c r="A451" s="281"/>
      <c r="B451" s="281"/>
      <c r="C451" s="282"/>
      <c r="D451" s="282"/>
      <c r="E451" s="282"/>
      <c r="F451" s="283"/>
      <c r="G451" s="284"/>
      <c r="H451" s="147"/>
      <c r="I451" s="285"/>
      <c r="J451" s="288"/>
      <c r="K451" s="287"/>
      <c r="L451" s="288"/>
      <c r="M451" s="286"/>
      <c r="N451" s="287"/>
      <c r="O451" s="288"/>
      <c r="P451" s="286"/>
      <c r="Q451" s="286"/>
      <c r="R451" s="287"/>
      <c r="S451" s="286"/>
      <c r="T451" s="286"/>
      <c r="U451" s="286"/>
      <c r="V451" s="287"/>
      <c r="W451" s="288"/>
      <c r="X451" s="286"/>
      <c r="Y451" s="286"/>
      <c r="Z451" s="287"/>
      <c r="AA451" s="288"/>
      <c r="AB451" s="286"/>
      <c r="AC451" s="294"/>
      <c r="AD451" s="289"/>
      <c r="AE451" s="290"/>
      <c r="AF451" s="289"/>
      <c r="AG451" s="290"/>
      <c r="AH451" s="284"/>
      <c r="AI451" s="147"/>
      <c r="AJ451" s="291"/>
      <c r="AK451" s="292"/>
    </row>
    <row r="452" spans="1:37">
      <c r="A452" s="281"/>
      <c r="B452" s="281"/>
      <c r="C452" s="282"/>
      <c r="D452" s="282"/>
      <c r="E452" s="282"/>
      <c r="F452" s="283"/>
      <c r="G452" s="284"/>
      <c r="H452" s="147"/>
      <c r="I452" s="285"/>
      <c r="J452" s="288"/>
      <c r="K452" s="287"/>
      <c r="L452" s="288"/>
      <c r="M452" s="286"/>
      <c r="N452" s="287"/>
      <c r="O452" s="288"/>
      <c r="P452" s="286"/>
      <c r="Q452" s="286"/>
      <c r="R452" s="287"/>
      <c r="S452" s="286"/>
      <c r="T452" s="286"/>
      <c r="U452" s="286"/>
      <c r="V452" s="287"/>
      <c r="W452" s="288"/>
      <c r="X452" s="286"/>
      <c r="Y452" s="286"/>
      <c r="Z452" s="287"/>
      <c r="AA452" s="288"/>
      <c r="AB452" s="286"/>
      <c r="AC452" s="294"/>
      <c r="AD452" s="289"/>
      <c r="AE452" s="290"/>
      <c r="AF452" s="289"/>
      <c r="AG452" s="290"/>
      <c r="AH452" s="284"/>
      <c r="AI452" s="147"/>
      <c r="AJ452" s="291"/>
      <c r="AK452" s="292"/>
    </row>
    <row r="453" spans="1:37">
      <c r="A453" s="281"/>
      <c r="B453" s="281"/>
      <c r="C453" s="282"/>
      <c r="D453" s="282"/>
      <c r="E453" s="282"/>
      <c r="F453" s="283"/>
      <c r="G453" s="284"/>
      <c r="H453" s="147"/>
      <c r="I453" s="285"/>
      <c r="J453" s="288"/>
      <c r="K453" s="287"/>
      <c r="L453" s="288"/>
      <c r="M453" s="286"/>
      <c r="N453" s="287"/>
      <c r="O453" s="288"/>
      <c r="P453" s="286"/>
      <c r="Q453" s="286"/>
      <c r="R453" s="287"/>
      <c r="S453" s="286"/>
      <c r="T453" s="286"/>
      <c r="U453" s="286"/>
      <c r="V453" s="287"/>
      <c r="W453" s="288"/>
      <c r="X453" s="286"/>
      <c r="Y453" s="286"/>
      <c r="Z453" s="287"/>
      <c r="AA453" s="288"/>
      <c r="AB453" s="286"/>
      <c r="AC453" s="294"/>
      <c r="AD453" s="289"/>
      <c r="AE453" s="290"/>
      <c r="AF453" s="289"/>
      <c r="AG453" s="290"/>
      <c r="AH453" s="284"/>
      <c r="AI453" s="147"/>
      <c r="AJ453" s="291"/>
      <c r="AK453" s="292"/>
    </row>
    <row r="454" spans="1:37">
      <c r="A454" s="281"/>
      <c r="B454" s="281"/>
      <c r="C454" s="282"/>
      <c r="D454" s="282"/>
      <c r="E454" s="282"/>
      <c r="F454" s="283"/>
      <c r="G454" s="284"/>
      <c r="H454" s="147"/>
      <c r="I454" s="285"/>
      <c r="J454" s="288"/>
      <c r="K454" s="287"/>
      <c r="L454" s="288"/>
      <c r="M454" s="286"/>
      <c r="N454" s="287"/>
      <c r="O454" s="288"/>
      <c r="P454" s="286"/>
      <c r="Q454" s="286"/>
      <c r="R454" s="287"/>
      <c r="S454" s="286"/>
      <c r="T454" s="286"/>
      <c r="U454" s="286"/>
      <c r="V454" s="287"/>
      <c r="W454" s="288"/>
      <c r="X454" s="286"/>
      <c r="Y454" s="286"/>
      <c r="Z454" s="287"/>
      <c r="AA454" s="288"/>
      <c r="AB454" s="286"/>
      <c r="AC454" s="294"/>
      <c r="AD454" s="289"/>
      <c r="AE454" s="290"/>
      <c r="AF454" s="289"/>
      <c r="AG454" s="290"/>
      <c r="AH454" s="284"/>
      <c r="AI454" s="147"/>
      <c r="AJ454" s="291"/>
      <c r="AK454" s="292"/>
    </row>
    <row r="455" spans="1:37">
      <c r="A455" s="281"/>
      <c r="B455" s="281"/>
      <c r="C455" s="282"/>
      <c r="D455" s="282"/>
      <c r="E455" s="282"/>
      <c r="F455" s="283"/>
      <c r="G455" s="284"/>
      <c r="H455" s="147"/>
      <c r="I455" s="285"/>
      <c r="J455" s="288"/>
      <c r="K455" s="287"/>
      <c r="L455" s="288"/>
      <c r="M455" s="286"/>
      <c r="N455" s="287"/>
      <c r="O455" s="288"/>
      <c r="P455" s="286"/>
      <c r="Q455" s="286"/>
      <c r="R455" s="287"/>
      <c r="S455" s="286"/>
      <c r="T455" s="286"/>
      <c r="U455" s="286"/>
      <c r="V455" s="287"/>
      <c r="W455" s="288"/>
      <c r="X455" s="286"/>
      <c r="Y455" s="286"/>
      <c r="Z455" s="287"/>
      <c r="AA455" s="288"/>
      <c r="AB455" s="286"/>
      <c r="AC455" s="294"/>
      <c r="AD455" s="289"/>
      <c r="AE455" s="290"/>
      <c r="AF455" s="289"/>
      <c r="AG455" s="290"/>
      <c r="AH455" s="284"/>
      <c r="AI455" s="147"/>
      <c r="AJ455" s="291"/>
      <c r="AK455" s="292"/>
    </row>
    <row r="456" spans="1:37">
      <c r="A456" s="281"/>
      <c r="B456" s="281"/>
      <c r="C456" s="282"/>
      <c r="D456" s="282"/>
      <c r="E456" s="282"/>
      <c r="F456" s="283"/>
      <c r="G456" s="284"/>
      <c r="H456" s="147"/>
      <c r="I456" s="285"/>
      <c r="J456" s="288"/>
      <c r="K456" s="287"/>
      <c r="L456" s="288"/>
      <c r="M456" s="286"/>
      <c r="N456" s="287"/>
      <c r="O456" s="288"/>
      <c r="P456" s="286"/>
      <c r="Q456" s="286"/>
      <c r="R456" s="287"/>
      <c r="S456" s="286"/>
      <c r="T456" s="286"/>
      <c r="U456" s="286"/>
      <c r="V456" s="287"/>
      <c r="W456" s="288"/>
      <c r="X456" s="286"/>
      <c r="Y456" s="286"/>
      <c r="Z456" s="287"/>
      <c r="AA456" s="288"/>
      <c r="AB456" s="286"/>
      <c r="AC456" s="294"/>
      <c r="AD456" s="289"/>
      <c r="AE456" s="290"/>
      <c r="AF456" s="289"/>
      <c r="AG456" s="290"/>
      <c r="AH456" s="284"/>
      <c r="AI456" s="147"/>
      <c r="AJ456" s="291"/>
      <c r="AK456" s="292"/>
    </row>
    <row r="457" spans="1:37">
      <c r="A457" s="281"/>
      <c r="B457" s="281"/>
      <c r="C457" s="282"/>
      <c r="D457" s="282"/>
      <c r="E457" s="282"/>
      <c r="F457" s="283"/>
      <c r="G457" s="284"/>
      <c r="H457" s="147"/>
      <c r="I457" s="285"/>
      <c r="J457" s="288"/>
      <c r="K457" s="287"/>
      <c r="L457" s="288"/>
      <c r="M457" s="286"/>
      <c r="N457" s="287"/>
      <c r="O457" s="288"/>
      <c r="P457" s="286"/>
      <c r="Q457" s="286"/>
      <c r="R457" s="287"/>
      <c r="S457" s="286"/>
      <c r="T457" s="286"/>
      <c r="U457" s="286"/>
      <c r="V457" s="287"/>
      <c r="W457" s="288"/>
      <c r="X457" s="286"/>
      <c r="Y457" s="286"/>
      <c r="Z457" s="287"/>
      <c r="AA457" s="288"/>
      <c r="AB457" s="286"/>
      <c r="AC457" s="294"/>
      <c r="AD457" s="289"/>
      <c r="AE457" s="290"/>
      <c r="AF457" s="289"/>
      <c r="AG457" s="290"/>
      <c r="AH457" s="284"/>
      <c r="AI457" s="147"/>
      <c r="AJ457" s="291"/>
      <c r="AK457" s="292"/>
    </row>
    <row r="458" spans="1:37">
      <c r="A458" s="281"/>
      <c r="B458" s="281"/>
      <c r="C458" s="282"/>
      <c r="D458" s="282"/>
      <c r="E458" s="282"/>
      <c r="F458" s="283"/>
      <c r="G458" s="284"/>
      <c r="H458" s="147"/>
      <c r="I458" s="285"/>
      <c r="J458" s="288"/>
      <c r="K458" s="287"/>
      <c r="L458" s="288"/>
      <c r="M458" s="286"/>
      <c r="N458" s="287"/>
      <c r="O458" s="288"/>
      <c r="P458" s="286"/>
      <c r="Q458" s="286"/>
      <c r="R458" s="287"/>
      <c r="S458" s="286"/>
      <c r="T458" s="286"/>
      <c r="U458" s="286"/>
      <c r="V458" s="287"/>
      <c r="W458" s="288"/>
      <c r="X458" s="286"/>
      <c r="Y458" s="286"/>
      <c r="Z458" s="287"/>
      <c r="AA458" s="288"/>
      <c r="AB458" s="286"/>
      <c r="AC458" s="294"/>
      <c r="AD458" s="289"/>
      <c r="AE458" s="290"/>
      <c r="AF458" s="289"/>
      <c r="AG458" s="290"/>
      <c r="AH458" s="284"/>
      <c r="AI458" s="147"/>
      <c r="AJ458" s="291"/>
      <c r="AK458" s="292"/>
    </row>
    <row r="459" spans="1:37">
      <c r="A459" s="281"/>
      <c r="B459" s="281"/>
      <c r="C459" s="282"/>
      <c r="D459" s="282"/>
      <c r="E459" s="282"/>
      <c r="F459" s="283"/>
      <c r="G459" s="284"/>
      <c r="H459" s="147"/>
      <c r="I459" s="285"/>
      <c r="J459" s="288"/>
      <c r="K459" s="287"/>
      <c r="L459" s="288"/>
      <c r="M459" s="286"/>
      <c r="N459" s="287"/>
      <c r="O459" s="288"/>
      <c r="P459" s="286"/>
      <c r="Q459" s="286"/>
      <c r="R459" s="287"/>
      <c r="S459" s="286"/>
      <c r="T459" s="286"/>
      <c r="U459" s="286"/>
      <c r="V459" s="287"/>
      <c r="W459" s="288"/>
      <c r="X459" s="286"/>
      <c r="Y459" s="286"/>
      <c r="Z459" s="287"/>
      <c r="AA459" s="288"/>
      <c r="AB459" s="286"/>
      <c r="AC459" s="294"/>
      <c r="AD459" s="289"/>
      <c r="AE459" s="290"/>
      <c r="AF459" s="289"/>
      <c r="AG459" s="290"/>
      <c r="AH459" s="284"/>
      <c r="AI459" s="147"/>
      <c r="AJ459" s="291"/>
      <c r="AK459" s="292"/>
    </row>
    <row r="460" spans="1:37">
      <c r="A460" s="281"/>
      <c r="B460" s="281"/>
      <c r="C460" s="282"/>
      <c r="D460" s="282"/>
      <c r="E460" s="282"/>
      <c r="F460" s="283"/>
      <c r="G460" s="284"/>
      <c r="H460" s="147"/>
      <c r="I460" s="285"/>
      <c r="J460" s="288"/>
      <c r="K460" s="287"/>
      <c r="L460" s="288"/>
      <c r="M460" s="286"/>
      <c r="N460" s="287"/>
      <c r="O460" s="288"/>
      <c r="P460" s="286"/>
      <c r="Q460" s="286"/>
      <c r="R460" s="287"/>
      <c r="S460" s="286"/>
      <c r="T460" s="286"/>
      <c r="U460" s="286"/>
      <c r="V460" s="287"/>
      <c r="W460" s="288"/>
      <c r="X460" s="286"/>
      <c r="Y460" s="286"/>
      <c r="Z460" s="287"/>
      <c r="AA460" s="288"/>
      <c r="AB460" s="286"/>
      <c r="AC460" s="294"/>
      <c r="AD460" s="289"/>
      <c r="AE460" s="290"/>
      <c r="AF460" s="289"/>
      <c r="AG460" s="290"/>
      <c r="AH460" s="284"/>
      <c r="AI460" s="147"/>
      <c r="AJ460" s="291"/>
      <c r="AK460" s="292"/>
    </row>
    <row r="461" spans="1:37">
      <c r="A461" s="281"/>
      <c r="B461" s="281"/>
      <c r="C461" s="282"/>
      <c r="D461" s="282"/>
      <c r="E461" s="282"/>
      <c r="F461" s="283"/>
      <c r="G461" s="284"/>
      <c r="H461" s="147"/>
      <c r="I461" s="285"/>
      <c r="J461" s="288"/>
      <c r="K461" s="287"/>
      <c r="L461" s="288"/>
      <c r="M461" s="286"/>
      <c r="N461" s="287"/>
      <c r="O461" s="288"/>
      <c r="P461" s="286"/>
      <c r="Q461" s="286"/>
      <c r="R461" s="287"/>
      <c r="S461" s="286"/>
      <c r="T461" s="286"/>
      <c r="U461" s="286"/>
      <c r="V461" s="287"/>
      <c r="W461" s="288"/>
      <c r="X461" s="286"/>
      <c r="Y461" s="286"/>
      <c r="Z461" s="287"/>
      <c r="AA461" s="288"/>
      <c r="AB461" s="286"/>
      <c r="AC461" s="294"/>
      <c r="AD461" s="289"/>
      <c r="AE461" s="290"/>
      <c r="AF461" s="289"/>
      <c r="AG461" s="290"/>
      <c r="AH461" s="284"/>
      <c r="AI461" s="147"/>
      <c r="AJ461" s="291"/>
      <c r="AK461" s="292"/>
    </row>
    <row r="462" spans="1:37">
      <c r="A462" s="281"/>
      <c r="B462" s="281"/>
      <c r="C462" s="282"/>
      <c r="D462" s="282"/>
      <c r="E462" s="282"/>
      <c r="F462" s="283"/>
      <c r="G462" s="284"/>
      <c r="H462" s="147"/>
      <c r="I462" s="285"/>
      <c r="J462" s="288"/>
      <c r="K462" s="287"/>
      <c r="L462" s="288"/>
      <c r="M462" s="286"/>
      <c r="N462" s="287"/>
      <c r="O462" s="288"/>
      <c r="P462" s="286"/>
      <c r="Q462" s="286"/>
      <c r="R462" s="287"/>
      <c r="S462" s="286"/>
      <c r="T462" s="286"/>
      <c r="U462" s="286"/>
      <c r="V462" s="287"/>
      <c r="W462" s="288"/>
      <c r="X462" s="286"/>
      <c r="Y462" s="286"/>
      <c r="Z462" s="287"/>
      <c r="AA462" s="288"/>
      <c r="AB462" s="286"/>
      <c r="AC462" s="294"/>
      <c r="AD462" s="289"/>
      <c r="AE462" s="290"/>
      <c r="AF462" s="289"/>
      <c r="AG462" s="290"/>
      <c r="AH462" s="284"/>
      <c r="AI462" s="147"/>
      <c r="AJ462" s="291"/>
      <c r="AK462" s="292"/>
    </row>
    <row r="463" spans="1:37">
      <c r="A463" s="281"/>
      <c r="B463" s="281"/>
      <c r="C463" s="282"/>
      <c r="D463" s="282"/>
      <c r="E463" s="282"/>
      <c r="F463" s="283"/>
      <c r="G463" s="284"/>
      <c r="H463" s="147"/>
      <c r="I463" s="285"/>
      <c r="J463" s="288"/>
      <c r="K463" s="287"/>
      <c r="L463" s="288"/>
      <c r="M463" s="286"/>
      <c r="N463" s="287"/>
      <c r="O463" s="288"/>
      <c r="P463" s="286"/>
      <c r="Q463" s="286"/>
      <c r="R463" s="287"/>
      <c r="S463" s="286"/>
      <c r="T463" s="286"/>
      <c r="U463" s="286"/>
      <c r="V463" s="287"/>
      <c r="W463" s="288"/>
      <c r="X463" s="286"/>
      <c r="Y463" s="286"/>
      <c r="Z463" s="287"/>
      <c r="AA463" s="288"/>
      <c r="AB463" s="286"/>
      <c r="AC463" s="294"/>
      <c r="AD463" s="289"/>
      <c r="AE463" s="290"/>
      <c r="AF463" s="289"/>
      <c r="AG463" s="290"/>
      <c r="AH463" s="284"/>
      <c r="AI463" s="147"/>
      <c r="AJ463" s="291"/>
      <c r="AK463" s="292"/>
    </row>
    <row r="464" spans="1:37">
      <c r="A464" s="281"/>
      <c r="B464" s="281"/>
      <c r="C464" s="282"/>
      <c r="D464" s="282"/>
      <c r="E464" s="282"/>
      <c r="F464" s="283"/>
      <c r="G464" s="284"/>
      <c r="H464" s="147"/>
      <c r="I464" s="285"/>
      <c r="J464" s="288"/>
      <c r="K464" s="287"/>
      <c r="L464" s="288"/>
      <c r="M464" s="286"/>
      <c r="N464" s="287"/>
      <c r="O464" s="288"/>
      <c r="P464" s="286"/>
      <c r="Q464" s="286"/>
      <c r="R464" s="287"/>
      <c r="S464" s="286"/>
      <c r="T464" s="286"/>
      <c r="U464" s="286"/>
      <c r="V464" s="287"/>
      <c r="W464" s="288"/>
      <c r="X464" s="286"/>
      <c r="Y464" s="286"/>
      <c r="Z464" s="287"/>
      <c r="AA464" s="288"/>
      <c r="AB464" s="286"/>
      <c r="AC464" s="294"/>
      <c r="AD464" s="289"/>
      <c r="AE464" s="290"/>
      <c r="AF464" s="289"/>
      <c r="AG464" s="290"/>
      <c r="AH464" s="284"/>
      <c r="AI464" s="147"/>
      <c r="AJ464" s="291"/>
      <c r="AK464" s="292"/>
    </row>
    <row r="465" spans="1:37">
      <c r="A465" s="281"/>
      <c r="B465" s="281"/>
      <c r="C465" s="282"/>
      <c r="D465" s="282"/>
      <c r="E465" s="282"/>
      <c r="F465" s="283"/>
      <c r="G465" s="284"/>
      <c r="H465" s="147"/>
      <c r="I465" s="285"/>
      <c r="J465" s="288"/>
      <c r="K465" s="287"/>
      <c r="L465" s="288"/>
      <c r="M465" s="286"/>
      <c r="N465" s="287"/>
      <c r="O465" s="288"/>
      <c r="P465" s="286"/>
      <c r="Q465" s="286"/>
      <c r="R465" s="287"/>
      <c r="S465" s="286"/>
      <c r="T465" s="286"/>
      <c r="U465" s="286"/>
      <c r="V465" s="287"/>
      <c r="W465" s="288"/>
      <c r="X465" s="286"/>
      <c r="Y465" s="286"/>
      <c r="Z465" s="287"/>
      <c r="AA465" s="288"/>
      <c r="AB465" s="286"/>
      <c r="AC465" s="294"/>
      <c r="AD465" s="289"/>
      <c r="AE465" s="290"/>
      <c r="AF465" s="289"/>
      <c r="AG465" s="290"/>
      <c r="AH465" s="284"/>
      <c r="AI465" s="147"/>
      <c r="AJ465" s="291"/>
      <c r="AK465" s="292"/>
    </row>
    <row r="466" spans="1:37">
      <c r="A466" s="281"/>
      <c r="B466" s="281"/>
      <c r="C466" s="282"/>
      <c r="D466" s="282"/>
      <c r="E466" s="282"/>
      <c r="F466" s="283"/>
      <c r="G466" s="284"/>
      <c r="H466" s="147"/>
      <c r="I466" s="285"/>
      <c r="J466" s="288"/>
      <c r="K466" s="287"/>
      <c r="L466" s="288"/>
      <c r="M466" s="286"/>
      <c r="N466" s="287"/>
      <c r="O466" s="288"/>
      <c r="P466" s="286"/>
      <c r="Q466" s="286"/>
      <c r="R466" s="287"/>
      <c r="S466" s="286"/>
      <c r="T466" s="286"/>
      <c r="U466" s="286"/>
      <c r="V466" s="287"/>
      <c r="W466" s="288"/>
      <c r="X466" s="286"/>
      <c r="Y466" s="286"/>
      <c r="Z466" s="287"/>
      <c r="AA466" s="288"/>
      <c r="AB466" s="286"/>
      <c r="AC466" s="294"/>
      <c r="AD466" s="289"/>
      <c r="AE466" s="290"/>
      <c r="AF466" s="289"/>
      <c r="AG466" s="290"/>
      <c r="AH466" s="284"/>
      <c r="AI466" s="147"/>
      <c r="AJ466" s="291"/>
      <c r="AK466" s="292"/>
    </row>
    <row r="467" spans="1:37">
      <c r="A467" s="281"/>
      <c r="B467" s="281"/>
      <c r="C467" s="282"/>
      <c r="D467" s="282"/>
      <c r="E467" s="282"/>
      <c r="F467" s="283"/>
      <c r="G467" s="284"/>
      <c r="H467" s="147"/>
      <c r="I467" s="285"/>
      <c r="J467" s="288"/>
      <c r="K467" s="287"/>
      <c r="L467" s="288"/>
      <c r="M467" s="286"/>
      <c r="N467" s="287"/>
      <c r="O467" s="288"/>
      <c r="P467" s="286"/>
      <c r="Q467" s="286"/>
      <c r="R467" s="287"/>
      <c r="S467" s="286"/>
      <c r="T467" s="286"/>
      <c r="U467" s="286"/>
      <c r="V467" s="287"/>
      <c r="W467" s="288"/>
      <c r="X467" s="286"/>
      <c r="Y467" s="286"/>
      <c r="Z467" s="287"/>
      <c r="AA467" s="288"/>
      <c r="AB467" s="286"/>
      <c r="AC467" s="294"/>
      <c r="AD467" s="289"/>
      <c r="AE467" s="290"/>
      <c r="AF467" s="289"/>
      <c r="AG467" s="290"/>
      <c r="AH467" s="284"/>
      <c r="AI467" s="147"/>
      <c r="AJ467" s="291"/>
      <c r="AK467" s="292"/>
    </row>
    <row r="468" spans="1:37">
      <c r="A468" s="281"/>
      <c r="B468" s="281"/>
      <c r="C468" s="282"/>
      <c r="D468" s="282"/>
      <c r="E468" s="282"/>
      <c r="F468" s="283"/>
      <c r="G468" s="284"/>
      <c r="H468" s="147"/>
      <c r="I468" s="285"/>
      <c r="J468" s="288"/>
      <c r="K468" s="287"/>
      <c r="L468" s="288"/>
      <c r="M468" s="286"/>
      <c r="N468" s="287"/>
      <c r="O468" s="288"/>
      <c r="P468" s="286"/>
      <c r="Q468" s="286"/>
      <c r="R468" s="287"/>
      <c r="S468" s="286"/>
      <c r="T468" s="286"/>
      <c r="U468" s="286"/>
      <c r="V468" s="287"/>
      <c r="W468" s="288"/>
      <c r="X468" s="286"/>
      <c r="Y468" s="286"/>
      <c r="Z468" s="287"/>
      <c r="AA468" s="288"/>
      <c r="AB468" s="286"/>
      <c r="AC468" s="294"/>
      <c r="AD468" s="289"/>
      <c r="AE468" s="290"/>
      <c r="AF468" s="289"/>
      <c r="AG468" s="290"/>
      <c r="AH468" s="284"/>
      <c r="AI468" s="147"/>
      <c r="AJ468" s="291"/>
      <c r="AK468" s="292"/>
    </row>
    <row r="469" spans="1:37">
      <c r="A469" s="281"/>
      <c r="B469" s="281"/>
      <c r="C469" s="282"/>
      <c r="D469" s="282"/>
      <c r="E469" s="282"/>
      <c r="F469" s="283"/>
      <c r="G469" s="284"/>
      <c r="H469" s="147"/>
      <c r="I469" s="285"/>
      <c r="J469" s="288"/>
      <c r="K469" s="287"/>
      <c r="L469" s="288"/>
      <c r="M469" s="286"/>
      <c r="N469" s="287"/>
      <c r="O469" s="288"/>
      <c r="P469" s="286"/>
      <c r="Q469" s="286"/>
      <c r="R469" s="287"/>
      <c r="S469" s="286"/>
      <c r="T469" s="286"/>
      <c r="U469" s="286"/>
      <c r="V469" s="287"/>
      <c r="W469" s="288"/>
      <c r="X469" s="286"/>
      <c r="Y469" s="286"/>
      <c r="Z469" s="287"/>
      <c r="AA469" s="288"/>
      <c r="AB469" s="286"/>
      <c r="AC469" s="294"/>
      <c r="AD469" s="289"/>
      <c r="AE469" s="290"/>
      <c r="AF469" s="289"/>
      <c r="AG469" s="290"/>
      <c r="AH469" s="284"/>
      <c r="AI469" s="147"/>
      <c r="AJ469" s="291"/>
      <c r="AK469" s="292"/>
    </row>
    <row r="470" spans="1:37">
      <c r="A470" s="281"/>
      <c r="B470" s="281"/>
      <c r="C470" s="282"/>
      <c r="D470" s="282"/>
      <c r="E470" s="282"/>
      <c r="F470" s="283"/>
      <c r="G470" s="284"/>
      <c r="H470" s="147"/>
      <c r="I470" s="285"/>
      <c r="J470" s="288"/>
      <c r="K470" s="287"/>
      <c r="L470" s="288"/>
      <c r="M470" s="286"/>
      <c r="N470" s="287"/>
      <c r="O470" s="288"/>
      <c r="P470" s="286"/>
      <c r="Q470" s="286"/>
      <c r="R470" s="287"/>
      <c r="S470" s="286"/>
      <c r="T470" s="286"/>
      <c r="U470" s="286"/>
      <c r="V470" s="287"/>
      <c r="W470" s="288"/>
      <c r="X470" s="286"/>
      <c r="Y470" s="286"/>
      <c r="Z470" s="287"/>
      <c r="AA470" s="288"/>
      <c r="AB470" s="286"/>
      <c r="AC470" s="294"/>
      <c r="AD470" s="289"/>
      <c r="AE470" s="290"/>
      <c r="AF470" s="289"/>
      <c r="AG470" s="290"/>
      <c r="AH470" s="284"/>
      <c r="AI470" s="147"/>
      <c r="AJ470" s="291"/>
      <c r="AK470" s="292"/>
    </row>
    <row r="471" spans="1:37">
      <c r="A471" s="281"/>
      <c r="B471" s="281"/>
      <c r="C471" s="282"/>
      <c r="D471" s="282"/>
      <c r="E471" s="282"/>
      <c r="F471" s="283"/>
      <c r="G471" s="284"/>
      <c r="H471" s="147"/>
      <c r="I471" s="285"/>
      <c r="J471" s="288"/>
      <c r="K471" s="287"/>
      <c r="L471" s="288"/>
      <c r="M471" s="286"/>
      <c r="N471" s="287"/>
      <c r="O471" s="288"/>
      <c r="P471" s="286"/>
      <c r="Q471" s="286"/>
      <c r="R471" s="287"/>
      <c r="S471" s="286"/>
      <c r="T471" s="286"/>
      <c r="U471" s="286"/>
      <c r="V471" s="287"/>
      <c r="W471" s="288"/>
      <c r="X471" s="286"/>
      <c r="Y471" s="286"/>
      <c r="Z471" s="287"/>
      <c r="AA471" s="288"/>
      <c r="AB471" s="286"/>
      <c r="AC471" s="294"/>
      <c r="AD471" s="289"/>
      <c r="AE471" s="290"/>
      <c r="AF471" s="289"/>
      <c r="AG471" s="290"/>
      <c r="AH471" s="284"/>
      <c r="AI471" s="147"/>
      <c r="AJ471" s="291"/>
      <c r="AK471" s="292"/>
    </row>
    <row r="472" spans="1:37">
      <c r="A472" s="281"/>
      <c r="B472" s="281"/>
      <c r="C472" s="282"/>
      <c r="D472" s="282"/>
      <c r="E472" s="282"/>
      <c r="F472" s="283"/>
      <c r="G472" s="284"/>
      <c r="H472" s="147"/>
      <c r="I472" s="285"/>
      <c r="J472" s="288"/>
      <c r="K472" s="287"/>
      <c r="L472" s="288"/>
      <c r="M472" s="286"/>
      <c r="N472" s="287"/>
      <c r="O472" s="288"/>
      <c r="P472" s="286"/>
      <c r="Q472" s="286"/>
      <c r="R472" s="287"/>
      <c r="S472" s="286"/>
      <c r="T472" s="286"/>
      <c r="U472" s="286"/>
      <c r="V472" s="287"/>
      <c r="W472" s="288"/>
      <c r="X472" s="286"/>
      <c r="Y472" s="286"/>
      <c r="Z472" s="287"/>
      <c r="AA472" s="288"/>
      <c r="AB472" s="286"/>
      <c r="AC472" s="294"/>
      <c r="AD472" s="289"/>
      <c r="AE472" s="290"/>
      <c r="AF472" s="289"/>
      <c r="AG472" s="290"/>
      <c r="AH472" s="284"/>
      <c r="AI472" s="147"/>
      <c r="AJ472" s="291"/>
      <c r="AK472" s="292"/>
    </row>
    <row r="473" spans="1:37">
      <c r="A473" s="281"/>
      <c r="B473" s="281"/>
      <c r="C473" s="282"/>
      <c r="D473" s="282"/>
      <c r="E473" s="282"/>
      <c r="F473" s="283"/>
      <c r="G473" s="284"/>
      <c r="H473" s="147"/>
      <c r="I473" s="285"/>
      <c r="J473" s="288"/>
      <c r="K473" s="287"/>
      <c r="L473" s="288"/>
      <c r="M473" s="286"/>
      <c r="N473" s="287"/>
      <c r="O473" s="288"/>
      <c r="P473" s="286"/>
      <c r="Q473" s="286"/>
      <c r="R473" s="287"/>
      <c r="S473" s="286"/>
      <c r="T473" s="286"/>
      <c r="U473" s="286"/>
      <c r="V473" s="287"/>
      <c r="W473" s="288"/>
      <c r="X473" s="286"/>
      <c r="Y473" s="286"/>
      <c r="Z473" s="287"/>
      <c r="AA473" s="288"/>
      <c r="AB473" s="286"/>
      <c r="AC473" s="294"/>
      <c r="AD473" s="289"/>
      <c r="AE473" s="290"/>
      <c r="AF473" s="289"/>
      <c r="AG473" s="290"/>
      <c r="AH473" s="284"/>
      <c r="AI473" s="147"/>
      <c r="AJ473" s="291"/>
      <c r="AK473" s="292"/>
    </row>
    <row r="474" spans="1:37">
      <c r="A474" s="281"/>
      <c r="B474" s="281"/>
      <c r="C474" s="282"/>
      <c r="D474" s="282"/>
      <c r="E474" s="282"/>
      <c r="F474" s="283"/>
      <c r="G474" s="284"/>
      <c r="H474" s="147"/>
      <c r="I474" s="285"/>
      <c r="J474" s="288"/>
      <c r="K474" s="287"/>
      <c r="L474" s="288"/>
      <c r="M474" s="286"/>
      <c r="N474" s="287"/>
      <c r="O474" s="288"/>
      <c r="P474" s="286"/>
      <c r="Q474" s="286"/>
      <c r="R474" s="287"/>
      <c r="S474" s="286"/>
      <c r="T474" s="286"/>
      <c r="U474" s="286"/>
      <c r="V474" s="287"/>
      <c r="W474" s="288"/>
      <c r="X474" s="286"/>
      <c r="Y474" s="286"/>
      <c r="Z474" s="287"/>
      <c r="AA474" s="288"/>
      <c r="AB474" s="286"/>
      <c r="AC474" s="294"/>
      <c r="AD474" s="289"/>
      <c r="AE474" s="290"/>
      <c r="AF474" s="289"/>
      <c r="AG474" s="290"/>
      <c r="AH474" s="284"/>
      <c r="AI474" s="147"/>
      <c r="AJ474" s="291"/>
      <c r="AK474" s="292"/>
    </row>
    <row r="475" spans="1:37">
      <c r="A475" s="281"/>
      <c r="B475" s="281"/>
      <c r="C475" s="282"/>
      <c r="D475" s="282"/>
      <c r="E475" s="282"/>
      <c r="F475" s="283"/>
      <c r="G475" s="284"/>
      <c r="H475" s="147"/>
      <c r="I475" s="285"/>
      <c r="J475" s="288"/>
      <c r="K475" s="287"/>
      <c r="L475" s="288"/>
      <c r="M475" s="286"/>
      <c r="N475" s="287"/>
      <c r="O475" s="288"/>
      <c r="P475" s="286"/>
      <c r="Q475" s="286"/>
      <c r="R475" s="287"/>
      <c r="S475" s="286"/>
      <c r="T475" s="286"/>
      <c r="U475" s="286"/>
      <c r="V475" s="287"/>
      <c r="W475" s="288"/>
      <c r="X475" s="286"/>
      <c r="Y475" s="286"/>
      <c r="Z475" s="287"/>
      <c r="AA475" s="288"/>
      <c r="AB475" s="286"/>
      <c r="AC475" s="294"/>
      <c r="AD475" s="289"/>
      <c r="AE475" s="290"/>
      <c r="AF475" s="289"/>
      <c r="AG475" s="290"/>
      <c r="AH475" s="284"/>
      <c r="AI475" s="147"/>
      <c r="AJ475" s="291"/>
      <c r="AK475" s="292"/>
    </row>
    <row r="476" spans="1:37">
      <c r="A476" s="281"/>
      <c r="B476" s="281"/>
      <c r="C476" s="282"/>
      <c r="D476" s="282"/>
      <c r="E476" s="282"/>
      <c r="F476" s="283"/>
      <c r="G476" s="284"/>
      <c r="H476" s="147"/>
      <c r="I476" s="285"/>
      <c r="J476" s="288"/>
      <c r="K476" s="287"/>
      <c r="L476" s="288"/>
      <c r="M476" s="286"/>
      <c r="N476" s="287"/>
      <c r="O476" s="288"/>
      <c r="P476" s="286"/>
      <c r="Q476" s="286"/>
      <c r="R476" s="287"/>
      <c r="S476" s="286"/>
      <c r="T476" s="286"/>
      <c r="U476" s="286"/>
      <c r="V476" s="287"/>
      <c r="W476" s="288"/>
      <c r="X476" s="286"/>
      <c r="Y476" s="286"/>
      <c r="Z476" s="287"/>
      <c r="AA476" s="288"/>
      <c r="AB476" s="286"/>
      <c r="AC476" s="294"/>
      <c r="AD476" s="289"/>
      <c r="AE476" s="290"/>
      <c r="AF476" s="289"/>
      <c r="AG476" s="290"/>
      <c r="AH476" s="284"/>
      <c r="AI476" s="147"/>
      <c r="AJ476" s="291"/>
      <c r="AK476" s="292"/>
    </row>
    <row r="477" spans="1:37">
      <c r="A477" s="281"/>
      <c r="B477" s="281"/>
      <c r="C477" s="282"/>
      <c r="D477" s="282"/>
      <c r="E477" s="282"/>
      <c r="F477" s="283"/>
      <c r="G477" s="284"/>
      <c r="H477" s="147"/>
      <c r="I477" s="285"/>
      <c r="J477" s="288"/>
      <c r="K477" s="287"/>
      <c r="L477" s="288"/>
      <c r="M477" s="286"/>
      <c r="N477" s="287"/>
      <c r="O477" s="288"/>
      <c r="P477" s="286"/>
      <c r="Q477" s="286"/>
      <c r="R477" s="287"/>
      <c r="S477" s="286"/>
      <c r="T477" s="286"/>
      <c r="U477" s="286"/>
      <c r="V477" s="287"/>
      <c r="W477" s="288"/>
      <c r="X477" s="286"/>
      <c r="Y477" s="286"/>
      <c r="Z477" s="287"/>
      <c r="AA477" s="288"/>
      <c r="AB477" s="286"/>
      <c r="AC477" s="294"/>
      <c r="AD477" s="289"/>
      <c r="AE477" s="290"/>
      <c r="AF477" s="289"/>
      <c r="AG477" s="290"/>
      <c r="AH477" s="284"/>
      <c r="AI477" s="147"/>
      <c r="AJ477" s="291"/>
      <c r="AK477" s="292"/>
    </row>
    <row r="478" spans="1:37">
      <c r="A478" s="281"/>
      <c r="B478" s="281"/>
      <c r="C478" s="282"/>
      <c r="D478" s="282"/>
      <c r="E478" s="282"/>
      <c r="F478" s="283"/>
      <c r="G478" s="284"/>
      <c r="H478" s="147"/>
      <c r="I478" s="285"/>
      <c r="J478" s="288"/>
      <c r="K478" s="287"/>
      <c r="L478" s="288"/>
      <c r="M478" s="286"/>
      <c r="N478" s="287"/>
      <c r="O478" s="288"/>
      <c r="P478" s="286"/>
      <c r="Q478" s="286"/>
      <c r="R478" s="287"/>
      <c r="S478" s="286"/>
      <c r="T478" s="286"/>
      <c r="U478" s="286"/>
      <c r="V478" s="287"/>
      <c r="W478" s="288"/>
      <c r="X478" s="286"/>
      <c r="Y478" s="286"/>
      <c r="Z478" s="287"/>
      <c r="AA478" s="288"/>
      <c r="AB478" s="286"/>
      <c r="AC478" s="294"/>
      <c r="AD478" s="289"/>
      <c r="AE478" s="290"/>
      <c r="AF478" s="289"/>
      <c r="AG478" s="290"/>
      <c r="AH478" s="284"/>
      <c r="AI478" s="147"/>
      <c r="AJ478" s="291"/>
      <c r="AK478" s="292"/>
    </row>
    <row r="479" spans="1:37">
      <c r="A479" s="281"/>
      <c r="B479" s="281"/>
      <c r="C479" s="282"/>
      <c r="D479" s="282"/>
      <c r="E479" s="282"/>
      <c r="F479" s="283"/>
      <c r="G479" s="284"/>
      <c r="H479" s="147"/>
      <c r="I479" s="285"/>
      <c r="J479" s="288"/>
      <c r="K479" s="287"/>
      <c r="L479" s="288"/>
      <c r="M479" s="286"/>
      <c r="N479" s="287"/>
      <c r="O479" s="288"/>
      <c r="P479" s="286"/>
      <c r="Q479" s="286"/>
      <c r="R479" s="287"/>
      <c r="S479" s="286"/>
      <c r="T479" s="286"/>
      <c r="U479" s="286"/>
      <c r="V479" s="287"/>
      <c r="W479" s="288"/>
      <c r="X479" s="286"/>
      <c r="Y479" s="286"/>
      <c r="Z479" s="287"/>
      <c r="AA479" s="288"/>
      <c r="AB479" s="286"/>
      <c r="AC479" s="294"/>
      <c r="AD479" s="289"/>
      <c r="AE479" s="290"/>
      <c r="AF479" s="289"/>
      <c r="AG479" s="290"/>
      <c r="AH479" s="284"/>
      <c r="AI479" s="147"/>
      <c r="AJ479" s="291"/>
      <c r="AK479" s="292"/>
    </row>
    <row r="480" spans="1:37">
      <c r="A480" s="281"/>
      <c r="B480" s="281"/>
      <c r="C480" s="282"/>
      <c r="D480" s="282"/>
      <c r="E480" s="282"/>
      <c r="F480" s="283"/>
      <c r="G480" s="284"/>
      <c r="H480" s="147"/>
      <c r="I480" s="285"/>
      <c r="J480" s="288"/>
      <c r="K480" s="287"/>
      <c r="L480" s="288"/>
      <c r="M480" s="286"/>
      <c r="N480" s="287"/>
      <c r="O480" s="288"/>
      <c r="P480" s="286"/>
      <c r="Q480" s="286"/>
      <c r="R480" s="287"/>
      <c r="S480" s="286"/>
      <c r="T480" s="286"/>
      <c r="U480" s="286"/>
      <c r="V480" s="287"/>
      <c r="W480" s="288"/>
      <c r="X480" s="286"/>
      <c r="Y480" s="286"/>
      <c r="Z480" s="287"/>
      <c r="AA480" s="288"/>
      <c r="AB480" s="286"/>
      <c r="AC480" s="294"/>
      <c r="AD480" s="289"/>
      <c r="AE480" s="290"/>
      <c r="AF480" s="289"/>
      <c r="AG480" s="290"/>
      <c r="AH480" s="284"/>
      <c r="AI480" s="147"/>
      <c r="AJ480" s="291"/>
      <c r="AK480" s="292"/>
    </row>
    <row r="481" spans="1:37">
      <c r="A481" s="281"/>
      <c r="B481" s="281"/>
      <c r="C481" s="282"/>
      <c r="D481" s="282"/>
      <c r="E481" s="282"/>
      <c r="F481" s="283"/>
      <c r="G481" s="284"/>
      <c r="H481" s="147"/>
      <c r="I481" s="285"/>
      <c r="J481" s="288"/>
      <c r="K481" s="287"/>
      <c r="L481" s="288"/>
      <c r="M481" s="286"/>
      <c r="N481" s="287"/>
      <c r="O481" s="288"/>
      <c r="P481" s="286"/>
      <c r="Q481" s="286"/>
      <c r="R481" s="287"/>
      <c r="S481" s="286"/>
      <c r="T481" s="286"/>
      <c r="U481" s="286"/>
      <c r="V481" s="287"/>
      <c r="W481" s="288"/>
      <c r="X481" s="286"/>
      <c r="Y481" s="286"/>
      <c r="Z481" s="287"/>
      <c r="AA481" s="288"/>
      <c r="AB481" s="286"/>
      <c r="AC481" s="294"/>
      <c r="AD481" s="289"/>
      <c r="AE481" s="290"/>
      <c r="AF481" s="289"/>
      <c r="AG481" s="290"/>
      <c r="AH481" s="284"/>
      <c r="AI481" s="147"/>
      <c r="AJ481" s="291"/>
      <c r="AK481" s="292"/>
    </row>
    <row r="482" spans="1:37">
      <c r="A482" s="281"/>
      <c r="B482" s="281"/>
      <c r="C482" s="282"/>
      <c r="D482" s="282"/>
      <c r="E482" s="282"/>
      <c r="F482" s="283"/>
      <c r="G482" s="284"/>
      <c r="H482" s="147"/>
      <c r="I482" s="285"/>
      <c r="J482" s="288"/>
      <c r="K482" s="287"/>
      <c r="L482" s="288"/>
      <c r="M482" s="286"/>
      <c r="N482" s="287"/>
      <c r="O482" s="288"/>
      <c r="P482" s="286"/>
      <c r="Q482" s="286"/>
      <c r="R482" s="287"/>
      <c r="S482" s="286"/>
      <c r="T482" s="286"/>
      <c r="U482" s="286"/>
      <c r="V482" s="287"/>
      <c r="W482" s="288"/>
      <c r="X482" s="286"/>
      <c r="Y482" s="286"/>
      <c r="Z482" s="287"/>
      <c r="AA482" s="288"/>
      <c r="AB482" s="286"/>
      <c r="AC482" s="294"/>
      <c r="AD482" s="289"/>
      <c r="AE482" s="290"/>
      <c r="AF482" s="289"/>
      <c r="AG482" s="290"/>
      <c r="AH482" s="284"/>
      <c r="AI482" s="147"/>
      <c r="AJ482" s="291"/>
      <c r="AK482" s="292"/>
    </row>
    <row r="483" spans="1:37">
      <c r="A483" s="281"/>
      <c r="B483" s="281"/>
      <c r="C483" s="282"/>
      <c r="D483" s="282"/>
      <c r="E483" s="282"/>
      <c r="F483" s="283"/>
      <c r="G483" s="284"/>
      <c r="H483" s="147"/>
      <c r="I483" s="285"/>
      <c r="J483" s="288"/>
      <c r="K483" s="287"/>
      <c r="L483" s="288"/>
      <c r="M483" s="286"/>
      <c r="N483" s="287"/>
      <c r="O483" s="288"/>
      <c r="P483" s="286"/>
      <c r="Q483" s="286"/>
      <c r="R483" s="287"/>
      <c r="S483" s="286"/>
      <c r="T483" s="286"/>
      <c r="U483" s="286"/>
      <c r="V483" s="287"/>
      <c r="W483" s="288"/>
      <c r="X483" s="286"/>
      <c r="Y483" s="286"/>
      <c r="Z483" s="287"/>
      <c r="AA483" s="288"/>
      <c r="AB483" s="286"/>
      <c r="AC483" s="294"/>
      <c r="AD483" s="289"/>
      <c r="AE483" s="290"/>
      <c r="AF483" s="289"/>
      <c r="AG483" s="290"/>
      <c r="AH483" s="284"/>
      <c r="AI483" s="147"/>
      <c r="AJ483" s="291"/>
      <c r="AK483" s="292"/>
    </row>
    <row r="484" spans="1:37">
      <c r="A484" s="281"/>
      <c r="B484" s="281"/>
      <c r="C484" s="282"/>
      <c r="D484" s="282"/>
      <c r="E484" s="282"/>
      <c r="F484" s="283"/>
      <c r="G484" s="284"/>
      <c r="H484" s="147"/>
      <c r="I484" s="285"/>
      <c r="J484" s="288"/>
      <c r="K484" s="287"/>
      <c r="L484" s="288"/>
      <c r="M484" s="286"/>
      <c r="N484" s="287"/>
      <c r="O484" s="288"/>
      <c r="P484" s="286"/>
      <c r="Q484" s="286"/>
      <c r="R484" s="287"/>
      <c r="S484" s="286"/>
      <c r="T484" s="286"/>
      <c r="U484" s="286"/>
      <c r="V484" s="287"/>
      <c r="W484" s="288"/>
      <c r="X484" s="286"/>
      <c r="Y484" s="286"/>
      <c r="Z484" s="287"/>
      <c r="AA484" s="288"/>
      <c r="AB484" s="286"/>
      <c r="AC484" s="294"/>
      <c r="AD484" s="289"/>
      <c r="AE484" s="290"/>
      <c r="AF484" s="289"/>
      <c r="AG484" s="290"/>
      <c r="AH484" s="284"/>
      <c r="AI484" s="147"/>
      <c r="AJ484" s="291"/>
      <c r="AK484" s="292"/>
    </row>
    <row r="485" spans="1:37">
      <c r="A485" s="281"/>
      <c r="B485" s="281"/>
      <c r="C485" s="282"/>
      <c r="D485" s="282"/>
      <c r="E485" s="282"/>
      <c r="F485" s="283"/>
      <c r="G485" s="284"/>
      <c r="H485" s="147"/>
      <c r="I485" s="285"/>
      <c r="J485" s="288"/>
      <c r="K485" s="287"/>
      <c r="L485" s="288"/>
      <c r="M485" s="286"/>
      <c r="N485" s="287"/>
      <c r="O485" s="288"/>
      <c r="P485" s="286"/>
      <c r="Q485" s="286"/>
      <c r="R485" s="287"/>
      <c r="S485" s="286"/>
      <c r="T485" s="286"/>
      <c r="U485" s="286"/>
      <c r="V485" s="287"/>
      <c r="W485" s="288"/>
      <c r="X485" s="286"/>
      <c r="Y485" s="286"/>
      <c r="Z485" s="287"/>
      <c r="AA485" s="288"/>
      <c r="AB485" s="286"/>
      <c r="AC485" s="294"/>
      <c r="AD485" s="289"/>
      <c r="AE485" s="290"/>
      <c r="AF485" s="289"/>
      <c r="AG485" s="290"/>
      <c r="AH485" s="284"/>
      <c r="AI485" s="147"/>
      <c r="AJ485" s="291"/>
      <c r="AK485" s="292"/>
    </row>
    <row r="486" spans="1:37">
      <c r="A486" s="281"/>
      <c r="B486" s="281"/>
      <c r="C486" s="282"/>
      <c r="D486" s="282"/>
      <c r="E486" s="282"/>
      <c r="F486" s="283"/>
      <c r="G486" s="284"/>
      <c r="H486" s="147"/>
      <c r="I486" s="285"/>
      <c r="J486" s="288"/>
      <c r="K486" s="287"/>
      <c r="L486" s="288"/>
      <c r="M486" s="286"/>
      <c r="N486" s="287"/>
      <c r="O486" s="288"/>
      <c r="P486" s="286"/>
      <c r="Q486" s="286"/>
      <c r="R486" s="287"/>
      <c r="S486" s="286"/>
      <c r="T486" s="286"/>
      <c r="U486" s="286"/>
      <c r="V486" s="287"/>
      <c r="W486" s="288"/>
      <c r="X486" s="286"/>
      <c r="Y486" s="286"/>
      <c r="Z486" s="287"/>
      <c r="AA486" s="288"/>
      <c r="AB486" s="286"/>
      <c r="AC486" s="294"/>
      <c r="AD486" s="289"/>
      <c r="AE486" s="290"/>
      <c r="AF486" s="289"/>
      <c r="AG486" s="290"/>
      <c r="AH486" s="284"/>
      <c r="AI486" s="147"/>
      <c r="AJ486" s="291"/>
      <c r="AK486" s="292"/>
    </row>
    <row r="487" spans="1:37">
      <c r="A487" s="281"/>
      <c r="B487" s="281"/>
      <c r="C487" s="282"/>
      <c r="D487" s="282"/>
      <c r="E487" s="282"/>
      <c r="F487" s="283"/>
      <c r="G487" s="284"/>
      <c r="H487" s="147"/>
      <c r="I487" s="285"/>
      <c r="J487" s="288"/>
      <c r="K487" s="287"/>
      <c r="L487" s="288"/>
      <c r="M487" s="286"/>
      <c r="N487" s="287"/>
      <c r="O487" s="288"/>
      <c r="P487" s="286"/>
      <c r="Q487" s="286"/>
      <c r="R487" s="287"/>
      <c r="S487" s="286"/>
      <c r="T487" s="286"/>
      <c r="U487" s="286"/>
      <c r="V487" s="287"/>
      <c r="W487" s="288"/>
      <c r="X487" s="286"/>
      <c r="Y487" s="286"/>
      <c r="Z487" s="287"/>
      <c r="AA487" s="288"/>
      <c r="AB487" s="286"/>
      <c r="AC487" s="294"/>
      <c r="AD487" s="289"/>
      <c r="AE487" s="290"/>
      <c r="AF487" s="289"/>
      <c r="AG487" s="290"/>
      <c r="AH487" s="284"/>
      <c r="AI487" s="147"/>
      <c r="AJ487" s="291"/>
      <c r="AK487" s="292"/>
    </row>
    <row r="488" spans="1:37">
      <c r="A488" s="281"/>
      <c r="B488" s="281"/>
      <c r="C488" s="282"/>
      <c r="D488" s="282"/>
      <c r="E488" s="282"/>
      <c r="F488" s="283"/>
      <c r="G488" s="284"/>
      <c r="H488" s="147"/>
      <c r="I488" s="285"/>
      <c r="J488" s="288"/>
      <c r="K488" s="287"/>
      <c r="L488" s="288"/>
      <c r="M488" s="286"/>
      <c r="N488" s="287"/>
      <c r="O488" s="288"/>
      <c r="P488" s="286"/>
      <c r="Q488" s="286"/>
      <c r="R488" s="287"/>
      <c r="S488" s="286"/>
      <c r="T488" s="286"/>
      <c r="U488" s="286"/>
      <c r="V488" s="287"/>
      <c r="W488" s="288"/>
      <c r="X488" s="286"/>
      <c r="Y488" s="286"/>
      <c r="Z488" s="287"/>
      <c r="AA488" s="288"/>
      <c r="AB488" s="286"/>
      <c r="AC488" s="294"/>
      <c r="AD488" s="289"/>
      <c r="AE488" s="290"/>
      <c r="AF488" s="289"/>
      <c r="AG488" s="290"/>
      <c r="AH488" s="284"/>
      <c r="AI488" s="147"/>
      <c r="AJ488" s="291"/>
      <c r="AK488" s="292"/>
    </row>
    <row r="489" spans="1:37">
      <c r="A489" s="281"/>
      <c r="B489" s="281"/>
      <c r="C489" s="282"/>
      <c r="D489" s="282"/>
      <c r="E489" s="282"/>
      <c r="F489" s="283"/>
      <c r="G489" s="284"/>
      <c r="H489" s="147"/>
      <c r="I489" s="285"/>
      <c r="J489" s="288"/>
      <c r="K489" s="287"/>
      <c r="L489" s="288"/>
      <c r="M489" s="286"/>
      <c r="N489" s="287"/>
      <c r="O489" s="288"/>
      <c r="P489" s="286"/>
      <c r="Q489" s="286"/>
      <c r="R489" s="287"/>
      <c r="S489" s="286"/>
      <c r="T489" s="286"/>
      <c r="U489" s="286"/>
      <c r="V489" s="287"/>
      <c r="W489" s="288"/>
      <c r="X489" s="286"/>
      <c r="Y489" s="286"/>
      <c r="Z489" s="287"/>
      <c r="AA489" s="288"/>
      <c r="AB489" s="286"/>
      <c r="AC489" s="294"/>
      <c r="AD489" s="289"/>
      <c r="AE489" s="290"/>
      <c r="AF489" s="289"/>
      <c r="AG489" s="290"/>
      <c r="AH489" s="284"/>
      <c r="AI489" s="147"/>
      <c r="AJ489" s="291"/>
      <c r="AK489" s="292"/>
    </row>
    <row r="490" spans="1:37">
      <c r="A490" s="281"/>
      <c r="B490" s="281"/>
      <c r="C490" s="282"/>
      <c r="D490" s="282"/>
      <c r="E490" s="282"/>
      <c r="F490" s="283"/>
      <c r="G490" s="284"/>
      <c r="H490" s="147"/>
      <c r="I490" s="285"/>
      <c r="J490" s="288"/>
      <c r="K490" s="287"/>
      <c r="L490" s="288"/>
      <c r="M490" s="286"/>
      <c r="N490" s="287"/>
      <c r="O490" s="288"/>
      <c r="P490" s="286"/>
      <c r="Q490" s="286"/>
      <c r="R490" s="287"/>
      <c r="S490" s="286"/>
      <c r="T490" s="286"/>
      <c r="U490" s="286"/>
      <c r="V490" s="287"/>
      <c r="W490" s="288"/>
      <c r="X490" s="286"/>
      <c r="Y490" s="286"/>
      <c r="Z490" s="287"/>
      <c r="AA490" s="288"/>
      <c r="AB490" s="286"/>
      <c r="AC490" s="294"/>
      <c r="AD490" s="289"/>
      <c r="AE490" s="290"/>
      <c r="AF490" s="289"/>
      <c r="AG490" s="290"/>
      <c r="AH490" s="284"/>
      <c r="AI490" s="147"/>
      <c r="AJ490" s="291"/>
      <c r="AK490" s="292"/>
    </row>
    <row r="491" spans="1:37">
      <c r="A491" s="281"/>
      <c r="B491" s="281"/>
      <c r="C491" s="282"/>
      <c r="D491" s="282"/>
      <c r="E491" s="282"/>
      <c r="F491" s="283"/>
      <c r="G491" s="284"/>
      <c r="H491" s="147"/>
      <c r="I491" s="285"/>
      <c r="J491" s="288"/>
      <c r="K491" s="287"/>
      <c r="L491" s="288"/>
      <c r="M491" s="286"/>
      <c r="N491" s="287"/>
      <c r="O491" s="288"/>
      <c r="P491" s="286"/>
      <c r="Q491" s="286"/>
      <c r="R491" s="287"/>
      <c r="S491" s="286"/>
      <c r="T491" s="286"/>
      <c r="U491" s="286"/>
      <c r="V491" s="287"/>
      <c r="W491" s="288"/>
      <c r="X491" s="286"/>
      <c r="Y491" s="286"/>
      <c r="Z491" s="287"/>
      <c r="AA491" s="288"/>
      <c r="AB491" s="286"/>
      <c r="AC491" s="294"/>
      <c r="AD491" s="289"/>
      <c r="AE491" s="290"/>
      <c r="AF491" s="289"/>
      <c r="AG491" s="290"/>
      <c r="AH491" s="284"/>
      <c r="AI491" s="147"/>
      <c r="AJ491" s="291"/>
      <c r="AK491" s="292"/>
    </row>
    <row r="492" spans="1:37">
      <c r="A492" s="281"/>
      <c r="B492" s="281"/>
      <c r="C492" s="282"/>
      <c r="D492" s="282"/>
      <c r="E492" s="282"/>
      <c r="F492" s="283"/>
      <c r="G492" s="284"/>
      <c r="H492" s="147"/>
      <c r="I492" s="285"/>
      <c r="J492" s="288"/>
      <c r="K492" s="287"/>
      <c r="L492" s="288"/>
      <c r="M492" s="286"/>
      <c r="N492" s="287"/>
      <c r="O492" s="288"/>
      <c r="P492" s="286"/>
      <c r="Q492" s="286"/>
      <c r="R492" s="287"/>
      <c r="S492" s="286"/>
      <c r="T492" s="286"/>
      <c r="U492" s="286"/>
      <c r="V492" s="287"/>
      <c r="W492" s="288"/>
      <c r="X492" s="286"/>
      <c r="Y492" s="286"/>
      <c r="Z492" s="287"/>
      <c r="AA492" s="288"/>
      <c r="AB492" s="286"/>
      <c r="AC492" s="294"/>
      <c r="AD492" s="289"/>
      <c r="AE492" s="290"/>
      <c r="AF492" s="289"/>
      <c r="AG492" s="290"/>
      <c r="AH492" s="284"/>
      <c r="AI492" s="147"/>
      <c r="AJ492" s="291"/>
      <c r="AK492" s="292"/>
    </row>
    <row r="493" spans="1:37">
      <c r="A493" s="281"/>
      <c r="B493" s="281"/>
      <c r="C493" s="282"/>
      <c r="D493" s="282"/>
      <c r="E493" s="282"/>
      <c r="F493" s="283"/>
      <c r="G493" s="284"/>
      <c r="H493" s="147"/>
      <c r="I493" s="285"/>
      <c r="J493" s="288"/>
      <c r="K493" s="287"/>
      <c r="L493" s="288"/>
      <c r="M493" s="286"/>
      <c r="N493" s="287"/>
      <c r="O493" s="288"/>
      <c r="P493" s="286"/>
      <c r="Q493" s="286"/>
      <c r="R493" s="287"/>
      <c r="S493" s="286"/>
      <c r="T493" s="286"/>
      <c r="U493" s="286"/>
      <c r="V493" s="287"/>
      <c r="W493" s="288"/>
      <c r="X493" s="286"/>
      <c r="Y493" s="286"/>
      <c r="Z493" s="287"/>
      <c r="AA493" s="288"/>
      <c r="AB493" s="286"/>
      <c r="AC493" s="294"/>
      <c r="AD493" s="289"/>
      <c r="AE493" s="290"/>
      <c r="AF493" s="289"/>
      <c r="AG493" s="290"/>
      <c r="AH493" s="284"/>
      <c r="AI493" s="147"/>
      <c r="AJ493" s="291"/>
      <c r="AK493" s="292"/>
    </row>
    <row r="494" spans="1:37">
      <c r="A494" s="281"/>
      <c r="B494" s="281"/>
      <c r="C494" s="282"/>
      <c r="D494" s="282"/>
      <c r="E494" s="282"/>
      <c r="F494" s="283"/>
      <c r="G494" s="284"/>
      <c r="H494" s="147"/>
      <c r="I494" s="285"/>
      <c r="J494" s="288"/>
      <c r="K494" s="287"/>
      <c r="L494" s="288"/>
      <c r="M494" s="286"/>
      <c r="N494" s="287"/>
      <c r="O494" s="288"/>
      <c r="P494" s="286"/>
      <c r="Q494" s="286"/>
      <c r="R494" s="287"/>
      <c r="S494" s="286"/>
      <c r="T494" s="286"/>
      <c r="U494" s="286"/>
      <c r="V494" s="287"/>
      <c r="W494" s="288"/>
      <c r="X494" s="286"/>
      <c r="Y494" s="286"/>
      <c r="Z494" s="287"/>
      <c r="AA494" s="288"/>
      <c r="AB494" s="286"/>
      <c r="AC494" s="294"/>
      <c r="AD494" s="289"/>
      <c r="AE494" s="290"/>
      <c r="AF494" s="289"/>
      <c r="AG494" s="290"/>
      <c r="AH494" s="284"/>
      <c r="AI494" s="147"/>
      <c r="AJ494" s="291"/>
      <c r="AK494" s="292"/>
    </row>
    <row r="495" spans="1:37">
      <c r="A495" s="281"/>
      <c r="B495" s="281"/>
      <c r="C495" s="282"/>
      <c r="D495" s="282"/>
      <c r="E495" s="282"/>
      <c r="F495" s="283"/>
      <c r="G495" s="284"/>
      <c r="H495" s="147"/>
      <c r="I495" s="285"/>
      <c r="J495" s="288"/>
      <c r="K495" s="287"/>
      <c r="L495" s="288"/>
      <c r="M495" s="286"/>
      <c r="N495" s="287"/>
      <c r="O495" s="288"/>
      <c r="P495" s="286"/>
      <c r="Q495" s="286"/>
      <c r="R495" s="287"/>
      <c r="S495" s="286"/>
      <c r="T495" s="286"/>
      <c r="U495" s="286"/>
      <c r="V495" s="287"/>
      <c r="W495" s="288"/>
      <c r="X495" s="286"/>
      <c r="Y495" s="286"/>
      <c r="Z495" s="287"/>
      <c r="AA495" s="288"/>
      <c r="AB495" s="286"/>
      <c r="AC495" s="294"/>
      <c r="AD495" s="289"/>
      <c r="AE495" s="290"/>
      <c r="AF495" s="289"/>
      <c r="AG495" s="290"/>
      <c r="AH495" s="284"/>
      <c r="AI495" s="147"/>
      <c r="AJ495" s="291"/>
      <c r="AK495" s="292"/>
    </row>
    <row r="496" spans="1:37">
      <c r="A496" s="281"/>
      <c r="B496" s="281"/>
      <c r="C496" s="282"/>
      <c r="D496" s="282"/>
      <c r="E496" s="282"/>
      <c r="F496" s="283"/>
      <c r="G496" s="284"/>
      <c r="H496" s="147"/>
      <c r="I496" s="285"/>
      <c r="J496" s="288"/>
      <c r="K496" s="287"/>
      <c r="L496" s="288"/>
      <c r="M496" s="286"/>
      <c r="N496" s="287"/>
      <c r="O496" s="288"/>
      <c r="P496" s="286"/>
      <c r="Q496" s="286"/>
      <c r="R496" s="287"/>
      <c r="S496" s="286"/>
      <c r="T496" s="286"/>
      <c r="U496" s="286"/>
      <c r="V496" s="287"/>
      <c r="W496" s="288"/>
      <c r="X496" s="286"/>
      <c r="Y496" s="286"/>
      <c r="Z496" s="287"/>
      <c r="AA496" s="288"/>
      <c r="AB496" s="286"/>
      <c r="AC496" s="294"/>
      <c r="AD496" s="289"/>
      <c r="AE496" s="290"/>
      <c r="AF496" s="289"/>
      <c r="AG496" s="290"/>
      <c r="AH496" s="284"/>
      <c r="AI496" s="147"/>
      <c r="AJ496" s="291"/>
      <c r="AK496" s="292"/>
    </row>
    <row r="497" spans="1:37">
      <c r="A497" s="281"/>
      <c r="B497" s="281"/>
      <c r="C497" s="282"/>
      <c r="D497" s="282"/>
      <c r="E497" s="282"/>
      <c r="F497" s="283"/>
      <c r="G497" s="284"/>
      <c r="H497" s="147"/>
      <c r="I497" s="285"/>
      <c r="J497" s="288"/>
      <c r="K497" s="287"/>
      <c r="L497" s="288"/>
      <c r="M497" s="286"/>
      <c r="N497" s="287"/>
      <c r="O497" s="288"/>
      <c r="P497" s="286"/>
      <c r="Q497" s="286"/>
      <c r="R497" s="287"/>
      <c r="S497" s="286"/>
      <c r="T497" s="286"/>
      <c r="U497" s="286"/>
      <c r="V497" s="287"/>
      <c r="W497" s="288"/>
      <c r="X497" s="286"/>
      <c r="Y497" s="286"/>
      <c r="Z497" s="287"/>
      <c r="AA497" s="288"/>
      <c r="AB497" s="286"/>
      <c r="AC497" s="294"/>
      <c r="AD497" s="289"/>
      <c r="AE497" s="290"/>
      <c r="AF497" s="289"/>
      <c r="AG497" s="290"/>
      <c r="AH497" s="284"/>
      <c r="AI497" s="147"/>
      <c r="AJ497" s="291"/>
      <c r="AK497" s="292"/>
    </row>
    <row r="498" spans="1:37">
      <c r="A498" s="281"/>
      <c r="B498" s="281"/>
      <c r="C498" s="282"/>
      <c r="D498" s="282"/>
      <c r="E498" s="282"/>
      <c r="F498" s="283"/>
      <c r="G498" s="284"/>
      <c r="H498" s="147"/>
      <c r="I498" s="285"/>
      <c r="J498" s="288"/>
      <c r="K498" s="287"/>
      <c r="L498" s="288"/>
      <c r="M498" s="286"/>
      <c r="N498" s="287"/>
      <c r="O498" s="288"/>
      <c r="P498" s="286"/>
      <c r="Q498" s="286"/>
      <c r="R498" s="287"/>
      <c r="S498" s="286"/>
      <c r="T498" s="286"/>
      <c r="U498" s="286"/>
      <c r="V498" s="287"/>
      <c r="W498" s="288"/>
      <c r="X498" s="286"/>
      <c r="Y498" s="286"/>
      <c r="Z498" s="287"/>
      <c r="AA498" s="288"/>
      <c r="AB498" s="286"/>
      <c r="AC498" s="294"/>
      <c r="AD498" s="289"/>
      <c r="AE498" s="290"/>
      <c r="AF498" s="289"/>
      <c r="AG498" s="290"/>
      <c r="AH498" s="284"/>
      <c r="AI498" s="147"/>
      <c r="AJ498" s="291"/>
      <c r="AK498" s="292"/>
    </row>
    <row r="499" spans="1:37">
      <c r="A499" s="281"/>
      <c r="B499" s="281"/>
      <c r="C499" s="282"/>
      <c r="D499" s="282"/>
      <c r="E499" s="282"/>
      <c r="F499" s="283"/>
      <c r="G499" s="284"/>
      <c r="H499" s="147"/>
      <c r="I499" s="285"/>
      <c r="J499" s="288"/>
      <c r="K499" s="287"/>
      <c r="L499" s="288"/>
      <c r="M499" s="286"/>
      <c r="N499" s="287"/>
      <c r="O499" s="288"/>
      <c r="P499" s="286"/>
      <c r="Q499" s="286"/>
      <c r="R499" s="287"/>
      <c r="S499" s="286"/>
      <c r="T499" s="286"/>
      <c r="U499" s="286"/>
      <c r="V499" s="287"/>
      <c r="W499" s="288"/>
      <c r="X499" s="286"/>
      <c r="Y499" s="286"/>
      <c r="Z499" s="287"/>
      <c r="AA499" s="288"/>
      <c r="AB499" s="286"/>
      <c r="AC499" s="294"/>
      <c r="AD499" s="289"/>
      <c r="AE499" s="290"/>
      <c r="AF499" s="289"/>
      <c r="AG499" s="290"/>
      <c r="AH499" s="284"/>
      <c r="AI499" s="147"/>
      <c r="AJ499" s="291"/>
      <c r="AK499" s="292"/>
    </row>
    <row r="500" spans="1:37">
      <c r="A500" s="281"/>
      <c r="B500" s="281"/>
      <c r="C500" s="282"/>
      <c r="D500" s="282"/>
      <c r="E500" s="282"/>
      <c r="F500" s="283"/>
      <c r="G500" s="284"/>
      <c r="H500" s="147"/>
      <c r="I500" s="285"/>
      <c r="J500" s="288"/>
      <c r="K500" s="287"/>
      <c r="L500" s="288"/>
      <c r="M500" s="286"/>
      <c r="N500" s="287"/>
      <c r="O500" s="288"/>
      <c r="P500" s="286"/>
      <c r="Q500" s="286"/>
      <c r="R500" s="287"/>
      <c r="S500" s="286"/>
      <c r="T500" s="286"/>
      <c r="U500" s="286"/>
      <c r="V500" s="287"/>
      <c r="W500" s="288"/>
      <c r="X500" s="286"/>
      <c r="Y500" s="286"/>
      <c r="Z500" s="287"/>
      <c r="AA500" s="288"/>
      <c r="AB500" s="286"/>
      <c r="AC500" s="294"/>
      <c r="AD500" s="289"/>
      <c r="AE500" s="290"/>
      <c r="AF500" s="289"/>
      <c r="AG500" s="290"/>
      <c r="AH500" s="284"/>
      <c r="AI500" s="147"/>
      <c r="AJ500" s="291"/>
      <c r="AK500" s="292"/>
    </row>
    <row r="501" spans="1:37">
      <c r="A501" s="281"/>
      <c r="B501" s="281"/>
      <c r="C501" s="282"/>
      <c r="D501" s="282"/>
      <c r="E501" s="282"/>
      <c r="F501" s="283"/>
      <c r="G501" s="284"/>
      <c r="H501" s="147"/>
      <c r="I501" s="285"/>
      <c r="J501" s="288"/>
      <c r="K501" s="287"/>
      <c r="L501" s="288"/>
      <c r="M501" s="286"/>
      <c r="N501" s="287"/>
      <c r="O501" s="288"/>
      <c r="P501" s="286"/>
      <c r="Q501" s="286"/>
      <c r="R501" s="287"/>
      <c r="S501" s="286"/>
      <c r="T501" s="286"/>
      <c r="U501" s="286"/>
      <c r="V501" s="287"/>
      <c r="W501" s="288"/>
      <c r="X501" s="286"/>
      <c r="Y501" s="286"/>
      <c r="Z501" s="287"/>
      <c r="AA501" s="288"/>
      <c r="AB501" s="286"/>
      <c r="AC501" s="294"/>
      <c r="AD501" s="289"/>
      <c r="AE501" s="290"/>
      <c r="AF501" s="289"/>
      <c r="AG501" s="290"/>
      <c r="AH501" s="284"/>
      <c r="AI501" s="147"/>
      <c r="AJ501" s="291"/>
      <c r="AK501" s="292"/>
    </row>
    <row r="502" spans="1:37">
      <c r="A502" s="281"/>
      <c r="B502" s="281"/>
      <c r="C502" s="282"/>
      <c r="D502" s="282"/>
      <c r="E502" s="282"/>
      <c r="F502" s="283"/>
      <c r="G502" s="284"/>
      <c r="H502" s="147"/>
      <c r="I502" s="285"/>
      <c r="J502" s="288"/>
      <c r="K502" s="287"/>
      <c r="L502" s="288"/>
      <c r="M502" s="286"/>
      <c r="N502" s="287"/>
      <c r="O502" s="288"/>
      <c r="P502" s="286"/>
      <c r="Q502" s="286"/>
      <c r="R502" s="287"/>
      <c r="S502" s="286"/>
      <c r="T502" s="286"/>
      <c r="U502" s="286"/>
      <c r="V502" s="287"/>
      <c r="W502" s="288"/>
      <c r="X502" s="286"/>
      <c r="Y502" s="286"/>
      <c r="Z502" s="287"/>
      <c r="AA502" s="288"/>
      <c r="AB502" s="286"/>
      <c r="AC502" s="294"/>
      <c r="AD502" s="289"/>
      <c r="AE502" s="290"/>
      <c r="AF502" s="289"/>
      <c r="AG502" s="290"/>
      <c r="AH502" s="284"/>
      <c r="AI502" s="147"/>
      <c r="AJ502" s="291"/>
      <c r="AK502" s="292"/>
    </row>
    <row r="503" spans="1:37" ht="14.65" thickBot="1">
      <c r="A503" s="295"/>
      <c r="B503" s="295"/>
      <c r="C503" s="296"/>
      <c r="D503" s="296"/>
      <c r="E503" s="296"/>
      <c r="F503" s="297"/>
      <c r="G503" s="298"/>
      <c r="H503" s="299"/>
      <c r="I503" s="300"/>
      <c r="J503" s="301"/>
      <c r="K503" s="302"/>
      <c r="L503" s="301"/>
      <c r="M503" s="303"/>
      <c r="N503" s="302"/>
      <c r="O503" s="301"/>
      <c r="P503" s="303"/>
      <c r="Q503" s="303"/>
      <c r="R503" s="302"/>
      <c r="S503" s="303"/>
      <c r="T503" s="303"/>
      <c r="U503" s="303"/>
      <c r="V503" s="302"/>
      <c r="W503" s="301"/>
      <c r="X503" s="303"/>
      <c r="Y503" s="303"/>
      <c r="Z503" s="302"/>
      <c r="AA503" s="301"/>
      <c r="AB503" s="303"/>
      <c r="AC503" s="302"/>
      <c r="AD503" s="247"/>
      <c r="AE503" s="249"/>
      <c r="AF503" s="247"/>
      <c r="AG503" s="249"/>
      <c r="AH503" s="298"/>
      <c r="AI503" s="299"/>
      <c r="AJ503" s="246"/>
      <c r="AK503" s="2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FPp_main</vt:lpstr>
      <vt:lpstr>FPc_Depo</vt:lpstr>
      <vt:lpstr>Fluid-LUT</vt:lpstr>
      <vt:lpstr>FPc_Depo!ADEPT_Input</vt:lpstr>
      <vt:lpstr>FPc_Depo!ADEPT_RateParam</vt:lpstr>
      <vt:lpstr>FPp_main!Algo_Settings</vt:lpstr>
      <vt:lpstr>FPc_Depo!APE_T</vt:lpstr>
      <vt:lpstr>FPc_Depo!Asp_ADEPT</vt:lpstr>
      <vt:lpstr>FPc_Depo!Asp_ADEPT_SR</vt:lpstr>
      <vt:lpstr>FPc_Depo!Asp_APE</vt:lpstr>
      <vt:lpstr>FPc_Depo!Asp_beta</vt:lpstr>
      <vt:lpstr>FPc_Depo!Asp_Ceq</vt:lpstr>
      <vt:lpstr>FPc_Depo!Asp_dens</vt:lpstr>
      <vt:lpstr>FPc_Depo!Asp_Depo_SoakEff</vt:lpstr>
      <vt:lpstr>FPc_Depo!Asp_Depo_Summary_dP</vt:lpstr>
      <vt:lpstr>FPc_Depo!Asp_Depo_Summary_dP0</vt:lpstr>
      <vt:lpstr>FPc_Depo!Asp_Depo_Summary_Sep</vt:lpstr>
      <vt:lpstr>FPc_Depo!Asp_Depo_Summary_Sep0</vt:lpstr>
      <vt:lpstr>FPc_Depo!Asp_DepoInputs</vt:lpstr>
      <vt:lpstr>FPc_Depo!Asp_DepoModel</vt:lpstr>
      <vt:lpstr>FPc_Depo!Asp_DepoModel_All</vt:lpstr>
      <vt:lpstr>FPc_Depo!Asp_DepoModel0</vt:lpstr>
      <vt:lpstr>FPc_Depo!Asp_ErrMsg</vt:lpstr>
      <vt:lpstr>FPc_Depo!Asp_Fluid</vt:lpstr>
      <vt:lpstr>FPc_Depo!Asp_FluidProps</vt:lpstr>
      <vt:lpstr>FPc_Depo!Asp_FluidProps_Val</vt:lpstr>
      <vt:lpstr>FPc_Depo!Asp_fracBlock</vt:lpstr>
      <vt:lpstr>FPc_Depo!Asp_fracBlock_Out</vt:lpstr>
      <vt:lpstr>FPc_Depo!Asp_kAgCoeff</vt:lpstr>
      <vt:lpstr>FPc_Depo!Asp_P</vt:lpstr>
      <vt:lpstr>FPc_Depo!Asp_ProfileType</vt:lpstr>
      <vt:lpstr>FPc_Depo!Asp_Rate</vt:lpstr>
      <vt:lpstr>FPc_Depo!Asp_RateParam</vt:lpstr>
      <vt:lpstr>FPc_Depo!Asp_SP</vt:lpstr>
      <vt:lpstr>FPc_Depo!Asp_T</vt:lpstr>
      <vt:lpstr>FPc_Depo!Asp_Thermo</vt:lpstr>
      <vt:lpstr>FPc_Depo!Asp_TP</vt:lpstr>
      <vt:lpstr>FPc_Depo!Asp_visco</vt:lpstr>
      <vt:lpstr>FPc_Depo!Asp_Well</vt:lpstr>
      <vt:lpstr>FPc_Depo!Asp_x0</vt:lpstr>
      <vt:lpstr>FPc_Depo!Asp_xf</vt:lpstr>
      <vt:lpstr>FPc_Depo!Asp_yAsp</vt:lpstr>
      <vt:lpstr>FPc_Depo!Asp_zPTx</vt:lpstr>
      <vt:lpstr>FPp_main!BIP</vt:lpstr>
      <vt:lpstr>FPp_main!BIP_T</vt:lpstr>
      <vt:lpstr>FPp_main!Calc_Settings</vt:lpstr>
      <vt:lpstr>FPp_main!ChgEv</vt:lpstr>
      <vt:lpstr>FPp_main!comp</vt:lpstr>
      <vt:lpstr>FPc_Depo!comp_Blend</vt:lpstr>
      <vt:lpstr>FPp_main!Comp_Class</vt:lpstr>
      <vt:lpstr>FPp_main!comp_Inj</vt:lpstr>
      <vt:lpstr>FPc_Depo!Comp_Name</vt:lpstr>
      <vt:lpstr>FPp_main!Comp_Name</vt:lpstr>
      <vt:lpstr>FPp_main!comp_Res</vt:lpstr>
      <vt:lpstr>FPp_main!comp_STG</vt:lpstr>
      <vt:lpstr>FPp_main!comp_STL</vt:lpstr>
      <vt:lpstr>config</vt:lpstr>
      <vt:lpstr>FPp_main!DB_Compo</vt:lpstr>
      <vt:lpstr>FPp_main!DB_Param</vt:lpstr>
      <vt:lpstr>FPc_Depo!Depo_Solver</vt:lpstr>
      <vt:lpstr>FPp_main!EOS</vt:lpstr>
      <vt:lpstr>FPc_Depo!kAg_coeffs</vt:lpstr>
      <vt:lpstr>FPp_main!MW</vt:lpstr>
      <vt:lpstr>FPp_main!nComp_Max</vt:lpstr>
      <vt:lpstr>FPc_Depo!nSteps</vt:lpstr>
      <vt:lpstr>FPc_Depo!ON_Dep</vt:lpstr>
      <vt:lpstr>FPc_Depo!PT_trace</vt:lpstr>
      <vt:lpstr>FPc_Depo!sht_P</vt:lpstr>
      <vt:lpstr>FPp_main!Units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Sisco</dc:creator>
  <cp:lastModifiedBy>Caleb Sisco</cp:lastModifiedBy>
  <dcterms:created xsi:type="dcterms:W3CDTF">2023-01-17T23:47:42Z</dcterms:created>
  <dcterms:modified xsi:type="dcterms:W3CDTF">2023-02-02T01:32:39Z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trieve" linkTarget="Prop_Retrieve">
    <vt:r8>0</vt:r8>
  </property>
</Properties>
</file>